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rkcg/The Symbol/인수인계/"/>
    </mc:Choice>
  </mc:AlternateContent>
  <xr:revisionPtr revIDLastSave="0" documentId="8_{CE22DB47-51C6-7D41-BA1A-16312E421A46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거래명세서양식" sheetId="11" r:id="rId1"/>
    <sheet name="2026년 거래처별-납품현황" sheetId="16" r:id="rId2"/>
    <sheet name="단가" sheetId="12" r:id="rId3"/>
    <sheet name="개인주문현황" sheetId="14" r:id="rId4"/>
    <sheet name="거래처별-사업자정보현황" sheetId="9" r:id="rId5"/>
    <sheet name="미수내역" sheetId="7" r:id="rId6"/>
    <sheet name="2024년 거래처별-납품현황" sheetId="13" r:id="rId7"/>
    <sheet name="2025년 거래처별-납품현황" sheetId="15" r:id="rId8"/>
  </sheets>
  <definedNames>
    <definedName name="_xlnm._FilterDatabase" localSheetId="6" hidden="1">'2024년 거래처별-납품현황'!$A$1:$K$760</definedName>
    <definedName name="_xlnm._FilterDatabase" localSheetId="7" hidden="1">'2025년 거래처별-납품현황'!$A$1:$L$819</definedName>
    <definedName name="_xlnm._FilterDatabase" localSheetId="1" hidden="1">'2026년 거래처별-납품현황'!$A$1:$L$830</definedName>
    <definedName name="_xlnm._FilterDatabase" localSheetId="3" hidden="1">개인주문현황!$A$1:$K$760</definedName>
    <definedName name="_xlnm._FilterDatabase" localSheetId="2" hidden="1">단가!$A$1:$G$86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6" i="16" l="1"/>
  <c r="G147" i="16"/>
  <c r="G93" i="16"/>
  <c r="H93" i="16" s="1"/>
  <c r="I93" i="16" s="1"/>
  <c r="G94" i="16"/>
  <c r="H94" i="16" s="1"/>
  <c r="I94" i="16" s="1"/>
  <c r="G95" i="16"/>
  <c r="G96" i="16"/>
  <c r="H96" i="16" s="1"/>
  <c r="I96" i="16" s="1"/>
  <c r="G97" i="16"/>
  <c r="H97" i="16" s="1"/>
  <c r="I97" i="16" s="1"/>
  <c r="J97" i="16" s="1"/>
  <c r="G98" i="16"/>
  <c r="H98" i="16" s="1"/>
  <c r="I98" i="16" s="1"/>
  <c r="J98" i="16" s="1"/>
  <c r="G99" i="16"/>
  <c r="G100" i="16"/>
  <c r="H100" i="16" s="1"/>
  <c r="I100" i="16" s="1"/>
  <c r="J100" i="16" s="1"/>
  <c r="G101" i="16"/>
  <c r="H101" i="16" s="1"/>
  <c r="I101" i="16" s="1"/>
  <c r="G102" i="16"/>
  <c r="H102" i="16" s="1"/>
  <c r="I102" i="16" s="1"/>
  <c r="G103" i="16"/>
  <c r="H103" i="16" s="1"/>
  <c r="G104" i="16"/>
  <c r="H104" i="16" s="1"/>
  <c r="I104" i="16" s="1"/>
  <c r="H95" i="16"/>
  <c r="I95" i="16"/>
  <c r="H99" i="16"/>
  <c r="I99" i="16" s="1"/>
  <c r="J99" i="16" s="1"/>
  <c r="J95" i="16" l="1"/>
  <c r="I103" i="16"/>
  <c r="J103" i="16" s="1"/>
  <c r="J93" i="16"/>
  <c r="J101" i="16"/>
  <c r="J102" i="16"/>
  <c r="J94" i="16"/>
  <c r="J104" i="16"/>
  <c r="J96" i="16"/>
  <c r="G54" i="16"/>
  <c r="H54" i="16" s="1"/>
  <c r="J54" i="16" s="1"/>
  <c r="G48" i="16"/>
  <c r="G49" i="16"/>
  <c r="G50" i="16"/>
  <c r="G51" i="16"/>
  <c r="G52" i="16"/>
  <c r="G53" i="16"/>
  <c r="D2" i="11"/>
  <c r="G830" i="16" l="1"/>
  <c r="H830" i="16" s="1"/>
  <c r="G829" i="16"/>
  <c r="H829" i="16" s="1"/>
  <c r="G828" i="16"/>
  <c r="H828" i="16" s="1"/>
  <c r="G827" i="16"/>
  <c r="H827" i="16" s="1"/>
  <c r="G826" i="16"/>
  <c r="H826" i="16" s="1"/>
  <c r="G825" i="16"/>
  <c r="H825" i="16" s="1"/>
  <c r="G824" i="16"/>
  <c r="H824" i="16" s="1"/>
  <c r="G823" i="16"/>
  <c r="H823" i="16" s="1"/>
  <c r="G822" i="16"/>
  <c r="H822" i="16" s="1"/>
  <c r="G821" i="16"/>
  <c r="H821" i="16" s="1"/>
  <c r="G820" i="16"/>
  <c r="H820" i="16" s="1"/>
  <c r="G819" i="16"/>
  <c r="H819" i="16" s="1"/>
  <c r="G818" i="16"/>
  <c r="H818" i="16" s="1"/>
  <c r="G817" i="16"/>
  <c r="H817" i="16" s="1"/>
  <c r="G816" i="16"/>
  <c r="H816" i="16" s="1"/>
  <c r="G815" i="16"/>
  <c r="H815" i="16" s="1"/>
  <c r="G814" i="16"/>
  <c r="H814" i="16" s="1"/>
  <c r="G813" i="16"/>
  <c r="H813" i="16" s="1"/>
  <c r="G812" i="16"/>
  <c r="H812" i="16" s="1"/>
  <c r="G811" i="16"/>
  <c r="H811" i="16" s="1"/>
  <c r="G810" i="16"/>
  <c r="H810" i="16" s="1"/>
  <c r="G809" i="16"/>
  <c r="H809" i="16" s="1"/>
  <c r="G808" i="16"/>
  <c r="H808" i="16" s="1"/>
  <c r="G807" i="16"/>
  <c r="H807" i="16" s="1"/>
  <c r="G806" i="16"/>
  <c r="H806" i="16" s="1"/>
  <c r="G805" i="16"/>
  <c r="H805" i="16" s="1"/>
  <c r="G804" i="16"/>
  <c r="H804" i="16" s="1"/>
  <c r="G803" i="16"/>
  <c r="H803" i="16" s="1"/>
  <c r="G802" i="16"/>
  <c r="H802" i="16" s="1"/>
  <c r="G801" i="16"/>
  <c r="H801" i="16" s="1"/>
  <c r="G800" i="16"/>
  <c r="H800" i="16" s="1"/>
  <c r="G799" i="16"/>
  <c r="H799" i="16" s="1"/>
  <c r="G798" i="16"/>
  <c r="H798" i="16" s="1"/>
  <c r="G797" i="16"/>
  <c r="H797" i="16" s="1"/>
  <c r="G796" i="16"/>
  <c r="H796" i="16" s="1"/>
  <c r="G795" i="16"/>
  <c r="H795" i="16" s="1"/>
  <c r="G794" i="16"/>
  <c r="H794" i="16" s="1"/>
  <c r="G793" i="16"/>
  <c r="H793" i="16" s="1"/>
  <c r="G792" i="16"/>
  <c r="H792" i="16" s="1"/>
  <c r="G791" i="16"/>
  <c r="H791" i="16" s="1"/>
  <c r="G790" i="16"/>
  <c r="H790" i="16" s="1"/>
  <c r="G789" i="16"/>
  <c r="H789" i="16" s="1"/>
  <c r="G788" i="16"/>
  <c r="H788" i="16" s="1"/>
  <c r="G787" i="16"/>
  <c r="H787" i="16" s="1"/>
  <c r="G786" i="16"/>
  <c r="H786" i="16" s="1"/>
  <c r="G785" i="16"/>
  <c r="H785" i="16" s="1"/>
  <c r="G784" i="16"/>
  <c r="H784" i="16" s="1"/>
  <c r="G783" i="16"/>
  <c r="H783" i="16" s="1"/>
  <c r="G782" i="16"/>
  <c r="H782" i="16" s="1"/>
  <c r="G781" i="16"/>
  <c r="H781" i="16" s="1"/>
  <c r="G780" i="16"/>
  <c r="H780" i="16" s="1"/>
  <c r="G779" i="16"/>
  <c r="H779" i="16" s="1"/>
  <c r="G778" i="16"/>
  <c r="H778" i="16" s="1"/>
  <c r="G777" i="16"/>
  <c r="H777" i="16" s="1"/>
  <c r="G776" i="16"/>
  <c r="H776" i="16" s="1"/>
  <c r="G775" i="16"/>
  <c r="H775" i="16" s="1"/>
  <c r="G774" i="16"/>
  <c r="H774" i="16" s="1"/>
  <c r="G773" i="16"/>
  <c r="H773" i="16" s="1"/>
  <c r="G772" i="16"/>
  <c r="H772" i="16" s="1"/>
  <c r="G771" i="16"/>
  <c r="H771" i="16" s="1"/>
  <c r="G770" i="16"/>
  <c r="H770" i="16" s="1"/>
  <c r="G769" i="16"/>
  <c r="H769" i="16" s="1"/>
  <c r="G768" i="16"/>
  <c r="H768" i="16" s="1"/>
  <c r="G767" i="16"/>
  <c r="H767" i="16" s="1"/>
  <c r="G766" i="16"/>
  <c r="H766" i="16" s="1"/>
  <c r="G765" i="16"/>
  <c r="H765" i="16" s="1"/>
  <c r="G764" i="16"/>
  <c r="H764" i="16" s="1"/>
  <c r="G763" i="16"/>
  <c r="H763" i="16" s="1"/>
  <c r="G762" i="16"/>
  <c r="H762" i="16" s="1"/>
  <c r="J762" i="16" s="1"/>
  <c r="G761" i="16"/>
  <c r="H761" i="16" s="1"/>
  <c r="I761" i="16" s="1"/>
  <c r="G760" i="16"/>
  <c r="H760" i="16" s="1"/>
  <c r="I760" i="16" s="1"/>
  <c r="G759" i="16"/>
  <c r="H759" i="16" s="1"/>
  <c r="I759" i="16" s="1"/>
  <c r="G758" i="16"/>
  <c r="H758" i="16" s="1"/>
  <c r="I758" i="16" s="1"/>
  <c r="G757" i="16"/>
  <c r="H757" i="16" s="1"/>
  <c r="I757" i="16" s="1"/>
  <c r="G756" i="16"/>
  <c r="H756" i="16" s="1"/>
  <c r="I756" i="16" s="1"/>
  <c r="G755" i="16"/>
  <c r="H755" i="16" s="1"/>
  <c r="I755" i="16" s="1"/>
  <c r="G754" i="16"/>
  <c r="H754" i="16" s="1"/>
  <c r="I754" i="16" s="1"/>
  <c r="G753" i="16"/>
  <c r="H753" i="16" s="1"/>
  <c r="I753" i="16" s="1"/>
  <c r="G752" i="16"/>
  <c r="H752" i="16" s="1"/>
  <c r="I752" i="16" s="1"/>
  <c r="G751" i="16"/>
  <c r="H751" i="16" s="1"/>
  <c r="I751" i="16" s="1"/>
  <c r="G750" i="16"/>
  <c r="H750" i="16" s="1"/>
  <c r="I750" i="16" s="1"/>
  <c r="G749" i="16"/>
  <c r="H749" i="16" s="1"/>
  <c r="I749" i="16" s="1"/>
  <c r="G748" i="16"/>
  <c r="H748" i="16" s="1"/>
  <c r="I748" i="16" s="1"/>
  <c r="G747" i="16"/>
  <c r="H747" i="16" s="1"/>
  <c r="I747" i="16" s="1"/>
  <c r="G746" i="16"/>
  <c r="H746" i="16" s="1"/>
  <c r="I746" i="16" s="1"/>
  <c r="G745" i="16"/>
  <c r="H745" i="16" s="1"/>
  <c r="I745" i="16" s="1"/>
  <c r="G744" i="16"/>
  <c r="H744" i="16" s="1"/>
  <c r="I744" i="16" s="1"/>
  <c r="G743" i="16"/>
  <c r="H743" i="16" s="1"/>
  <c r="I743" i="16" s="1"/>
  <c r="G742" i="16"/>
  <c r="H742" i="16" s="1"/>
  <c r="I742" i="16" s="1"/>
  <c r="G741" i="16"/>
  <c r="H741" i="16" s="1"/>
  <c r="I741" i="16" s="1"/>
  <c r="G740" i="16"/>
  <c r="H740" i="16" s="1"/>
  <c r="J740" i="16" s="1"/>
  <c r="G739" i="16"/>
  <c r="H739" i="16" s="1"/>
  <c r="G738" i="16"/>
  <c r="H738" i="16" s="1"/>
  <c r="G737" i="16"/>
  <c r="H737" i="16" s="1"/>
  <c r="G736" i="16"/>
  <c r="H736" i="16" s="1"/>
  <c r="I736" i="16" s="1"/>
  <c r="G735" i="16"/>
  <c r="H735" i="16" s="1"/>
  <c r="G734" i="16"/>
  <c r="H734" i="16" s="1"/>
  <c r="G733" i="16"/>
  <c r="H733" i="16" s="1"/>
  <c r="G732" i="16"/>
  <c r="H732" i="16" s="1"/>
  <c r="I732" i="16" s="1"/>
  <c r="G731" i="16"/>
  <c r="H731" i="16" s="1"/>
  <c r="I731" i="16" s="1"/>
  <c r="G730" i="16"/>
  <c r="H730" i="16" s="1"/>
  <c r="G729" i="16"/>
  <c r="H729" i="16" s="1"/>
  <c r="G728" i="16"/>
  <c r="H728" i="16" s="1"/>
  <c r="G727" i="16"/>
  <c r="H727" i="16" s="1"/>
  <c r="I727" i="16" s="1"/>
  <c r="G726" i="16"/>
  <c r="H726" i="16" s="1"/>
  <c r="G725" i="16"/>
  <c r="H725" i="16" s="1"/>
  <c r="G724" i="16"/>
  <c r="H724" i="16" s="1"/>
  <c r="G723" i="16"/>
  <c r="H723" i="16" s="1"/>
  <c r="G722" i="16"/>
  <c r="H722" i="16" s="1"/>
  <c r="G721" i="16"/>
  <c r="H721" i="16" s="1"/>
  <c r="G720" i="16"/>
  <c r="H720" i="16" s="1"/>
  <c r="I720" i="16" s="1"/>
  <c r="G719" i="16"/>
  <c r="H719" i="16" s="1"/>
  <c r="G718" i="16"/>
  <c r="H718" i="16" s="1"/>
  <c r="G717" i="16"/>
  <c r="H717" i="16" s="1"/>
  <c r="G716" i="16"/>
  <c r="H716" i="16" s="1"/>
  <c r="I716" i="16" s="1"/>
  <c r="G715" i="16"/>
  <c r="H715" i="16" s="1"/>
  <c r="I715" i="16" s="1"/>
  <c r="G714" i="16"/>
  <c r="H714" i="16" s="1"/>
  <c r="G713" i="16"/>
  <c r="H713" i="16" s="1"/>
  <c r="G712" i="16"/>
  <c r="H712" i="16" s="1"/>
  <c r="G711" i="16"/>
  <c r="H711" i="16" s="1"/>
  <c r="I711" i="16" s="1"/>
  <c r="G710" i="16"/>
  <c r="H710" i="16" s="1"/>
  <c r="G709" i="16"/>
  <c r="H709" i="16" s="1"/>
  <c r="G708" i="16"/>
  <c r="H708" i="16" s="1"/>
  <c r="G707" i="16"/>
  <c r="H707" i="16" s="1"/>
  <c r="G706" i="16"/>
  <c r="H706" i="16" s="1"/>
  <c r="G705" i="16"/>
  <c r="H705" i="16" s="1"/>
  <c r="G704" i="16"/>
  <c r="H704" i="16" s="1"/>
  <c r="I704" i="16" s="1"/>
  <c r="G703" i="16"/>
  <c r="H703" i="16" s="1"/>
  <c r="G702" i="16"/>
  <c r="H702" i="16" s="1"/>
  <c r="G701" i="16"/>
  <c r="H701" i="16" s="1"/>
  <c r="G700" i="16"/>
  <c r="H700" i="16" s="1"/>
  <c r="J700" i="16" s="1"/>
  <c r="G699" i="16"/>
  <c r="H699" i="16" s="1"/>
  <c r="G698" i="16"/>
  <c r="H698" i="16" s="1"/>
  <c r="G697" i="16"/>
  <c r="H697" i="16" s="1"/>
  <c r="G696" i="16"/>
  <c r="H696" i="16" s="1"/>
  <c r="G695" i="16"/>
  <c r="H695" i="16" s="1"/>
  <c r="G694" i="16"/>
  <c r="H694" i="16" s="1"/>
  <c r="G693" i="16"/>
  <c r="H693" i="16" s="1"/>
  <c r="G692" i="16"/>
  <c r="H692" i="16" s="1"/>
  <c r="G691" i="16"/>
  <c r="H691" i="16" s="1"/>
  <c r="G690" i="16"/>
  <c r="H690" i="16" s="1"/>
  <c r="G689" i="16"/>
  <c r="H689" i="16" s="1"/>
  <c r="G688" i="16"/>
  <c r="H688" i="16" s="1"/>
  <c r="G687" i="16"/>
  <c r="H687" i="16" s="1"/>
  <c r="G686" i="16"/>
  <c r="H686" i="16" s="1"/>
  <c r="G685" i="16"/>
  <c r="H685" i="16" s="1"/>
  <c r="G684" i="16"/>
  <c r="H684" i="16" s="1"/>
  <c r="G683" i="16"/>
  <c r="H683" i="16" s="1"/>
  <c r="G682" i="16"/>
  <c r="H682" i="16" s="1"/>
  <c r="G681" i="16"/>
  <c r="H681" i="16" s="1"/>
  <c r="G680" i="16"/>
  <c r="H680" i="16" s="1"/>
  <c r="G679" i="16"/>
  <c r="H679" i="16" s="1"/>
  <c r="G678" i="16"/>
  <c r="H678" i="16" s="1"/>
  <c r="H677" i="16"/>
  <c r="G676" i="16"/>
  <c r="H676" i="16" s="1"/>
  <c r="J676" i="16" s="1"/>
  <c r="G675" i="16"/>
  <c r="H675" i="16" s="1"/>
  <c r="I675" i="16" s="1"/>
  <c r="J675" i="16" s="1"/>
  <c r="G674" i="16"/>
  <c r="H674" i="16" s="1"/>
  <c r="I674" i="16" s="1"/>
  <c r="J674" i="16" s="1"/>
  <c r="G673" i="16"/>
  <c r="H673" i="16" s="1"/>
  <c r="I673" i="16" s="1"/>
  <c r="J673" i="16" s="1"/>
  <c r="G672" i="16"/>
  <c r="H672" i="16" s="1"/>
  <c r="G671" i="16"/>
  <c r="H671" i="16" s="1"/>
  <c r="I671" i="16" s="1"/>
  <c r="J671" i="16" s="1"/>
  <c r="G670" i="16"/>
  <c r="H670" i="16" s="1"/>
  <c r="I670" i="16" s="1"/>
  <c r="J670" i="16" s="1"/>
  <c r="G669" i="16"/>
  <c r="H669" i="16" s="1"/>
  <c r="I669" i="16" s="1"/>
  <c r="G668" i="16"/>
  <c r="H668" i="16" s="1"/>
  <c r="I668" i="16" s="1"/>
  <c r="J668" i="16" s="1"/>
  <c r="G667" i="16"/>
  <c r="H667" i="16" s="1"/>
  <c r="I667" i="16" s="1"/>
  <c r="J667" i="16" s="1"/>
  <c r="G666" i="16"/>
  <c r="H666" i="16" s="1"/>
  <c r="I666" i="16" s="1"/>
  <c r="J666" i="16" s="1"/>
  <c r="G665" i="16"/>
  <c r="H665" i="16" s="1"/>
  <c r="I665" i="16" s="1"/>
  <c r="J665" i="16" s="1"/>
  <c r="G664" i="16"/>
  <c r="H664" i="16" s="1"/>
  <c r="I664" i="16" s="1"/>
  <c r="J664" i="16" s="1"/>
  <c r="G663" i="16"/>
  <c r="H663" i="16" s="1"/>
  <c r="I663" i="16" s="1"/>
  <c r="G662" i="16"/>
  <c r="H662" i="16" s="1"/>
  <c r="I662" i="16" s="1"/>
  <c r="J662" i="16" s="1"/>
  <c r="G661" i="16"/>
  <c r="H661" i="16" s="1"/>
  <c r="I661" i="16" s="1"/>
  <c r="G660" i="16"/>
  <c r="H660" i="16" s="1"/>
  <c r="I660" i="16" s="1"/>
  <c r="J660" i="16" s="1"/>
  <c r="G659" i="16"/>
  <c r="H659" i="16" s="1"/>
  <c r="G658" i="16"/>
  <c r="H658" i="16" s="1"/>
  <c r="I658" i="16" s="1"/>
  <c r="G657" i="16"/>
  <c r="H657" i="16" s="1"/>
  <c r="I657" i="16" s="1"/>
  <c r="G656" i="16"/>
  <c r="H656" i="16" s="1"/>
  <c r="I656" i="16" s="1"/>
  <c r="G655" i="16"/>
  <c r="H655" i="16" s="1"/>
  <c r="I655" i="16" s="1"/>
  <c r="G654" i="16"/>
  <c r="H654" i="16" s="1"/>
  <c r="I654" i="16" s="1"/>
  <c r="G653" i="16"/>
  <c r="H653" i="16" s="1"/>
  <c r="I653" i="16" s="1"/>
  <c r="G652" i="16"/>
  <c r="H652" i="16" s="1"/>
  <c r="I652" i="16" s="1"/>
  <c r="J652" i="16" s="1"/>
  <c r="G651" i="16"/>
  <c r="H651" i="16" s="1"/>
  <c r="G650" i="16"/>
  <c r="H650" i="16" s="1"/>
  <c r="I650" i="16" s="1"/>
  <c r="J650" i="16" s="1"/>
  <c r="G649" i="16"/>
  <c r="H649" i="16" s="1"/>
  <c r="I649" i="16" s="1"/>
  <c r="G648" i="16"/>
  <c r="H648" i="16" s="1"/>
  <c r="I648" i="16" s="1"/>
  <c r="J648" i="16" s="1"/>
  <c r="G647" i="16"/>
  <c r="H647" i="16" s="1"/>
  <c r="J647" i="16" s="1"/>
  <c r="G646" i="16"/>
  <c r="H646" i="16" s="1"/>
  <c r="G645" i="16"/>
  <c r="H645" i="16" s="1"/>
  <c r="I645" i="16" s="1"/>
  <c r="G644" i="16"/>
  <c r="H644" i="16" s="1"/>
  <c r="I644" i="16" s="1"/>
  <c r="G643" i="16"/>
  <c r="H643" i="16" s="1"/>
  <c r="G642" i="16"/>
  <c r="H642" i="16" s="1"/>
  <c r="G641" i="16"/>
  <c r="H641" i="16" s="1"/>
  <c r="G640" i="16"/>
  <c r="H640" i="16" s="1"/>
  <c r="I640" i="16" s="1"/>
  <c r="G639" i="16"/>
  <c r="H639" i="16" s="1"/>
  <c r="G638" i="16"/>
  <c r="H638" i="16" s="1"/>
  <c r="G637" i="16"/>
  <c r="H637" i="16" s="1"/>
  <c r="I637" i="16" s="1"/>
  <c r="G636" i="16"/>
  <c r="H636" i="16" s="1"/>
  <c r="I636" i="16" s="1"/>
  <c r="G635" i="16"/>
  <c r="H635" i="16" s="1"/>
  <c r="I635" i="16" s="1"/>
  <c r="G634" i="16"/>
  <c r="H634" i="16" s="1"/>
  <c r="I634" i="16" s="1"/>
  <c r="G633" i="16"/>
  <c r="H633" i="16" s="1"/>
  <c r="I633" i="16" s="1"/>
  <c r="G632" i="16"/>
  <c r="H632" i="16" s="1"/>
  <c r="G631" i="16"/>
  <c r="H631" i="16" s="1"/>
  <c r="I631" i="16" s="1"/>
  <c r="G630" i="16"/>
  <c r="H630" i="16" s="1"/>
  <c r="G629" i="16"/>
  <c r="H629" i="16" s="1"/>
  <c r="G628" i="16"/>
  <c r="H628" i="16" s="1"/>
  <c r="I628" i="16" s="1"/>
  <c r="G627" i="16"/>
  <c r="H627" i="16" s="1"/>
  <c r="I627" i="16" s="1"/>
  <c r="G626" i="16"/>
  <c r="H626" i="16" s="1"/>
  <c r="G625" i="16"/>
  <c r="H625" i="16" s="1"/>
  <c r="I625" i="16" s="1"/>
  <c r="G624" i="16"/>
  <c r="H624" i="16" s="1"/>
  <c r="G623" i="16"/>
  <c r="H623" i="16" s="1"/>
  <c r="G622" i="16"/>
  <c r="H622" i="16" s="1"/>
  <c r="G621" i="16"/>
  <c r="H621" i="16" s="1"/>
  <c r="I621" i="16" s="1"/>
  <c r="G620" i="16"/>
  <c r="H620" i="16" s="1"/>
  <c r="I620" i="16" s="1"/>
  <c r="G619" i="16"/>
  <c r="H619" i="16" s="1"/>
  <c r="I619" i="16" s="1"/>
  <c r="G618" i="16"/>
  <c r="H618" i="16" s="1"/>
  <c r="I618" i="16" s="1"/>
  <c r="G617" i="16"/>
  <c r="H617" i="16" s="1"/>
  <c r="I617" i="16" s="1"/>
  <c r="G616" i="16"/>
  <c r="H616" i="16" s="1"/>
  <c r="G615" i="16"/>
  <c r="H615" i="16" s="1"/>
  <c r="I615" i="16" s="1"/>
  <c r="G614" i="16"/>
  <c r="H614" i="16" s="1"/>
  <c r="G613" i="16"/>
  <c r="H613" i="16" s="1"/>
  <c r="I613" i="16" s="1"/>
  <c r="G612" i="16"/>
  <c r="H612" i="16" s="1"/>
  <c r="I612" i="16" s="1"/>
  <c r="G611" i="16"/>
  <c r="H611" i="16" s="1"/>
  <c r="I611" i="16" s="1"/>
  <c r="G610" i="16"/>
  <c r="H610" i="16" s="1"/>
  <c r="G609" i="16"/>
  <c r="H609" i="16" s="1"/>
  <c r="I609" i="16" s="1"/>
  <c r="G608" i="16"/>
  <c r="H608" i="16" s="1"/>
  <c r="I608" i="16" s="1"/>
  <c r="G607" i="16"/>
  <c r="H607" i="16" s="1"/>
  <c r="J607" i="16" s="1"/>
  <c r="G606" i="16"/>
  <c r="H606" i="16" s="1"/>
  <c r="G605" i="16"/>
  <c r="H605" i="16" s="1"/>
  <c r="G604" i="16"/>
  <c r="H604" i="16" s="1"/>
  <c r="G603" i="16"/>
  <c r="H603" i="16" s="1"/>
  <c r="G602" i="16"/>
  <c r="H602" i="16" s="1"/>
  <c r="G601" i="16"/>
  <c r="H601" i="16" s="1"/>
  <c r="H600" i="16"/>
  <c r="G599" i="16"/>
  <c r="H599" i="16" s="1"/>
  <c r="I599" i="16" s="1"/>
  <c r="G598" i="16"/>
  <c r="H598" i="16" s="1"/>
  <c r="G597" i="16"/>
  <c r="H597" i="16" s="1"/>
  <c r="G596" i="16"/>
  <c r="H596" i="16" s="1"/>
  <c r="G595" i="16"/>
  <c r="H595" i="16" s="1"/>
  <c r="I595" i="16" s="1"/>
  <c r="G594" i="16"/>
  <c r="H594" i="16" s="1"/>
  <c r="G593" i="16"/>
  <c r="H593" i="16" s="1"/>
  <c r="I593" i="16" s="1"/>
  <c r="G592" i="16"/>
  <c r="H592" i="16" s="1"/>
  <c r="I592" i="16" s="1"/>
  <c r="G591" i="16"/>
  <c r="H591" i="16" s="1"/>
  <c r="I591" i="16" s="1"/>
  <c r="G590" i="16"/>
  <c r="H590" i="16" s="1"/>
  <c r="G589" i="16"/>
  <c r="H589" i="16" s="1"/>
  <c r="G588" i="16"/>
  <c r="H588" i="16" s="1"/>
  <c r="G587" i="16"/>
  <c r="H587" i="16" s="1"/>
  <c r="I587" i="16" s="1"/>
  <c r="G586" i="16"/>
  <c r="H586" i="16" s="1"/>
  <c r="G585" i="16"/>
  <c r="H585" i="16" s="1"/>
  <c r="I585" i="16" s="1"/>
  <c r="G584" i="16"/>
  <c r="H584" i="16" s="1"/>
  <c r="I584" i="16" s="1"/>
  <c r="G583" i="16"/>
  <c r="H583" i="16" s="1"/>
  <c r="G582" i="16"/>
  <c r="H582" i="16" s="1"/>
  <c r="G581" i="16"/>
  <c r="H581" i="16" s="1"/>
  <c r="G580" i="16"/>
  <c r="H580" i="16" s="1"/>
  <c r="I580" i="16" s="1"/>
  <c r="G579" i="16"/>
  <c r="H579" i="16" s="1"/>
  <c r="I579" i="16" s="1"/>
  <c r="G578" i="16"/>
  <c r="H578" i="16" s="1"/>
  <c r="G577" i="16"/>
  <c r="H577" i="16" s="1"/>
  <c r="I577" i="16" s="1"/>
  <c r="G576" i="16"/>
  <c r="H576" i="16" s="1"/>
  <c r="I576" i="16" s="1"/>
  <c r="G575" i="16"/>
  <c r="H575" i="16" s="1"/>
  <c r="I575" i="16" s="1"/>
  <c r="G574" i="16"/>
  <c r="H574" i="16" s="1"/>
  <c r="J574" i="16" s="1"/>
  <c r="G573" i="16"/>
  <c r="H573" i="16" s="1"/>
  <c r="I573" i="16" s="1"/>
  <c r="G572" i="16"/>
  <c r="H572" i="16" s="1"/>
  <c r="H571" i="16"/>
  <c r="I571" i="16" s="1"/>
  <c r="J571" i="16" s="1"/>
  <c r="G570" i="16"/>
  <c r="H570" i="16" s="1"/>
  <c r="I570" i="16" s="1"/>
  <c r="G569" i="16"/>
  <c r="H569" i="16" s="1"/>
  <c r="I569" i="16" s="1"/>
  <c r="G568" i="16"/>
  <c r="H568" i="16" s="1"/>
  <c r="I568" i="16" s="1"/>
  <c r="G567" i="16"/>
  <c r="H567" i="16" s="1"/>
  <c r="I567" i="16" s="1"/>
  <c r="G566" i="16"/>
  <c r="H566" i="16" s="1"/>
  <c r="G565" i="16"/>
  <c r="H565" i="16" s="1"/>
  <c r="I565" i="16" s="1"/>
  <c r="G564" i="16"/>
  <c r="H564" i="16" s="1"/>
  <c r="G563" i="16"/>
  <c r="H563" i="16" s="1"/>
  <c r="I563" i="16" s="1"/>
  <c r="G562" i="16"/>
  <c r="H562" i="16" s="1"/>
  <c r="I562" i="16" s="1"/>
  <c r="G561" i="16"/>
  <c r="H561" i="16" s="1"/>
  <c r="I561" i="16" s="1"/>
  <c r="G560" i="16"/>
  <c r="H560" i="16" s="1"/>
  <c r="I560" i="16" s="1"/>
  <c r="G559" i="16"/>
  <c r="H559" i="16" s="1"/>
  <c r="I559" i="16" s="1"/>
  <c r="G558" i="16"/>
  <c r="H558" i="16" s="1"/>
  <c r="G557" i="16"/>
  <c r="H557" i="16" s="1"/>
  <c r="I557" i="16" s="1"/>
  <c r="G556" i="16"/>
  <c r="H556" i="16" s="1"/>
  <c r="G555" i="16"/>
  <c r="H555" i="16" s="1"/>
  <c r="G554" i="16"/>
  <c r="H554" i="16" s="1"/>
  <c r="I554" i="16" s="1"/>
  <c r="G553" i="16"/>
  <c r="H553" i="16" s="1"/>
  <c r="I553" i="16" s="1"/>
  <c r="G552" i="16"/>
  <c r="H552" i="16" s="1"/>
  <c r="I552" i="16" s="1"/>
  <c r="G551" i="16"/>
  <c r="H551" i="16" s="1"/>
  <c r="I551" i="16" s="1"/>
  <c r="G550" i="16"/>
  <c r="H550" i="16" s="1"/>
  <c r="G549" i="16"/>
  <c r="H549" i="16" s="1"/>
  <c r="I549" i="16" s="1"/>
  <c r="G548" i="16"/>
  <c r="H548" i="16" s="1"/>
  <c r="G547" i="16"/>
  <c r="H547" i="16" s="1"/>
  <c r="I547" i="16" s="1"/>
  <c r="G546" i="16"/>
  <c r="H546" i="16" s="1"/>
  <c r="I546" i="16" s="1"/>
  <c r="G545" i="16"/>
  <c r="H545" i="16" s="1"/>
  <c r="I545" i="16" s="1"/>
  <c r="G544" i="16"/>
  <c r="H544" i="16" s="1"/>
  <c r="I544" i="16" s="1"/>
  <c r="G543" i="16"/>
  <c r="H543" i="16" s="1"/>
  <c r="I543" i="16" s="1"/>
  <c r="G542" i="16"/>
  <c r="H542" i="16" s="1"/>
  <c r="G541" i="16"/>
  <c r="H541" i="16" s="1"/>
  <c r="I541" i="16" s="1"/>
  <c r="G540" i="16"/>
  <c r="H540" i="16" s="1"/>
  <c r="G539" i="16"/>
  <c r="H539" i="16" s="1"/>
  <c r="G538" i="16"/>
  <c r="H538" i="16" s="1"/>
  <c r="J538" i="16" s="1"/>
  <c r="G537" i="16"/>
  <c r="H537" i="16" s="1"/>
  <c r="G536" i="16"/>
  <c r="H536" i="16" s="1"/>
  <c r="I536" i="16" s="1"/>
  <c r="G535" i="16"/>
  <c r="H535" i="16" s="1"/>
  <c r="G534" i="16"/>
  <c r="H534" i="16" s="1"/>
  <c r="G533" i="16"/>
  <c r="H533" i="16" s="1"/>
  <c r="G532" i="16"/>
  <c r="H532" i="16" s="1"/>
  <c r="I532" i="16" s="1"/>
  <c r="G531" i="16"/>
  <c r="H531" i="16" s="1"/>
  <c r="G530" i="16"/>
  <c r="H530" i="16" s="1"/>
  <c r="G529" i="16"/>
  <c r="H529" i="16" s="1"/>
  <c r="G528" i="16"/>
  <c r="H528" i="16" s="1"/>
  <c r="G527" i="16"/>
  <c r="H527" i="16" s="1"/>
  <c r="I527" i="16" s="1"/>
  <c r="G526" i="16"/>
  <c r="H526" i="16" s="1"/>
  <c r="G525" i="16"/>
  <c r="H525" i="16" s="1"/>
  <c r="I525" i="16" s="1"/>
  <c r="J525" i="16" s="1"/>
  <c r="G524" i="16"/>
  <c r="H524" i="16" s="1"/>
  <c r="G523" i="16"/>
  <c r="H523" i="16" s="1"/>
  <c r="G522" i="16"/>
  <c r="H522" i="16" s="1"/>
  <c r="G521" i="16"/>
  <c r="H521" i="16" s="1"/>
  <c r="G520" i="16"/>
  <c r="H520" i="16" s="1"/>
  <c r="G519" i="16"/>
  <c r="H519" i="16" s="1"/>
  <c r="G518" i="16"/>
  <c r="H518" i="16" s="1"/>
  <c r="I518" i="16" s="1"/>
  <c r="G517" i="16"/>
  <c r="H517" i="16" s="1"/>
  <c r="G516" i="16"/>
  <c r="H516" i="16" s="1"/>
  <c r="G515" i="16"/>
  <c r="H515" i="16" s="1"/>
  <c r="I515" i="16" s="1"/>
  <c r="G514" i="16"/>
  <c r="H514" i="16" s="1"/>
  <c r="G513" i="16"/>
  <c r="H513" i="16" s="1"/>
  <c r="I513" i="16" s="1"/>
  <c r="G512" i="16"/>
  <c r="H512" i="16" s="1"/>
  <c r="G511" i="16"/>
  <c r="H511" i="16" s="1"/>
  <c r="G510" i="16"/>
  <c r="H510" i="16" s="1"/>
  <c r="G509" i="16"/>
  <c r="H509" i="16" s="1"/>
  <c r="G508" i="16"/>
  <c r="H508" i="16" s="1"/>
  <c r="I508" i="16" s="1"/>
  <c r="G507" i="16"/>
  <c r="H507" i="16" s="1"/>
  <c r="G506" i="16"/>
  <c r="H506" i="16" s="1"/>
  <c r="I506" i="16" s="1"/>
  <c r="J506" i="16" s="1"/>
  <c r="G505" i="16"/>
  <c r="H505" i="16" s="1"/>
  <c r="G504" i="16"/>
  <c r="H504" i="16" s="1"/>
  <c r="G503" i="16"/>
  <c r="H503" i="16" s="1"/>
  <c r="G502" i="16"/>
  <c r="H502" i="16" s="1"/>
  <c r="G501" i="16"/>
  <c r="H501" i="16" s="1"/>
  <c r="G500" i="16"/>
  <c r="H500" i="16" s="1"/>
  <c r="G499" i="16"/>
  <c r="H499" i="16" s="1"/>
  <c r="I499" i="16" s="1"/>
  <c r="G498" i="16"/>
  <c r="H498" i="16" s="1"/>
  <c r="G497" i="16"/>
  <c r="H497" i="16" s="1"/>
  <c r="G496" i="16"/>
  <c r="H496" i="16" s="1"/>
  <c r="G495" i="16"/>
  <c r="H495" i="16" s="1"/>
  <c r="G494" i="16"/>
  <c r="H494" i="16" s="1"/>
  <c r="G493" i="16"/>
  <c r="H493" i="16" s="1"/>
  <c r="G492" i="16"/>
  <c r="H492" i="16" s="1"/>
  <c r="I492" i="16" s="1"/>
  <c r="G491" i="16"/>
  <c r="H491" i="16" s="1"/>
  <c r="G490" i="16"/>
  <c r="H490" i="16" s="1"/>
  <c r="I490" i="16" s="1"/>
  <c r="J490" i="16" s="1"/>
  <c r="G489" i="16"/>
  <c r="H489" i="16" s="1"/>
  <c r="G488" i="16"/>
  <c r="H488" i="16" s="1"/>
  <c r="J488" i="16" s="1"/>
  <c r="G487" i="16"/>
  <c r="H487" i="16" s="1"/>
  <c r="G486" i="16"/>
  <c r="H486" i="16" s="1"/>
  <c r="G485" i="16"/>
  <c r="H485" i="16" s="1"/>
  <c r="I485" i="16" s="1"/>
  <c r="G484" i="16"/>
  <c r="H484" i="16" s="1"/>
  <c r="G483" i="16"/>
  <c r="H483" i="16" s="1"/>
  <c r="G482" i="16"/>
  <c r="H482" i="16" s="1"/>
  <c r="G481" i="16"/>
  <c r="H481" i="16" s="1"/>
  <c r="G480" i="16"/>
  <c r="H480" i="16" s="1"/>
  <c r="G479" i="16"/>
  <c r="H479" i="16" s="1"/>
  <c r="G478" i="16"/>
  <c r="H478" i="16" s="1"/>
  <c r="I478" i="16" s="1"/>
  <c r="G477" i="16"/>
  <c r="H477" i="16" s="1"/>
  <c r="G476" i="16"/>
  <c r="H476" i="16" s="1"/>
  <c r="G475" i="16"/>
  <c r="H475" i="16" s="1"/>
  <c r="G474" i="16"/>
  <c r="H474" i="16" s="1"/>
  <c r="I474" i="16" s="1"/>
  <c r="G473" i="16"/>
  <c r="H473" i="16" s="1"/>
  <c r="I473" i="16" s="1"/>
  <c r="G472" i="16"/>
  <c r="H472" i="16" s="1"/>
  <c r="G471" i="16"/>
  <c r="H471" i="16" s="1"/>
  <c r="G470" i="16"/>
  <c r="H470" i="16" s="1"/>
  <c r="G469" i="16"/>
  <c r="H469" i="16" s="1"/>
  <c r="I469" i="16" s="1"/>
  <c r="G468" i="16"/>
  <c r="H468" i="16" s="1"/>
  <c r="G467" i="16"/>
  <c r="H467" i="16" s="1"/>
  <c r="I467" i="16" s="1"/>
  <c r="J467" i="16" s="1"/>
  <c r="G466" i="16"/>
  <c r="H466" i="16" s="1"/>
  <c r="G465" i="16"/>
  <c r="H465" i="16" s="1"/>
  <c r="I465" i="16" s="1"/>
  <c r="J465" i="16" s="1"/>
  <c r="G464" i="16"/>
  <c r="H464" i="16" s="1"/>
  <c r="G463" i="16"/>
  <c r="H463" i="16" s="1"/>
  <c r="G462" i="16"/>
  <c r="H462" i="16" s="1"/>
  <c r="I462" i="16" s="1"/>
  <c r="G461" i="16"/>
  <c r="H461" i="16" s="1"/>
  <c r="I461" i="16" s="1"/>
  <c r="J461" i="16" s="1"/>
  <c r="G460" i="16"/>
  <c r="H460" i="16" s="1"/>
  <c r="I460" i="16" s="1"/>
  <c r="G459" i="16"/>
  <c r="H459" i="16" s="1"/>
  <c r="I459" i="16" s="1"/>
  <c r="J459" i="16" s="1"/>
  <c r="G458" i="16"/>
  <c r="H458" i="16" s="1"/>
  <c r="I458" i="16" s="1"/>
  <c r="G457" i="16"/>
  <c r="H457" i="16" s="1"/>
  <c r="I457" i="16" s="1"/>
  <c r="J457" i="16" s="1"/>
  <c r="G456" i="16"/>
  <c r="H456" i="16" s="1"/>
  <c r="I456" i="16" s="1"/>
  <c r="G455" i="16"/>
  <c r="H455" i="16" s="1"/>
  <c r="G454" i="16"/>
  <c r="H454" i="16" s="1"/>
  <c r="I454" i="16" s="1"/>
  <c r="G453" i="16"/>
  <c r="H453" i="16" s="1"/>
  <c r="I453" i="16" s="1"/>
  <c r="J453" i="16" s="1"/>
  <c r="G452" i="16"/>
  <c r="H452" i="16" s="1"/>
  <c r="I452" i="16" s="1"/>
  <c r="G451" i="16"/>
  <c r="H451" i="16" s="1"/>
  <c r="G450" i="16"/>
  <c r="H450" i="16" s="1"/>
  <c r="I450" i="16" s="1"/>
  <c r="G449" i="16"/>
  <c r="H449" i="16" s="1"/>
  <c r="I449" i="16" s="1"/>
  <c r="G448" i="16"/>
  <c r="H448" i="16" s="1"/>
  <c r="I448" i="16" s="1"/>
  <c r="G447" i="16"/>
  <c r="H447" i="16" s="1"/>
  <c r="G446" i="16"/>
  <c r="H446" i="16" s="1"/>
  <c r="I446" i="16" s="1"/>
  <c r="G445" i="16"/>
  <c r="H445" i="16" s="1"/>
  <c r="I445" i="16" s="1"/>
  <c r="J445" i="16" s="1"/>
  <c r="G444" i="16"/>
  <c r="H444" i="16" s="1"/>
  <c r="I444" i="16" s="1"/>
  <c r="G443" i="16"/>
  <c r="H443" i="16" s="1"/>
  <c r="G442" i="16"/>
  <c r="H442" i="16" s="1"/>
  <c r="I442" i="16" s="1"/>
  <c r="G441" i="16"/>
  <c r="H441" i="16" s="1"/>
  <c r="I441" i="16" s="1"/>
  <c r="J441" i="16" s="1"/>
  <c r="G440" i="16"/>
  <c r="H440" i="16" s="1"/>
  <c r="I440" i="16" s="1"/>
  <c r="G439" i="16"/>
  <c r="H439" i="16" s="1"/>
  <c r="I439" i="16" s="1"/>
  <c r="J439" i="16" s="1"/>
  <c r="G438" i="16"/>
  <c r="H438" i="16" s="1"/>
  <c r="I438" i="16" s="1"/>
  <c r="G437" i="16"/>
  <c r="H437" i="16" s="1"/>
  <c r="I437" i="16" s="1"/>
  <c r="J437" i="16" s="1"/>
  <c r="G436" i="16"/>
  <c r="H436" i="16" s="1"/>
  <c r="J436" i="16" s="1"/>
  <c r="G435" i="16"/>
  <c r="H435" i="16" s="1"/>
  <c r="G434" i="16"/>
  <c r="H434" i="16" s="1"/>
  <c r="G433" i="16"/>
  <c r="H433" i="16" s="1"/>
  <c r="I433" i="16" s="1"/>
  <c r="J433" i="16" s="1"/>
  <c r="G432" i="16"/>
  <c r="H432" i="16" s="1"/>
  <c r="I432" i="16" s="1"/>
  <c r="J432" i="16" s="1"/>
  <c r="G431" i="16"/>
  <c r="H431" i="16" s="1"/>
  <c r="I431" i="16" s="1"/>
  <c r="G430" i="16"/>
  <c r="H430" i="16" s="1"/>
  <c r="G429" i="16"/>
  <c r="H429" i="16" s="1"/>
  <c r="I429" i="16" s="1"/>
  <c r="G428" i="16"/>
  <c r="H428" i="16" s="1"/>
  <c r="I428" i="16" s="1"/>
  <c r="J428" i="16" s="1"/>
  <c r="G427" i="16"/>
  <c r="H427" i="16" s="1"/>
  <c r="G426" i="16"/>
  <c r="H426" i="16" s="1"/>
  <c r="G425" i="16"/>
  <c r="H425" i="16" s="1"/>
  <c r="G424" i="16"/>
  <c r="H424" i="16" s="1"/>
  <c r="I424" i="16" s="1"/>
  <c r="J424" i="16" s="1"/>
  <c r="G423" i="16"/>
  <c r="H423" i="16" s="1"/>
  <c r="G422" i="16"/>
  <c r="H422" i="16" s="1"/>
  <c r="I422" i="16" s="1"/>
  <c r="J422" i="16" s="1"/>
  <c r="G421" i="16"/>
  <c r="H421" i="16" s="1"/>
  <c r="G420" i="16"/>
  <c r="H420" i="16" s="1"/>
  <c r="I420" i="16" s="1"/>
  <c r="G419" i="16"/>
  <c r="H419" i="16" s="1"/>
  <c r="G418" i="16"/>
  <c r="H418" i="16" s="1"/>
  <c r="G417" i="16"/>
  <c r="H417" i="16" s="1"/>
  <c r="I417" i="16" s="1"/>
  <c r="J417" i="16" s="1"/>
  <c r="G416" i="16"/>
  <c r="H416" i="16" s="1"/>
  <c r="I416" i="16" s="1"/>
  <c r="J416" i="16" s="1"/>
  <c r="G415" i="16"/>
  <c r="H415" i="16" s="1"/>
  <c r="G414" i="16"/>
  <c r="H414" i="16" s="1"/>
  <c r="G413" i="16"/>
  <c r="H413" i="16" s="1"/>
  <c r="I413" i="16" s="1"/>
  <c r="G412" i="16"/>
  <c r="H412" i="16" s="1"/>
  <c r="I412" i="16" s="1"/>
  <c r="J412" i="16" s="1"/>
  <c r="G411" i="16"/>
  <c r="H411" i="16" s="1"/>
  <c r="I411" i="16" s="1"/>
  <c r="G410" i="16"/>
  <c r="H410" i="16" s="1"/>
  <c r="I410" i="16" s="1"/>
  <c r="J410" i="16" s="1"/>
  <c r="G409" i="16"/>
  <c r="H409" i="16" s="1"/>
  <c r="G408" i="16"/>
  <c r="H408" i="16" s="1"/>
  <c r="I408" i="16" s="1"/>
  <c r="J408" i="16" s="1"/>
  <c r="G407" i="16"/>
  <c r="H407" i="16" s="1"/>
  <c r="G406" i="16"/>
  <c r="H406" i="16" s="1"/>
  <c r="I406" i="16" s="1"/>
  <c r="J406" i="16" s="1"/>
  <c r="G405" i="16"/>
  <c r="H405" i="16" s="1"/>
  <c r="G404" i="16"/>
  <c r="H404" i="16" s="1"/>
  <c r="I404" i="16" s="1"/>
  <c r="G403" i="16"/>
  <c r="H403" i="16" s="1"/>
  <c r="G402" i="16"/>
  <c r="H402" i="16" s="1"/>
  <c r="I402" i="16" s="1"/>
  <c r="G401" i="16"/>
  <c r="H401" i="16" s="1"/>
  <c r="I401" i="16" s="1"/>
  <c r="J401" i="16" s="1"/>
  <c r="G400" i="16"/>
  <c r="H400" i="16" s="1"/>
  <c r="I400" i="16" s="1"/>
  <c r="J400" i="16" s="1"/>
  <c r="G399" i="16"/>
  <c r="H399" i="16" s="1"/>
  <c r="G398" i="16"/>
  <c r="H398" i="16" s="1"/>
  <c r="G397" i="16"/>
  <c r="H397" i="16" s="1"/>
  <c r="I397" i="16" s="1"/>
  <c r="G396" i="16"/>
  <c r="H396" i="16" s="1"/>
  <c r="G395" i="16"/>
  <c r="H395" i="16" s="1"/>
  <c r="I395" i="16" s="1"/>
  <c r="G394" i="16"/>
  <c r="H394" i="16" s="1"/>
  <c r="I394" i="16" s="1"/>
  <c r="J394" i="16" s="1"/>
  <c r="G393" i="16"/>
  <c r="H393" i="16" s="1"/>
  <c r="G392" i="16"/>
  <c r="H392" i="16" s="1"/>
  <c r="I392" i="16" s="1"/>
  <c r="J392" i="16" s="1"/>
  <c r="G391" i="16"/>
  <c r="H391" i="16" s="1"/>
  <c r="G390" i="16"/>
  <c r="H390" i="16" s="1"/>
  <c r="I390" i="16" s="1"/>
  <c r="G389" i="16"/>
  <c r="H389" i="16" s="1"/>
  <c r="G388" i="16"/>
  <c r="H388" i="16" s="1"/>
  <c r="I388" i="16" s="1"/>
  <c r="G387" i="16"/>
  <c r="H387" i="16" s="1"/>
  <c r="I387" i="16" s="1"/>
  <c r="G386" i="16"/>
  <c r="H386" i="16" s="1"/>
  <c r="I386" i="16" s="1"/>
  <c r="G385" i="16"/>
  <c r="H385" i="16" s="1"/>
  <c r="I385" i="16" s="1"/>
  <c r="J385" i="16" s="1"/>
  <c r="G384" i="16"/>
  <c r="H384" i="16" s="1"/>
  <c r="I384" i="16" s="1"/>
  <c r="J384" i="16" s="1"/>
  <c r="G383" i="16"/>
  <c r="H383" i="16" s="1"/>
  <c r="G382" i="16"/>
  <c r="H382" i="16" s="1"/>
  <c r="G381" i="16"/>
  <c r="H381" i="16" s="1"/>
  <c r="J381" i="16" s="1"/>
  <c r="G380" i="16"/>
  <c r="H380" i="16" s="1"/>
  <c r="I380" i="16" s="1"/>
  <c r="G379" i="16"/>
  <c r="H379" i="16" s="1"/>
  <c r="I379" i="16" s="1"/>
  <c r="G378" i="16"/>
  <c r="H378" i="16" s="1"/>
  <c r="G377" i="16"/>
  <c r="H377" i="16" s="1"/>
  <c r="G376" i="16"/>
  <c r="H376" i="16" s="1"/>
  <c r="G375" i="16"/>
  <c r="H375" i="16" s="1"/>
  <c r="G374" i="16"/>
  <c r="H374" i="16" s="1"/>
  <c r="G373" i="16"/>
  <c r="H373" i="16" s="1"/>
  <c r="G372" i="16"/>
  <c r="H372" i="16" s="1"/>
  <c r="G371" i="16"/>
  <c r="H371" i="16" s="1"/>
  <c r="I371" i="16" s="1"/>
  <c r="G370" i="16"/>
  <c r="H370" i="16" s="1"/>
  <c r="J370" i="16" s="1"/>
  <c r="G369" i="16"/>
  <c r="H369" i="16" s="1"/>
  <c r="G368" i="16"/>
  <c r="H368" i="16" s="1"/>
  <c r="G367" i="16"/>
  <c r="H367" i="16" s="1"/>
  <c r="G366" i="16"/>
  <c r="H366" i="16" s="1"/>
  <c r="G365" i="16"/>
  <c r="H365" i="16" s="1"/>
  <c r="G364" i="16"/>
  <c r="H364" i="16" s="1"/>
  <c r="G363" i="16"/>
  <c r="H363" i="16" s="1"/>
  <c r="I363" i="16" s="1"/>
  <c r="G362" i="16"/>
  <c r="H362" i="16" s="1"/>
  <c r="I362" i="16" s="1"/>
  <c r="G361" i="16"/>
  <c r="H361" i="16" s="1"/>
  <c r="I361" i="16" s="1"/>
  <c r="G360" i="16"/>
  <c r="H360" i="16" s="1"/>
  <c r="G359" i="16"/>
  <c r="H359" i="16" s="1"/>
  <c r="G358" i="16"/>
  <c r="H358" i="16" s="1"/>
  <c r="J358" i="16" s="1"/>
  <c r="G357" i="16"/>
  <c r="H357" i="16" s="1"/>
  <c r="G356" i="16"/>
  <c r="H356" i="16" s="1"/>
  <c r="I356" i="16" s="1"/>
  <c r="J356" i="16" s="1"/>
  <c r="G355" i="16"/>
  <c r="H355" i="16" s="1"/>
  <c r="G354" i="16"/>
  <c r="H354" i="16" s="1"/>
  <c r="G353" i="16"/>
  <c r="H353" i="16" s="1"/>
  <c r="G352" i="16"/>
  <c r="H352" i="16" s="1"/>
  <c r="G351" i="16"/>
  <c r="H351" i="16" s="1"/>
  <c r="G350" i="16"/>
  <c r="H350" i="16" s="1"/>
  <c r="G349" i="16"/>
  <c r="H349" i="16" s="1"/>
  <c r="G348" i="16"/>
  <c r="H348" i="16" s="1"/>
  <c r="I348" i="16" s="1"/>
  <c r="G347" i="16"/>
  <c r="H347" i="16" s="1"/>
  <c r="I347" i="16" s="1"/>
  <c r="G346" i="16"/>
  <c r="H346" i="16" s="1"/>
  <c r="G345" i="16"/>
  <c r="H345" i="16" s="1"/>
  <c r="I345" i="16" s="1"/>
  <c r="G344" i="16"/>
  <c r="H344" i="16" s="1"/>
  <c r="I344" i="16" s="1"/>
  <c r="G343" i="16"/>
  <c r="H343" i="16" s="1"/>
  <c r="G342" i="16"/>
  <c r="H342" i="16" s="1"/>
  <c r="G341" i="16"/>
  <c r="H341" i="16" s="1"/>
  <c r="I341" i="16" s="1"/>
  <c r="G340" i="16"/>
  <c r="H340" i="16" s="1"/>
  <c r="I340" i="16" s="1"/>
  <c r="J340" i="16" s="1"/>
  <c r="G339" i="16"/>
  <c r="H339" i="16" s="1"/>
  <c r="G338" i="16"/>
  <c r="H338" i="16" s="1"/>
  <c r="G337" i="16"/>
  <c r="H337" i="16" s="1"/>
  <c r="G336" i="16"/>
  <c r="H336" i="16" s="1"/>
  <c r="G335" i="16"/>
  <c r="H335" i="16" s="1"/>
  <c r="J335" i="16" s="1"/>
  <c r="G334" i="16"/>
  <c r="H334" i="16" s="1"/>
  <c r="G333" i="16"/>
  <c r="H333" i="16" s="1"/>
  <c r="I333" i="16" s="1"/>
  <c r="J333" i="16" s="1"/>
  <c r="G332" i="16"/>
  <c r="H332" i="16" s="1"/>
  <c r="G331" i="16"/>
  <c r="H331" i="16" s="1"/>
  <c r="G330" i="16"/>
  <c r="H330" i="16" s="1"/>
  <c r="I330" i="16" s="1"/>
  <c r="G329" i="16"/>
  <c r="H329" i="16" s="1"/>
  <c r="G328" i="16"/>
  <c r="H328" i="16" s="1"/>
  <c r="G327" i="16"/>
  <c r="H327" i="16" s="1"/>
  <c r="I327" i="16" s="1"/>
  <c r="G326" i="16"/>
  <c r="H326" i="16" s="1"/>
  <c r="G325" i="16"/>
  <c r="H325" i="16" s="1"/>
  <c r="I325" i="16" s="1"/>
  <c r="J325" i="16" s="1"/>
  <c r="G324" i="16"/>
  <c r="H324" i="16" s="1"/>
  <c r="G323" i="16"/>
  <c r="H323" i="16" s="1"/>
  <c r="I323" i="16" s="1"/>
  <c r="G322" i="16"/>
  <c r="H322" i="16" s="1"/>
  <c r="G321" i="16"/>
  <c r="H321" i="16" s="1"/>
  <c r="I321" i="16" s="1"/>
  <c r="G320" i="16"/>
  <c r="H320" i="16" s="1"/>
  <c r="G319" i="16"/>
  <c r="H319" i="16" s="1"/>
  <c r="I319" i="16" s="1"/>
  <c r="J319" i="16" s="1"/>
  <c r="G318" i="16"/>
  <c r="H318" i="16" s="1"/>
  <c r="G317" i="16"/>
  <c r="H317" i="16" s="1"/>
  <c r="G316" i="16"/>
  <c r="H316" i="16" s="1"/>
  <c r="I316" i="16" s="1"/>
  <c r="G315" i="16"/>
  <c r="H315" i="16" s="1"/>
  <c r="G314" i="16"/>
  <c r="H314" i="16" s="1"/>
  <c r="G313" i="16"/>
  <c r="H313" i="16" s="1"/>
  <c r="I313" i="16" s="1"/>
  <c r="G312" i="16"/>
  <c r="H312" i="16" s="1"/>
  <c r="G311" i="16"/>
  <c r="H311" i="16" s="1"/>
  <c r="I311" i="16" s="1"/>
  <c r="G310" i="16"/>
  <c r="H310" i="16" s="1"/>
  <c r="G309" i="16"/>
  <c r="H309" i="16" s="1"/>
  <c r="I309" i="16" s="1"/>
  <c r="J309" i="16" s="1"/>
  <c r="G308" i="16"/>
  <c r="H308" i="16" s="1"/>
  <c r="G307" i="16"/>
  <c r="H307" i="16" s="1"/>
  <c r="G306" i="16"/>
  <c r="H306" i="16" s="1"/>
  <c r="G305" i="16"/>
  <c r="H305" i="16" s="1"/>
  <c r="I305" i="16" s="1"/>
  <c r="G304" i="16"/>
  <c r="H304" i="16" s="1"/>
  <c r="G303" i="16"/>
  <c r="H303" i="16" s="1"/>
  <c r="I303" i="16" s="1"/>
  <c r="J303" i="16" s="1"/>
  <c r="G302" i="16"/>
  <c r="H302" i="16" s="1"/>
  <c r="I302" i="16" s="1"/>
  <c r="J302" i="16" s="1"/>
  <c r="G301" i="16"/>
  <c r="H301" i="16" s="1"/>
  <c r="G300" i="16"/>
  <c r="H300" i="16" s="1"/>
  <c r="G299" i="16"/>
  <c r="H299" i="16" s="1"/>
  <c r="I299" i="16" s="1"/>
  <c r="J299" i="16" s="1"/>
  <c r="G298" i="16"/>
  <c r="H298" i="16" s="1"/>
  <c r="I298" i="16" s="1"/>
  <c r="G297" i="16"/>
  <c r="H297" i="16" s="1"/>
  <c r="G296" i="16"/>
  <c r="H296" i="16" s="1"/>
  <c r="I296" i="16" s="1"/>
  <c r="J296" i="16" s="1"/>
  <c r="G295" i="16"/>
  <c r="H295" i="16" s="1"/>
  <c r="I295" i="16" s="1"/>
  <c r="G294" i="16"/>
  <c r="H294" i="16" s="1"/>
  <c r="G293" i="16"/>
  <c r="H293" i="16" s="1"/>
  <c r="I293" i="16" s="1"/>
  <c r="J293" i="16" s="1"/>
  <c r="G292" i="16"/>
  <c r="H292" i="16" s="1"/>
  <c r="G291" i="16"/>
  <c r="H291" i="16" s="1"/>
  <c r="G290" i="16"/>
  <c r="H290" i="16" s="1"/>
  <c r="G289" i="16"/>
  <c r="H289" i="16" s="1"/>
  <c r="I289" i="16" s="1"/>
  <c r="G288" i="16"/>
  <c r="H288" i="16" s="1"/>
  <c r="G287" i="16"/>
  <c r="H287" i="16" s="1"/>
  <c r="I287" i="16" s="1"/>
  <c r="J287" i="16" s="1"/>
  <c r="G286" i="16"/>
  <c r="H286" i="16" s="1"/>
  <c r="G285" i="16"/>
  <c r="H285" i="16" s="1"/>
  <c r="I285" i="16" s="1"/>
  <c r="G284" i="16"/>
  <c r="H284" i="16" s="1"/>
  <c r="I284" i="16" s="1"/>
  <c r="G283" i="16"/>
  <c r="H283" i="16" s="1"/>
  <c r="I283" i="16" s="1"/>
  <c r="J283" i="16" s="1"/>
  <c r="G282" i="16"/>
  <c r="H282" i="16" s="1"/>
  <c r="G281" i="16"/>
  <c r="H281" i="16" s="1"/>
  <c r="I281" i="16" s="1"/>
  <c r="G280" i="16"/>
  <c r="H280" i="16" s="1"/>
  <c r="I280" i="16" s="1"/>
  <c r="J280" i="16" s="1"/>
  <c r="G279" i="16"/>
  <c r="H279" i="16" s="1"/>
  <c r="I279" i="16" s="1"/>
  <c r="G278" i="16"/>
  <c r="H278" i="16" s="1"/>
  <c r="G277" i="16"/>
  <c r="H277" i="16" s="1"/>
  <c r="I277" i="16" s="1"/>
  <c r="G276" i="16"/>
  <c r="H276" i="16" s="1"/>
  <c r="G275" i="16"/>
  <c r="H275" i="16" s="1"/>
  <c r="G274" i="16"/>
  <c r="H274" i="16" s="1"/>
  <c r="G273" i="16"/>
  <c r="H273" i="16" s="1"/>
  <c r="I273" i="16" s="1"/>
  <c r="G272" i="16"/>
  <c r="H272" i="16" s="1"/>
  <c r="G271" i="16"/>
  <c r="H271" i="16" s="1"/>
  <c r="I271" i="16" s="1"/>
  <c r="J271" i="16" s="1"/>
  <c r="G270" i="16"/>
  <c r="H270" i="16" s="1"/>
  <c r="I270" i="16" s="1"/>
  <c r="J270" i="16" s="1"/>
  <c r="G269" i="16"/>
  <c r="H269" i="16" s="1"/>
  <c r="I269" i="16" s="1"/>
  <c r="J269" i="16" s="1"/>
  <c r="G268" i="16"/>
  <c r="H268" i="16" s="1"/>
  <c r="I268" i="16" s="1"/>
  <c r="G267" i="16"/>
  <c r="H267" i="16" s="1"/>
  <c r="I267" i="16" s="1"/>
  <c r="J267" i="16" s="1"/>
  <c r="G266" i="16"/>
  <c r="H266" i="16" s="1"/>
  <c r="G265" i="16"/>
  <c r="H265" i="16" s="1"/>
  <c r="G264" i="16"/>
  <c r="H264" i="16" s="1"/>
  <c r="I264" i="16" s="1"/>
  <c r="G263" i="16"/>
  <c r="H263" i="16" s="1"/>
  <c r="I263" i="16" s="1"/>
  <c r="G262" i="16"/>
  <c r="H262" i="16" s="1"/>
  <c r="G261" i="16"/>
  <c r="H261" i="16" s="1"/>
  <c r="I261" i="16" s="1"/>
  <c r="J261" i="16" s="1"/>
  <c r="G260" i="16"/>
  <c r="H260" i="16" s="1"/>
  <c r="G259" i="16"/>
  <c r="H259" i="16" s="1"/>
  <c r="G258" i="16"/>
  <c r="H258" i="16" s="1"/>
  <c r="G257" i="16"/>
  <c r="H257" i="16" s="1"/>
  <c r="I257" i="16" s="1"/>
  <c r="G256" i="16"/>
  <c r="H256" i="16" s="1"/>
  <c r="G255" i="16"/>
  <c r="H255" i="16" s="1"/>
  <c r="I255" i="16" s="1"/>
  <c r="J255" i="16" s="1"/>
  <c r="G254" i="16"/>
  <c r="H254" i="16" s="1"/>
  <c r="G253" i="16"/>
  <c r="H253" i="16" s="1"/>
  <c r="G252" i="16"/>
  <c r="H252" i="16" s="1"/>
  <c r="I252" i="16" s="1"/>
  <c r="G251" i="16"/>
  <c r="H251" i="16" s="1"/>
  <c r="I251" i="16" s="1"/>
  <c r="G250" i="16"/>
  <c r="H250" i="16" s="1"/>
  <c r="G249" i="16"/>
  <c r="H249" i="16" s="1"/>
  <c r="G248" i="16"/>
  <c r="H248" i="16" s="1"/>
  <c r="I248" i="16" s="1"/>
  <c r="G247" i="16"/>
  <c r="H247" i="16" s="1"/>
  <c r="I247" i="16" s="1"/>
  <c r="G246" i="16"/>
  <c r="H246" i="16" s="1"/>
  <c r="I246" i="16" s="1"/>
  <c r="J246" i="16" s="1"/>
  <c r="G245" i="16"/>
  <c r="H245" i="16" s="1"/>
  <c r="I245" i="16" s="1"/>
  <c r="G244" i="16"/>
  <c r="H244" i="16" s="1"/>
  <c r="G243" i="16"/>
  <c r="H243" i="16" s="1"/>
  <c r="G242" i="16"/>
  <c r="H242" i="16" s="1"/>
  <c r="G241" i="16"/>
  <c r="H241" i="16" s="1"/>
  <c r="I241" i="16" s="1"/>
  <c r="G240" i="16"/>
  <c r="H240" i="16" s="1"/>
  <c r="G239" i="16"/>
  <c r="H239" i="16" s="1"/>
  <c r="I239" i="16" s="1"/>
  <c r="J239" i="16" s="1"/>
  <c r="G238" i="16"/>
  <c r="H238" i="16" s="1"/>
  <c r="I238" i="16" s="1"/>
  <c r="J238" i="16" s="1"/>
  <c r="G237" i="16"/>
  <c r="H237" i="16" s="1"/>
  <c r="G236" i="16"/>
  <c r="H236" i="16" s="1"/>
  <c r="I236" i="16" s="1"/>
  <c r="G235" i="16"/>
  <c r="H235" i="16" s="1"/>
  <c r="I235" i="16" s="1"/>
  <c r="J235" i="16" s="1"/>
  <c r="G234" i="16"/>
  <c r="H234" i="16" s="1"/>
  <c r="G233" i="16"/>
  <c r="H233" i="16" s="1"/>
  <c r="G232" i="16"/>
  <c r="H232" i="16" s="1"/>
  <c r="I232" i="16" s="1"/>
  <c r="J232" i="16" s="1"/>
  <c r="G231" i="16"/>
  <c r="H231" i="16" s="1"/>
  <c r="I231" i="16" s="1"/>
  <c r="G230" i="16"/>
  <c r="H230" i="16" s="1"/>
  <c r="G229" i="16"/>
  <c r="H229" i="16" s="1"/>
  <c r="I229" i="16" s="1"/>
  <c r="J229" i="16" s="1"/>
  <c r="G228" i="16"/>
  <c r="H228" i="16" s="1"/>
  <c r="G227" i="16"/>
  <c r="H227" i="16" s="1"/>
  <c r="G226" i="16"/>
  <c r="H226" i="16" s="1"/>
  <c r="G225" i="16"/>
  <c r="H225" i="16" s="1"/>
  <c r="I225" i="16" s="1"/>
  <c r="G224" i="16"/>
  <c r="H224" i="16" s="1"/>
  <c r="G223" i="16"/>
  <c r="H223" i="16" s="1"/>
  <c r="I223" i="16" s="1"/>
  <c r="J223" i="16" s="1"/>
  <c r="G222" i="16"/>
  <c r="H222" i="16" s="1"/>
  <c r="G221" i="16"/>
  <c r="H221" i="16" s="1"/>
  <c r="G220" i="16"/>
  <c r="H220" i="16" s="1"/>
  <c r="I220" i="16" s="1"/>
  <c r="G219" i="16"/>
  <c r="H219" i="16" s="1"/>
  <c r="I219" i="16" s="1"/>
  <c r="J219" i="16" s="1"/>
  <c r="G218" i="16"/>
  <c r="H218" i="16" s="1"/>
  <c r="G217" i="16"/>
  <c r="H217" i="16" s="1"/>
  <c r="G216" i="16"/>
  <c r="H216" i="16" s="1"/>
  <c r="I216" i="16" s="1"/>
  <c r="J216" i="16" s="1"/>
  <c r="G215" i="16"/>
  <c r="H215" i="16" s="1"/>
  <c r="I215" i="16" s="1"/>
  <c r="G214" i="16"/>
  <c r="H214" i="16" s="1"/>
  <c r="I214" i="16" s="1"/>
  <c r="J214" i="16" s="1"/>
  <c r="G213" i="16"/>
  <c r="H213" i="16" s="1"/>
  <c r="I213" i="16" s="1"/>
  <c r="G212" i="16"/>
  <c r="H212" i="16" s="1"/>
  <c r="G211" i="16"/>
  <c r="H211" i="16" s="1"/>
  <c r="G210" i="16"/>
  <c r="H210" i="16" s="1"/>
  <c r="G209" i="16"/>
  <c r="H209" i="16" s="1"/>
  <c r="I209" i="16" s="1"/>
  <c r="G208" i="16"/>
  <c r="H208" i="16" s="1"/>
  <c r="G207" i="16"/>
  <c r="H207" i="16" s="1"/>
  <c r="I207" i="16" s="1"/>
  <c r="J207" i="16" s="1"/>
  <c r="G206" i="16"/>
  <c r="H206" i="16" s="1"/>
  <c r="G205" i="16"/>
  <c r="H205" i="16" s="1"/>
  <c r="I205" i="16" s="1"/>
  <c r="J205" i="16" s="1"/>
  <c r="G204" i="16"/>
  <c r="H204" i="16" s="1"/>
  <c r="I204" i="16" s="1"/>
  <c r="G203" i="16"/>
  <c r="H203" i="16" s="1"/>
  <c r="I203" i="16" s="1"/>
  <c r="G202" i="16"/>
  <c r="H202" i="16" s="1"/>
  <c r="G201" i="16"/>
  <c r="H201" i="16" s="1"/>
  <c r="G200" i="16"/>
  <c r="H200" i="16" s="1"/>
  <c r="I200" i="16" s="1"/>
  <c r="G199" i="16"/>
  <c r="H199" i="16" s="1"/>
  <c r="I199" i="16" s="1"/>
  <c r="G198" i="16"/>
  <c r="H198" i="16" s="1"/>
  <c r="G197" i="16"/>
  <c r="H197" i="16" s="1"/>
  <c r="G196" i="16"/>
  <c r="H196" i="16" s="1"/>
  <c r="I196" i="16" s="1"/>
  <c r="J196" i="16" s="1"/>
  <c r="G195" i="16"/>
  <c r="H195" i="16" s="1"/>
  <c r="G194" i="16"/>
  <c r="H194" i="16" s="1"/>
  <c r="G193" i="16"/>
  <c r="H193" i="16" s="1"/>
  <c r="G192" i="16"/>
  <c r="H192" i="16" s="1"/>
  <c r="G191" i="16"/>
  <c r="H191" i="16" s="1"/>
  <c r="G190" i="16"/>
  <c r="H190" i="16" s="1"/>
  <c r="G189" i="16"/>
  <c r="H189" i="16" s="1"/>
  <c r="G188" i="16"/>
  <c r="H188" i="16" s="1"/>
  <c r="G187" i="16"/>
  <c r="H187" i="16" s="1"/>
  <c r="G186" i="16"/>
  <c r="H186" i="16" s="1"/>
  <c r="G185" i="16"/>
  <c r="H185" i="16" s="1"/>
  <c r="G184" i="16"/>
  <c r="H184" i="16" s="1"/>
  <c r="G183" i="16"/>
  <c r="H183" i="16" s="1"/>
  <c r="G182" i="16"/>
  <c r="H182" i="16" s="1"/>
  <c r="G181" i="16"/>
  <c r="H181" i="16" s="1"/>
  <c r="G180" i="16"/>
  <c r="H180" i="16" s="1"/>
  <c r="G179" i="16"/>
  <c r="H179" i="16" s="1"/>
  <c r="G178" i="16"/>
  <c r="H178" i="16" s="1"/>
  <c r="G177" i="16"/>
  <c r="H177" i="16" s="1"/>
  <c r="G176" i="16"/>
  <c r="H176" i="16" s="1"/>
  <c r="G175" i="16"/>
  <c r="H175" i="16" s="1"/>
  <c r="G174" i="16"/>
  <c r="H174" i="16" s="1"/>
  <c r="G173" i="16"/>
  <c r="H173" i="16" s="1"/>
  <c r="G172" i="16"/>
  <c r="H172" i="16" s="1"/>
  <c r="G171" i="16"/>
  <c r="H171" i="16" s="1"/>
  <c r="G170" i="16"/>
  <c r="H170" i="16" s="1"/>
  <c r="G169" i="16"/>
  <c r="H169" i="16" s="1"/>
  <c r="G168" i="16"/>
  <c r="H168" i="16" s="1"/>
  <c r="G167" i="16"/>
  <c r="H167" i="16" s="1"/>
  <c r="G166" i="16"/>
  <c r="H166" i="16" s="1"/>
  <c r="G165" i="16"/>
  <c r="H165" i="16" s="1"/>
  <c r="G164" i="16"/>
  <c r="H164" i="16" s="1"/>
  <c r="G163" i="16"/>
  <c r="H163" i="16" s="1"/>
  <c r="G162" i="16"/>
  <c r="H162" i="16" s="1"/>
  <c r="G161" i="16"/>
  <c r="H161" i="16" s="1"/>
  <c r="G160" i="16"/>
  <c r="H160" i="16" s="1"/>
  <c r="G159" i="16"/>
  <c r="H159" i="16" s="1"/>
  <c r="G158" i="16"/>
  <c r="H158" i="16" s="1"/>
  <c r="G157" i="16"/>
  <c r="H157" i="16" s="1"/>
  <c r="G156" i="16"/>
  <c r="H156" i="16" s="1"/>
  <c r="G155" i="16"/>
  <c r="H155" i="16" s="1"/>
  <c r="G154" i="16"/>
  <c r="H154" i="16" s="1"/>
  <c r="G153" i="16"/>
  <c r="H153" i="16" s="1"/>
  <c r="G152" i="16"/>
  <c r="H152" i="16" s="1"/>
  <c r="G151" i="16"/>
  <c r="H151" i="16" s="1"/>
  <c r="G150" i="16"/>
  <c r="H150" i="16" s="1"/>
  <c r="G149" i="16"/>
  <c r="H149" i="16" s="1"/>
  <c r="G148" i="16"/>
  <c r="H148" i="16" s="1"/>
  <c r="H147" i="16"/>
  <c r="H146" i="16"/>
  <c r="G145" i="16"/>
  <c r="H145" i="16" s="1"/>
  <c r="G144" i="16"/>
  <c r="H144" i="16" s="1"/>
  <c r="G143" i="16"/>
  <c r="H143" i="16" s="1"/>
  <c r="G142" i="16"/>
  <c r="H142" i="16" s="1"/>
  <c r="G141" i="16"/>
  <c r="H141" i="16" s="1"/>
  <c r="G140" i="16"/>
  <c r="H140" i="16" s="1"/>
  <c r="G139" i="16"/>
  <c r="H139" i="16" s="1"/>
  <c r="G138" i="16"/>
  <c r="H138" i="16" s="1"/>
  <c r="G137" i="16"/>
  <c r="H137" i="16" s="1"/>
  <c r="G136" i="16"/>
  <c r="H136" i="16" s="1"/>
  <c r="G135" i="16"/>
  <c r="H135" i="16" s="1"/>
  <c r="G134" i="16"/>
  <c r="H134" i="16" s="1"/>
  <c r="G133" i="16"/>
  <c r="H133" i="16" s="1"/>
  <c r="G132" i="16"/>
  <c r="H132" i="16" s="1"/>
  <c r="G131" i="16"/>
  <c r="H131" i="16" s="1"/>
  <c r="G130" i="16"/>
  <c r="H130" i="16" s="1"/>
  <c r="G129" i="16"/>
  <c r="H129" i="16" s="1"/>
  <c r="G128" i="16"/>
  <c r="H128" i="16" s="1"/>
  <c r="G127" i="16"/>
  <c r="H127" i="16" s="1"/>
  <c r="G126" i="16"/>
  <c r="H126" i="16" s="1"/>
  <c r="G125" i="16"/>
  <c r="H125" i="16" s="1"/>
  <c r="G124" i="16"/>
  <c r="H124" i="16" s="1"/>
  <c r="G123" i="16"/>
  <c r="H123" i="16" s="1"/>
  <c r="G122" i="16"/>
  <c r="H122" i="16" s="1"/>
  <c r="G121" i="16"/>
  <c r="H121" i="16" s="1"/>
  <c r="G120" i="16"/>
  <c r="H120" i="16" s="1"/>
  <c r="G119" i="16"/>
  <c r="H119" i="16" s="1"/>
  <c r="G118" i="16"/>
  <c r="H118" i="16" s="1"/>
  <c r="G117" i="16"/>
  <c r="H117" i="16" s="1"/>
  <c r="G116" i="16"/>
  <c r="H116" i="16" s="1"/>
  <c r="G115" i="16"/>
  <c r="H115" i="16" s="1"/>
  <c r="G114" i="16"/>
  <c r="H114" i="16" s="1"/>
  <c r="G113" i="16"/>
  <c r="H113" i="16" s="1"/>
  <c r="G112" i="16"/>
  <c r="H112" i="16" s="1"/>
  <c r="G111" i="16"/>
  <c r="H111" i="16" s="1"/>
  <c r="G110" i="16"/>
  <c r="H110" i="16" s="1"/>
  <c r="G109" i="16"/>
  <c r="H109" i="16" s="1"/>
  <c r="G108" i="16"/>
  <c r="H108" i="16" s="1"/>
  <c r="G107" i="16"/>
  <c r="H107" i="16" s="1"/>
  <c r="G106" i="16"/>
  <c r="H106" i="16" s="1"/>
  <c r="H105" i="16"/>
  <c r="G92" i="16"/>
  <c r="H92" i="16" s="1"/>
  <c r="G91" i="16"/>
  <c r="H91" i="16" s="1"/>
  <c r="G90" i="16"/>
  <c r="H90" i="16" s="1"/>
  <c r="G89" i="16"/>
  <c r="H89" i="16" s="1"/>
  <c r="G88" i="16"/>
  <c r="H88" i="16" s="1"/>
  <c r="G87" i="16"/>
  <c r="H87" i="16" s="1"/>
  <c r="G86" i="16"/>
  <c r="H86" i="16" s="1"/>
  <c r="G85" i="16"/>
  <c r="H85" i="16" s="1"/>
  <c r="G84" i="16"/>
  <c r="H84" i="16" s="1"/>
  <c r="G83" i="16"/>
  <c r="H83" i="16" s="1"/>
  <c r="G82" i="16"/>
  <c r="H82" i="16" s="1"/>
  <c r="G81" i="16"/>
  <c r="H81" i="16" s="1"/>
  <c r="G80" i="16"/>
  <c r="H80" i="16" s="1"/>
  <c r="G79" i="16"/>
  <c r="H79" i="16" s="1"/>
  <c r="G78" i="16"/>
  <c r="H78" i="16" s="1"/>
  <c r="G77" i="16"/>
  <c r="H77" i="16" s="1"/>
  <c r="G76" i="16"/>
  <c r="H76" i="16" s="1"/>
  <c r="G75" i="16"/>
  <c r="H75" i="16" s="1"/>
  <c r="G74" i="16"/>
  <c r="H74" i="16" s="1"/>
  <c r="G73" i="16"/>
  <c r="H73" i="16" s="1"/>
  <c r="G72" i="16"/>
  <c r="H72" i="16" s="1"/>
  <c r="G71" i="16"/>
  <c r="H71" i="16" s="1"/>
  <c r="J71" i="16" s="1"/>
  <c r="G70" i="16"/>
  <c r="H70" i="16" s="1"/>
  <c r="I70" i="16" s="1"/>
  <c r="G69" i="16"/>
  <c r="H69" i="16" s="1"/>
  <c r="I69" i="16" s="1"/>
  <c r="J69" i="16" s="1"/>
  <c r="G68" i="16"/>
  <c r="H68" i="16" s="1"/>
  <c r="G67" i="16"/>
  <c r="H67" i="16" s="1"/>
  <c r="I67" i="16" s="1"/>
  <c r="J67" i="16" s="1"/>
  <c r="G66" i="16"/>
  <c r="H66" i="16" s="1"/>
  <c r="G65" i="16"/>
  <c r="H65" i="16" s="1"/>
  <c r="I65" i="16" s="1"/>
  <c r="J65" i="16" s="1"/>
  <c r="G64" i="16"/>
  <c r="H64" i="16" s="1"/>
  <c r="G63" i="16"/>
  <c r="H63" i="16" s="1"/>
  <c r="I63" i="16" s="1"/>
  <c r="J63" i="16" s="1"/>
  <c r="G62" i="16"/>
  <c r="H62" i="16" s="1"/>
  <c r="I62" i="16" s="1"/>
  <c r="G61" i="16"/>
  <c r="H61" i="16" s="1"/>
  <c r="I61" i="16" s="1"/>
  <c r="J61" i="16" s="1"/>
  <c r="G60" i="16"/>
  <c r="H60" i="16" s="1"/>
  <c r="G59" i="16"/>
  <c r="H59" i="16" s="1"/>
  <c r="I59" i="16" s="1"/>
  <c r="J59" i="16" s="1"/>
  <c r="G58" i="16"/>
  <c r="H58" i="16" s="1"/>
  <c r="G57" i="16"/>
  <c r="H57" i="16" s="1"/>
  <c r="I57" i="16" s="1"/>
  <c r="J57" i="16" s="1"/>
  <c r="G56" i="16"/>
  <c r="H56" i="16" s="1"/>
  <c r="I56" i="16" s="1"/>
  <c r="G55" i="16"/>
  <c r="H55" i="16" s="1"/>
  <c r="I55" i="16" s="1"/>
  <c r="J55" i="16" s="1"/>
  <c r="H53" i="16"/>
  <c r="I53" i="16" s="1"/>
  <c r="J53" i="16" s="1"/>
  <c r="H52" i="16"/>
  <c r="H51" i="16"/>
  <c r="I51" i="16" s="1"/>
  <c r="J51" i="16" s="1"/>
  <c r="H50" i="16"/>
  <c r="I50" i="16" s="1"/>
  <c r="H49" i="16"/>
  <c r="I49" i="16" s="1"/>
  <c r="J49" i="16" s="1"/>
  <c r="H48" i="16"/>
  <c r="G47" i="16"/>
  <c r="H47" i="16" s="1"/>
  <c r="I47" i="16" s="1"/>
  <c r="J47" i="16" s="1"/>
  <c r="G46" i="16"/>
  <c r="H46" i="16" s="1"/>
  <c r="G45" i="16"/>
  <c r="H45" i="16" s="1"/>
  <c r="I45" i="16" s="1"/>
  <c r="J45" i="16" s="1"/>
  <c r="G44" i="16"/>
  <c r="H44" i="16" s="1"/>
  <c r="G43" i="16"/>
  <c r="H43" i="16" s="1"/>
  <c r="I43" i="16" s="1"/>
  <c r="J43" i="16" s="1"/>
  <c r="G42" i="16"/>
  <c r="H42" i="16" s="1"/>
  <c r="G41" i="16"/>
  <c r="H41" i="16" s="1"/>
  <c r="I41" i="16" s="1"/>
  <c r="J41" i="16" s="1"/>
  <c r="G40" i="16"/>
  <c r="H40" i="16" s="1"/>
  <c r="G39" i="16"/>
  <c r="H39" i="16" s="1"/>
  <c r="I39" i="16" s="1"/>
  <c r="J39" i="16" s="1"/>
  <c r="G38" i="16"/>
  <c r="H38" i="16" s="1"/>
  <c r="G37" i="16"/>
  <c r="H37" i="16" s="1"/>
  <c r="I37" i="16" s="1"/>
  <c r="J37" i="16" s="1"/>
  <c r="G36" i="16"/>
  <c r="H36" i="16" s="1"/>
  <c r="G35" i="16"/>
  <c r="H35" i="16" s="1"/>
  <c r="I35" i="16" s="1"/>
  <c r="J35" i="16" s="1"/>
  <c r="G34" i="16"/>
  <c r="H34" i="16" s="1"/>
  <c r="G33" i="16"/>
  <c r="H33" i="16" s="1"/>
  <c r="I33" i="16" s="1"/>
  <c r="J33" i="16" s="1"/>
  <c r="G32" i="16"/>
  <c r="H32" i="16" s="1"/>
  <c r="G31" i="16"/>
  <c r="H31" i="16" s="1"/>
  <c r="J31" i="16" s="1"/>
  <c r="G30" i="16"/>
  <c r="H30" i="16" s="1"/>
  <c r="G29" i="16"/>
  <c r="H29" i="16" s="1"/>
  <c r="I29" i="16" s="1"/>
  <c r="J29" i="16" s="1"/>
  <c r="G28" i="16"/>
  <c r="H28" i="16" s="1"/>
  <c r="G27" i="16"/>
  <c r="H27" i="16" s="1"/>
  <c r="I27" i="16" s="1"/>
  <c r="J27" i="16" s="1"/>
  <c r="G26" i="16"/>
  <c r="H26" i="16" s="1"/>
  <c r="G25" i="16"/>
  <c r="H25" i="16" s="1"/>
  <c r="I25" i="16" s="1"/>
  <c r="J25" i="16" s="1"/>
  <c r="G24" i="16"/>
  <c r="H24" i="16" s="1"/>
  <c r="G23" i="16"/>
  <c r="H23" i="16" s="1"/>
  <c r="I23" i="16" s="1"/>
  <c r="J23" i="16" s="1"/>
  <c r="G22" i="16"/>
  <c r="H22" i="16" s="1"/>
  <c r="G21" i="16"/>
  <c r="H21" i="16" s="1"/>
  <c r="J21" i="16" s="1"/>
  <c r="G20" i="16"/>
  <c r="H20" i="16" s="1"/>
  <c r="G19" i="16"/>
  <c r="H19" i="16" s="1"/>
  <c r="I19" i="16" s="1"/>
  <c r="J19" i="16" s="1"/>
  <c r="G18" i="16"/>
  <c r="H18" i="16" s="1"/>
  <c r="G17" i="16"/>
  <c r="H17" i="16" s="1"/>
  <c r="G16" i="16"/>
  <c r="H16" i="16" s="1"/>
  <c r="G15" i="16"/>
  <c r="H15" i="16" s="1"/>
  <c r="G14" i="16"/>
  <c r="H14" i="16" s="1"/>
  <c r="G13" i="16"/>
  <c r="H13" i="16" s="1"/>
  <c r="G12" i="16"/>
  <c r="H12" i="16" s="1"/>
  <c r="G11" i="16"/>
  <c r="H11" i="16" s="1"/>
  <c r="G10" i="16"/>
  <c r="H10" i="16" s="1"/>
  <c r="G9" i="16"/>
  <c r="H9" i="16" s="1"/>
  <c r="G8" i="16"/>
  <c r="H8" i="16" s="1"/>
  <c r="G7" i="16"/>
  <c r="H7" i="16" s="1"/>
  <c r="G6" i="16"/>
  <c r="H6" i="16" s="1"/>
  <c r="G5" i="16"/>
  <c r="H5" i="16" s="1"/>
  <c r="G4" i="16"/>
  <c r="H4" i="16" s="1"/>
  <c r="G3" i="16"/>
  <c r="H3" i="16" s="1"/>
  <c r="G2" i="16"/>
  <c r="H2" i="16" s="1"/>
  <c r="J747" i="16" l="1"/>
  <c r="J231" i="16"/>
  <c r="J563" i="16"/>
  <c r="J225" i="16"/>
  <c r="J263" i="16"/>
  <c r="I320" i="16"/>
  <c r="J320" i="16" s="1"/>
  <c r="I483" i="16"/>
  <c r="J483" i="16" s="1"/>
  <c r="J273" i="16"/>
  <c r="J462" i="16"/>
  <c r="J469" i="16"/>
  <c r="J669" i="16"/>
  <c r="J654" i="16"/>
  <c r="J661" i="16"/>
  <c r="J241" i="16"/>
  <c r="J478" i="16"/>
  <c r="J402" i="16"/>
  <c r="J199" i="16"/>
  <c r="J209" i="16"/>
  <c r="J277" i="16"/>
  <c r="J440" i="16"/>
  <c r="J215" i="16"/>
  <c r="J448" i="16"/>
  <c r="J454" i="16"/>
  <c r="J492" i="16"/>
  <c r="I310" i="16"/>
  <c r="J310" i="16" s="1"/>
  <c r="I364" i="16"/>
  <c r="J364" i="16" s="1"/>
  <c r="I476" i="16"/>
  <c r="J476" i="16" s="1"/>
  <c r="I555" i="16"/>
  <c r="J555" i="16" s="1"/>
  <c r="I399" i="16"/>
  <c r="J399" i="16" s="1"/>
  <c r="I68" i="16"/>
  <c r="J68" i="16" s="1"/>
  <c r="I373" i="16"/>
  <c r="J373" i="16" s="1"/>
  <c r="I463" i="16"/>
  <c r="J463" i="16" s="1"/>
  <c r="I533" i="16"/>
  <c r="J533" i="16" s="1"/>
  <c r="I64" i="16"/>
  <c r="J64" i="16" s="1"/>
  <c r="I596" i="16"/>
  <c r="J596" i="16" s="1"/>
  <c r="I368" i="16"/>
  <c r="J368" i="16" s="1"/>
  <c r="I372" i="16"/>
  <c r="J372" i="16" s="1"/>
  <c r="I58" i="16"/>
  <c r="J58" i="16" s="1"/>
  <c r="I52" i="16"/>
  <c r="J52" i="16" s="1"/>
  <c r="I194" i="16"/>
  <c r="J194" i="16" s="1"/>
  <c r="I376" i="16"/>
  <c r="J376" i="16" s="1"/>
  <c r="I383" i="16"/>
  <c r="J383" i="16" s="1"/>
  <c r="I60" i="16"/>
  <c r="J60" i="16" s="1"/>
  <c r="I66" i="16"/>
  <c r="I349" i="16"/>
  <c r="J349" i="16" s="1"/>
  <c r="I253" i="16"/>
  <c r="J253" i="16" s="1"/>
  <c r="J295" i="16"/>
  <c r="J327" i="16"/>
  <c r="J431" i="16"/>
  <c r="J245" i="16"/>
  <c r="I278" i="16"/>
  <c r="J278" i="16" s="1"/>
  <c r="J305" i="16"/>
  <c r="I315" i="16"/>
  <c r="J315" i="16" s="1"/>
  <c r="I374" i="16"/>
  <c r="J374" i="16" s="1"/>
  <c r="I378" i="16"/>
  <c r="J378" i="16" s="1"/>
  <c r="I418" i="16"/>
  <c r="J418" i="16" s="1"/>
  <c r="J580" i="16"/>
  <c r="J591" i="16"/>
  <c r="I651" i="16"/>
  <c r="J651" i="16" s="1"/>
  <c r="J656" i="16"/>
  <c r="J203" i="16"/>
  <c r="I221" i="16"/>
  <c r="J221" i="16" s="1"/>
  <c r="J251" i="16"/>
  <c r="I301" i="16"/>
  <c r="J301" i="16" s="1"/>
  <c r="J575" i="16"/>
  <c r="I672" i="16"/>
  <c r="J672" i="16" s="1"/>
  <c r="J264" i="16"/>
  <c r="I415" i="16"/>
  <c r="J415" i="16" s="1"/>
  <c r="I451" i="16"/>
  <c r="J451" i="16" s="1"/>
  <c r="J70" i="16"/>
  <c r="J213" i="16"/>
  <c r="J279" i="16"/>
  <c r="J298" i="16"/>
  <c r="J341" i="16"/>
  <c r="J387" i="16"/>
  <c r="I426" i="16"/>
  <c r="J426" i="16" s="1"/>
  <c r="J438" i="16"/>
  <c r="J485" i="16"/>
  <c r="I539" i="16"/>
  <c r="J539" i="16" s="1"/>
  <c r="J547" i="16"/>
  <c r="J653" i="16"/>
  <c r="J658" i="16"/>
  <c r="I237" i="16"/>
  <c r="J237" i="16" s="1"/>
  <c r="J247" i="16"/>
  <c r="J257" i="16"/>
  <c r="I312" i="16"/>
  <c r="J312" i="16" s="1"/>
  <c r="J321" i="16"/>
  <c r="J50" i="16"/>
  <c r="J56" i="16"/>
  <c r="J62" i="16"/>
  <c r="J200" i="16"/>
  <c r="J248" i="16"/>
  <c r="J285" i="16"/>
  <c r="I357" i="16"/>
  <c r="J357" i="16" s="1"/>
  <c r="J380" i="16"/>
  <c r="I435" i="16"/>
  <c r="J435" i="16" s="1"/>
  <c r="J752" i="16"/>
  <c r="J759" i="16"/>
  <c r="J748" i="16"/>
  <c r="J743" i="16"/>
  <c r="J456" i="16"/>
  <c r="J585" i="16"/>
  <c r="I13" i="16"/>
  <c r="J13" i="16" s="1"/>
  <c r="I80" i="16"/>
  <c r="J80" i="16" s="1"/>
  <c r="I108" i="16"/>
  <c r="J108" i="16" s="1"/>
  <c r="I124" i="16"/>
  <c r="J124" i="16" s="1"/>
  <c r="I140" i="16"/>
  <c r="J140" i="16" s="1"/>
  <c r="I156" i="16"/>
  <c r="J156" i="16" s="1"/>
  <c r="I188" i="16"/>
  <c r="J188" i="16" s="1"/>
  <c r="I212" i="16"/>
  <c r="J212" i="16" s="1"/>
  <c r="I352" i="16"/>
  <c r="J352" i="16" s="1"/>
  <c r="I377" i="16"/>
  <c r="J377" i="16" s="1"/>
  <c r="I14" i="16"/>
  <c r="J14" i="16" s="1"/>
  <c r="I24" i="16"/>
  <c r="J24" i="16" s="1"/>
  <c r="I32" i="16"/>
  <c r="J32" i="16" s="1"/>
  <c r="I36" i="16"/>
  <c r="J36" i="16" s="1"/>
  <c r="I44" i="16"/>
  <c r="J44" i="16" s="1"/>
  <c r="I81" i="16"/>
  <c r="J81" i="16" s="1"/>
  <c r="I109" i="16"/>
  <c r="J109" i="16" s="1"/>
  <c r="I125" i="16"/>
  <c r="J125" i="16" s="1"/>
  <c r="I141" i="16"/>
  <c r="J141" i="16" s="1"/>
  <c r="I157" i="16"/>
  <c r="J157" i="16" s="1"/>
  <c r="I173" i="16"/>
  <c r="J173" i="16" s="1"/>
  <c r="I189" i="16"/>
  <c r="J189" i="16" s="1"/>
  <c r="I288" i="16"/>
  <c r="J288" i="16" s="1"/>
  <c r="I7" i="16"/>
  <c r="J7" i="16" s="1"/>
  <c r="I15" i="16"/>
  <c r="J15" i="16" s="1"/>
  <c r="I75" i="16"/>
  <c r="J75" i="16" s="1"/>
  <c r="I82" i="16"/>
  <c r="J82" i="16" s="1"/>
  <c r="I90" i="16"/>
  <c r="J90" i="16" s="1"/>
  <c r="I110" i="16"/>
  <c r="J110" i="16" s="1"/>
  <c r="I118" i="16"/>
  <c r="J118" i="16" s="1"/>
  <c r="I126" i="16"/>
  <c r="J126" i="16" s="1"/>
  <c r="I134" i="16"/>
  <c r="J134" i="16" s="1"/>
  <c r="I142" i="16"/>
  <c r="J142" i="16" s="1"/>
  <c r="I150" i="16"/>
  <c r="J150" i="16" s="1"/>
  <c r="I158" i="16"/>
  <c r="J158" i="16" s="1"/>
  <c r="I166" i="16"/>
  <c r="J166" i="16" s="1"/>
  <c r="I174" i="16"/>
  <c r="J174" i="16" s="1"/>
  <c r="I182" i="16"/>
  <c r="J182" i="16" s="1"/>
  <c r="I190" i="16"/>
  <c r="J190" i="16" s="1"/>
  <c r="I208" i="16"/>
  <c r="J208" i="16" s="1"/>
  <c r="I240" i="16"/>
  <c r="J240" i="16" s="1"/>
  <c r="I272" i="16"/>
  <c r="J272" i="16" s="1"/>
  <c r="I8" i="16"/>
  <c r="J8" i="16" s="1"/>
  <c r="I16" i="16"/>
  <c r="J16" i="16" s="1"/>
  <c r="I76" i="16"/>
  <c r="J76" i="16" s="1"/>
  <c r="I83" i="16"/>
  <c r="J83" i="16" s="1"/>
  <c r="I91" i="16"/>
  <c r="J91" i="16" s="1"/>
  <c r="I111" i="16"/>
  <c r="J111" i="16" s="1"/>
  <c r="I119" i="16"/>
  <c r="J119" i="16" s="1"/>
  <c r="I127" i="16"/>
  <c r="J127" i="16" s="1"/>
  <c r="I135" i="16"/>
  <c r="J135" i="16" s="1"/>
  <c r="I143" i="16"/>
  <c r="J143" i="16" s="1"/>
  <c r="I151" i="16"/>
  <c r="J151" i="16" s="1"/>
  <c r="I159" i="16"/>
  <c r="J159" i="16" s="1"/>
  <c r="I167" i="16"/>
  <c r="J167" i="16" s="1"/>
  <c r="I175" i="16"/>
  <c r="J175" i="16" s="1"/>
  <c r="I183" i="16"/>
  <c r="J183" i="16" s="1"/>
  <c r="I191" i="16"/>
  <c r="J191" i="16" s="1"/>
  <c r="I218" i="16"/>
  <c r="J218" i="16" s="1"/>
  <c r="I250" i="16"/>
  <c r="J250" i="16" s="1"/>
  <c r="I308" i="16"/>
  <c r="J308" i="16" s="1"/>
  <c r="I324" i="16"/>
  <c r="J324" i="16" s="1"/>
  <c r="I375" i="16"/>
  <c r="J375" i="16" s="1"/>
  <c r="I9" i="16"/>
  <c r="J9" i="16" s="1"/>
  <c r="I17" i="16"/>
  <c r="J17" i="16" s="1"/>
  <c r="I77" i="16"/>
  <c r="J77" i="16" s="1"/>
  <c r="I84" i="16"/>
  <c r="J84" i="16" s="1"/>
  <c r="I92" i="16"/>
  <c r="J92" i="16" s="1"/>
  <c r="I112" i="16"/>
  <c r="J112" i="16" s="1"/>
  <c r="I120" i="16"/>
  <c r="J120" i="16" s="1"/>
  <c r="I128" i="16"/>
  <c r="J128" i="16" s="1"/>
  <c r="I136" i="16"/>
  <c r="J136" i="16" s="1"/>
  <c r="I144" i="16"/>
  <c r="J144" i="16" s="1"/>
  <c r="I152" i="16"/>
  <c r="J152" i="16" s="1"/>
  <c r="I160" i="16"/>
  <c r="J160" i="16" s="1"/>
  <c r="I168" i="16"/>
  <c r="J168" i="16" s="1"/>
  <c r="I176" i="16"/>
  <c r="J176" i="16" s="1"/>
  <c r="I184" i="16"/>
  <c r="J184" i="16" s="1"/>
  <c r="I192" i="16"/>
  <c r="J192" i="16" s="1"/>
  <c r="I228" i="16"/>
  <c r="J228" i="16" s="1"/>
  <c r="I260" i="16"/>
  <c r="J260" i="16" s="1"/>
  <c r="I366" i="16"/>
  <c r="J366" i="16" s="1"/>
  <c r="I73" i="16"/>
  <c r="J73" i="16" s="1"/>
  <c r="I88" i="16"/>
  <c r="J88" i="16" s="1"/>
  <c r="I116" i="16"/>
  <c r="J116" i="16" s="1"/>
  <c r="I132" i="16"/>
  <c r="J132" i="16" s="1"/>
  <c r="I148" i="16"/>
  <c r="J148" i="16" s="1"/>
  <c r="I164" i="16"/>
  <c r="J164" i="16" s="1"/>
  <c r="I180" i="16"/>
  <c r="J180" i="16" s="1"/>
  <c r="I244" i="16"/>
  <c r="J244" i="16" s="1"/>
  <c r="I276" i="16"/>
  <c r="J276" i="16" s="1"/>
  <c r="I314" i="16"/>
  <c r="J314" i="16" s="1"/>
  <c r="I6" i="16"/>
  <c r="J6" i="16" s="1"/>
  <c r="I20" i="16"/>
  <c r="J20" i="16" s="1"/>
  <c r="I28" i="16"/>
  <c r="J28" i="16" s="1"/>
  <c r="I40" i="16"/>
  <c r="J40" i="16" s="1"/>
  <c r="I48" i="16"/>
  <c r="J48" i="16" s="1"/>
  <c r="I74" i="16"/>
  <c r="J74" i="16" s="1"/>
  <c r="I89" i="16"/>
  <c r="J89" i="16" s="1"/>
  <c r="I117" i="16"/>
  <c r="J117" i="16" s="1"/>
  <c r="I133" i="16"/>
  <c r="J133" i="16" s="1"/>
  <c r="I149" i="16"/>
  <c r="J149" i="16" s="1"/>
  <c r="I165" i="16"/>
  <c r="J165" i="16" s="1"/>
  <c r="I181" i="16"/>
  <c r="J181" i="16" s="1"/>
  <c r="I2" i="16"/>
  <c r="J2" i="16" s="1"/>
  <c r="I10" i="16"/>
  <c r="J10" i="16" s="1"/>
  <c r="I18" i="16"/>
  <c r="J18" i="16" s="1"/>
  <c r="I22" i="16"/>
  <c r="J22" i="16" s="1"/>
  <c r="I26" i="16"/>
  <c r="J26" i="16" s="1"/>
  <c r="I30" i="16"/>
  <c r="J30" i="16" s="1"/>
  <c r="I34" i="16"/>
  <c r="J34" i="16" s="1"/>
  <c r="I38" i="16"/>
  <c r="J38" i="16" s="1"/>
  <c r="I42" i="16"/>
  <c r="J42" i="16" s="1"/>
  <c r="I46" i="16"/>
  <c r="J46" i="16" s="1"/>
  <c r="J78" i="16"/>
  <c r="I85" i="16"/>
  <c r="J85" i="16" s="1"/>
  <c r="I113" i="16"/>
  <c r="J113" i="16" s="1"/>
  <c r="I121" i="16"/>
  <c r="J121" i="16" s="1"/>
  <c r="I129" i="16"/>
  <c r="J129" i="16" s="1"/>
  <c r="I137" i="16"/>
  <c r="J137" i="16" s="1"/>
  <c r="J145" i="16"/>
  <c r="I153" i="16"/>
  <c r="J153" i="16" s="1"/>
  <c r="I161" i="16"/>
  <c r="J161" i="16" s="1"/>
  <c r="I169" i="16"/>
  <c r="J169" i="16" s="1"/>
  <c r="I177" i="16"/>
  <c r="J177" i="16" s="1"/>
  <c r="I185" i="16"/>
  <c r="J185" i="16" s="1"/>
  <c r="I193" i="16"/>
  <c r="J193" i="16" s="1"/>
  <c r="I336" i="16"/>
  <c r="J336" i="16" s="1"/>
  <c r="I3" i="16"/>
  <c r="J3" i="16" s="1"/>
  <c r="I11" i="16"/>
  <c r="J11" i="16" s="1"/>
  <c r="I86" i="16"/>
  <c r="J86" i="16" s="1"/>
  <c r="I106" i="16"/>
  <c r="J106" i="16" s="1"/>
  <c r="I114" i="16"/>
  <c r="J114" i="16" s="1"/>
  <c r="I122" i="16"/>
  <c r="J122" i="16" s="1"/>
  <c r="I130" i="16"/>
  <c r="J130" i="16" s="1"/>
  <c r="I138" i="16"/>
  <c r="J138" i="16" s="1"/>
  <c r="I146" i="16"/>
  <c r="J146" i="16" s="1"/>
  <c r="I154" i="16"/>
  <c r="J154" i="16" s="1"/>
  <c r="I162" i="16"/>
  <c r="J162" i="16" s="1"/>
  <c r="I170" i="16"/>
  <c r="J170" i="16" s="1"/>
  <c r="I178" i="16"/>
  <c r="J178" i="16" s="1"/>
  <c r="I186" i="16"/>
  <c r="J186" i="16" s="1"/>
  <c r="I224" i="16"/>
  <c r="J224" i="16" s="1"/>
  <c r="I256" i="16"/>
  <c r="J256" i="16" s="1"/>
  <c r="I282" i="16"/>
  <c r="J282" i="16" s="1"/>
  <c r="I292" i="16"/>
  <c r="J292" i="16" s="1"/>
  <c r="I304" i="16"/>
  <c r="J304" i="16" s="1"/>
  <c r="I350" i="16"/>
  <c r="J350" i="16" s="1"/>
  <c r="I4" i="16"/>
  <c r="J4" i="16" s="1"/>
  <c r="I12" i="16"/>
  <c r="J12" i="16" s="1"/>
  <c r="I72" i="16"/>
  <c r="J72" i="16" s="1"/>
  <c r="I79" i="16"/>
  <c r="J79" i="16" s="1"/>
  <c r="I87" i="16"/>
  <c r="J87" i="16" s="1"/>
  <c r="I107" i="16"/>
  <c r="J107" i="16" s="1"/>
  <c r="I115" i="16"/>
  <c r="J115" i="16" s="1"/>
  <c r="I123" i="16"/>
  <c r="J123" i="16" s="1"/>
  <c r="I131" i="16"/>
  <c r="J131" i="16" s="1"/>
  <c r="I139" i="16"/>
  <c r="J139" i="16" s="1"/>
  <c r="I147" i="16"/>
  <c r="J147" i="16" s="1"/>
  <c r="I155" i="16"/>
  <c r="J155" i="16" s="1"/>
  <c r="I163" i="16"/>
  <c r="J163" i="16" s="1"/>
  <c r="I171" i="16"/>
  <c r="J171" i="16" s="1"/>
  <c r="I179" i="16"/>
  <c r="J179" i="16" s="1"/>
  <c r="I187" i="16"/>
  <c r="J187" i="16" s="1"/>
  <c r="I202" i="16"/>
  <c r="J202" i="16" s="1"/>
  <c r="I234" i="16"/>
  <c r="J234" i="16" s="1"/>
  <c r="I266" i="16"/>
  <c r="J266" i="16" s="1"/>
  <c r="I338" i="16"/>
  <c r="J338" i="16" s="1"/>
  <c r="I5" i="16"/>
  <c r="J5" i="16" s="1"/>
  <c r="I172" i="16"/>
  <c r="J172" i="16" s="1"/>
  <c r="I306" i="16"/>
  <c r="J306" i="16" s="1"/>
  <c r="I343" i="16"/>
  <c r="J343" i="16" s="1"/>
  <c r="I382" i="16"/>
  <c r="J382" i="16" s="1"/>
  <c r="I197" i="16"/>
  <c r="J197" i="16" s="1"/>
  <c r="I211" i="16"/>
  <c r="J211" i="16" s="1"/>
  <c r="I222" i="16"/>
  <c r="J222" i="16" s="1"/>
  <c r="I230" i="16"/>
  <c r="J230" i="16" s="1"/>
  <c r="I233" i="16"/>
  <c r="J233" i="16" s="1"/>
  <c r="J236" i="16"/>
  <c r="I258" i="16"/>
  <c r="J258" i="16" s="1"/>
  <c r="I275" i="16"/>
  <c r="J275" i="16" s="1"/>
  <c r="I286" i="16"/>
  <c r="J286" i="16" s="1"/>
  <c r="I294" i="16"/>
  <c r="J294" i="16" s="1"/>
  <c r="I297" i="16"/>
  <c r="J297" i="16" s="1"/>
  <c r="I322" i="16"/>
  <c r="J322" i="16" s="1"/>
  <c r="I331" i="16"/>
  <c r="J331" i="16" s="1"/>
  <c r="I334" i="16"/>
  <c r="J334" i="16" s="1"/>
  <c r="I360" i="16"/>
  <c r="J360" i="16" s="1"/>
  <c r="I367" i="16"/>
  <c r="J367" i="16" s="1"/>
  <c r="J379" i="16"/>
  <c r="J390" i="16"/>
  <c r="I398" i="16"/>
  <c r="J398" i="16" s="1"/>
  <c r="I414" i="16"/>
  <c r="J414" i="16" s="1"/>
  <c r="I434" i="16"/>
  <c r="J434" i="16" s="1"/>
  <c r="I195" i="16"/>
  <c r="J195" i="16" s="1"/>
  <c r="J281" i="16"/>
  <c r="J289" i="16"/>
  <c r="I300" i="16"/>
  <c r="J300" i="16" s="1"/>
  <c r="J311" i="16"/>
  <c r="I317" i="16"/>
  <c r="J317" i="16" s="1"/>
  <c r="J323" i="16"/>
  <c r="I328" i="16"/>
  <c r="J328" i="16" s="1"/>
  <c r="J344" i="16"/>
  <c r="J347" i="16"/>
  <c r="I354" i="16"/>
  <c r="J354" i="16" s="1"/>
  <c r="J386" i="16"/>
  <c r="I443" i="16"/>
  <c r="J443" i="16" s="1"/>
  <c r="I472" i="16"/>
  <c r="J472" i="16" s="1"/>
  <c r="I105" i="16"/>
  <c r="J105" i="16" s="1"/>
  <c r="I206" i="16"/>
  <c r="J206" i="16" s="1"/>
  <c r="I217" i="16"/>
  <c r="J217" i="16" s="1"/>
  <c r="J220" i="16"/>
  <c r="I242" i="16"/>
  <c r="J242" i="16" s="1"/>
  <c r="I259" i="16"/>
  <c r="J259" i="16" s="1"/>
  <c r="J284" i="16"/>
  <c r="J348" i="16"/>
  <c r="I351" i="16"/>
  <c r="J351" i="16" s="1"/>
  <c r="J361" i="16"/>
  <c r="I391" i="16"/>
  <c r="J391" i="16" s="1"/>
  <c r="I407" i="16"/>
  <c r="J407" i="16" s="1"/>
  <c r="I427" i="16"/>
  <c r="J427" i="16" s="1"/>
  <c r="I495" i="16"/>
  <c r="J495" i="16" s="1"/>
  <c r="I511" i="16"/>
  <c r="J511" i="16" s="1"/>
  <c r="I521" i="16"/>
  <c r="J521" i="16" s="1"/>
  <c r="I332" i="16"/>
  <c r="J332" i="16" s="1"/>
  <c r="I403" i="16"/>
  <c r="J403" i="16" s="1"/>
  <c r="I419" i="16"/>
  <c r="J419" i="16" s="1"/>
  <c r="I198" i="16"/>
  <c r="J198" i="16" s="1"/>
  <c r="I201" i="16"/>
  <c r="J201" i="16" s="1"/>
  <c r="J204" i="16"/>
  <c r="I226" i="16"/>
  <c r="J226" i="16" s="1"/>
  <c r="I243" i="16"/>
  <c r="J243" i="16" s="1"/>
  <c r="I254" i="16"/>
  <c r="J254" i="16" s="1"/>
  <c r="I262" i="16"/>
  <c r="J262" i="16" s="1"/>
  <c r="I265" i="16"/>
  <c r="J265" i="16" s="1"/>
  <c r="J268" i="16"/>
  <c r="I290" i="16"/>
  <c r="J290" i="16" s="1"/>
  <c r="I307" i="16"/>
  <c r="J307" i="16" s="1"/>
  <c r="I318" i="16"/>
  <c r="J318" i="16" s="1"/>
  <c r="I326" i="16"/>
  <c r="J326" i="16" s="1"/>
  <c r="I329" i="16"/>
  <c r="J329" i="16" s="1"/>
  <c r="I339" i="16"/>
  <c r="J339" i="16" s="1"/>
  <c r="I342" i="16"/>
  <c r="J342" i="16" s="1"/>
  <c r="J345" i="16"/>
  <c r="I355" i="16"/>
  <c r="J355" i="16" s="1"/>
  <c r="J362" i="16"/>
  <c r="I365" i="16"/>
  <c r="J365" i="16" s="1"/>
  <c r="J371" i="16"/>
  <c r="J388" i="16"/>
  <c r="J395" i="16"/>
  <c r="J404" i="16"/>
  <c r="J411" i="16"/>
  <c r="J420" i="16"/>
  <c r="I502" i="16"/>
  <c r="J502" i="16" s="1"/>
  <c r="J313" i="16"/>
  <c r="I425" i="16"/>
  <c r="J425" i="16" s="1"/>
  <c r="J429" i="16"/>
  <c r="I210" i="16"/>
  <c r="J210" i="16" s="1"/>
  <c r="I227" i="16"/>
  <c r="J227" i="16" s="1"/>
  <c r="I249" i="16"/>
  <c r="J249" i="16" s="1"/>
  <c r="J252" i="16"/>
  <c r="I274" i="16"/>
  <c r="J274" i="16" s="1"/>
  <c r="I291" i="16"/>
  <c r="J291" i="16" s="1"/>
  <c r="J316" i="16"/>
  <c r="J330" i="16"/>
  <c r="I337" i="16"/>
  <c r="J337" i="16" s="1"/>
  <c r="I346" i="16"/>
  <c r="J346" i="16" s="1"/>
  <c r="I353" i="16"/>
  <c r="J353" i="16" s="1"/>
  <c r="I359" i="16"/>
  <c r="J359" i="16" s="1"/>
  <c r="I369" i="16"/>
  <c r="J369" i="16" s="1"/>
  <c r="I389" i="16"/>
  <c r="J389" i="16" s="1"/>
  <c r="I393" i="16"/>
  <c r="J393" i="16" s="1"/>
  <c r="J397" i="16"/>
  <c r="I405" i="16"/>
  <c r="J405" i="16" s="1"/>
  <c r="I409" i="16"/>
  <c r="J409" i="16" s="1"/>
  <c r="J413" i="16"/>
  <c r="I421" i="16"/>
  <c r="J421" i="16" s="1"/>
  <c r="J446" i="16"/>
  <c r="J449" i="16"/>
  <c r="I468" i="16"/>
  <c r="J468" i="16" s="1"/>
  <c r="I524" i="16"/>
  <c r="J524" i="16" s="1"/>
  <c r="I528" i="16"/>
  <c r="J528" i="16" s="1"/>
  <c r="I481" i="16"/>
  <c r="J481" i="16" s="1"/>
  <c r="I507" i="16"/>
  <c r="J507" i="16" s="1"/>
  <c r="I512" i="16"/>
  <c r="J512" i="16" s="1"/>
  <c r="I423" i="16"/>
  <c r="J423" i="16" s="1"/>
  <c r="I430" i="16"/>
  <c r="J430" i="16" s="1"/>
  <c r="I447" i="16"/>
  <c r="J447" i="16" s="1"/>
  <c r="J450" i="16"/>
  <c r="I477" i="16"/>
  <c r="J477" i="16" s="1"/>
  <c r="I482" i="16"/>
  <c r="J482" i="16" s="1"/>
  <c r="I486" i="16"/>
  <c r="J486" i="16" s="1"/>
  <c r="I558" i="16"/>
  <c r="J558" i="16" s="1"/>
  <c r="I572" i="16"/>
  <c r="J572" i="16" s="1"/>
  <c r="I578" i="16"/>
  <c r="J578" i="16" s="1"/>
  <c r="I582" i="16"/>
  <c r="J582" i="16" s="1"/>
  <c r="I602" i="16"/>
  <c r="J602" i="16" s="1"/>
  <c r="I396" i="16"/>
  <c r="J396" i="16" s="1"/>
  <c r="J444" i="16"/>
  <c r="J460" i="16"/>
  <c r="I466" i="16"/>
  <c r="J466" i="16" s="1"/>
  <c r="J474" i="16"/>
  <c r="I487" i="16"/>
  <c r="J487" i="16" s="1"/>
  <c r="I491" i="16"/>
  <c r="J491" i="16" s="1"/>
  <c r="I496" i="16"/>
  <c r="J496" i="16" s="1"/>
  <c r="I500" i="16"/>
  <c r="J500" i="16" s="1"/>
  <c r="I504" i="16"/>
  <c r="J504" i="16" s="1"/>
  <c r="J508" i="16"/>
  <c r="J513" i="16"/>
  <c r="I530" i="16"/>
  <c r="J530" i="16" s="1"/>
  <c r="I583" i="16"/>
  <c r="J583" i="16" s="1"/>
  <c r="I588" i="16"/>
  <c r="J588" i="16" s="1"/>
  <c r="J363" i="16"/>
  <c r="I470" i="16"/>
  <c r="J470" i="16" s="1"/>
  <c r="I501" i="16"/>
  <c r="J501" i="16" s="1"/>
  <c r="I505" i="16"/>
  <c r="J505" i="16" s="1"/>
  <c r="I509" i="16"/>
  <c r="J509" i="16" s="1"/>
  <c r="J518" i="16"/>
  <c r="I526" i="16"/>
  <c r="J526" i="16" s="1"/>
  <c r="I531" i="16"/>
  <c r="J531" i="16" s="1"/>
  <c r="I535" i="16"/>
  <c r="J535" i="16" s="1"/>
  <c r="I542" i="16"/>
  <c r="J542" i="16" s="1"/>
  <c r="I589" i="16"/>
  <c r="J589" i="16" s="1"/>
  <c r="I594" i="16"/>
  <c r="J594" i="16" s="1"/>
  <c r="I598" i="16"/>
  <c r="J598" i="16" s="1"/>
  <c r="I471" i="16"/>
  <c r="J471" i="16" s="1"/>
  <c r="I475" i="16"/>
  <c r="J475" i="16" s="1"/>
  <c r="I479" i="16"/>
  <c r="J479" i="16" s="1"/>
  <c r="I514" i="16"/>
  <c r="J514" i="16" s="1"/>
  <c r="I566" i="16"/>
  <c r="J566" i="16" s="1"/>
  <c r="J442" i="16"/>
  <c r="I455" i="16"/>
  <c r="J455" i="16" s="1"/>
  <c r="J458" i="16"/>
  <c r="I464" i="16"/>
  <c r="J464" i="16" s="1"/>
  <c r="I484" i="16"/>
  <c r="J484" i="16" s="1"/>
  <c r="I489" i="16"/>
  <c r="J489" i="16" s="1"/>
  <c r="I493" i="16"/>
  <c r="J493" i="16" s="1"/>
  <c r="I497" i="16"/>
  <c r="J497" i="16" s="1"/>
  <c r="I519" i="16"/>
  <c r="J519" i="16" s="1"/>
  <c r="J452" i="16"/>
  <c r="I498" i="16"/>
  <c r="J498" i="16" s="1"/>
  <c r="J515" i="16"/>
  <c r="I523" i="16"/>
  <c r="J523" i="16" s="1"/>
  <c r="I550" i="16"/>
  <c r="J550" i="16" s="1"/>
  <c r="I586" i="16"/>
  <c r="J586" i="16" s="1"/>
  <c r="I767" i="16"/>
  <c r="J767" i="16" s="1"/>
  <c r="I775" i="16"/>
  <c r="J775" i="16" s="1"/>
  <c r="I783" i="16"/>
  <c r="J783" i="16" s="1"/>
  <c r="I791" i="16"/>
  <c r="J791" i="16" s="1"/>
  <c r="I799" i="16"/>
  <c r="J799" i="16" s="1"/>
  <c r="I807" i="16"/>
  <c r="J807" i="16" s="1"/>
  <c r="I815" i="16"/>
  <c r="J815" i="16" s="1"/>
  <c r="I823" i="16"/>
  <c r="J823" i="16" s="1"/>
  <c r="I605" i="16"/>
  <c r="J605" i="16" s="1"/>
  <c r="I614" i="16"/>
  <c r="J614" i="16" s="1"/>
  <c r="I638" i="16"/>
  <c r="J638" i="16" s="1"/>
  <c r="J655" i="16"/>
  <c r="I659" i="16"/>
  <c r="J659" i="16" s="1"/>
  <c r="I707" i="16"/>
  <c r="J707" i="16" s="1"/>
  <c r="I712" i="16"/>
  <c r="J712" i="16" s="1"/>
  <c r="I723" i="16"/>
  <c r="J723" i="16" s="1"/>
  <c r="I728" i="16"/>
  <c r="J728" i="16" s="1"/>
  <c r="I739" i="16"/>
  <c r="J739" i="16" s="1"/>
  <c r="J744" i="16"/>
  <c r="J755" i="16"/>
  <c r="J760" i="16"/>
  <c r="I534" i="16"/>
  <c r="J534" i="16" s="1"/>
  <c r="J545" i="16"/>
  <c r="J553" i="16"/>
  <c r="J561" i="16"/>
  <c r="J569" i="16"/>
  <c r="J576" i="16"/>
  <c r="J579" i="16"/>
  <c r="J592" i="16"/>
  <c r="J595" i="16"/>
  <c r="I623" i="16"/>
  <c r="J623" i="16" s="1"/>
  <c r="I626" i="16"/>
  <c r="J626" i="16" s="1"/>
  <c r="I632" i="16"/>
  <c r="J632" i="16" s="1"/>
  <c r="I639" i="16"/>
  <c r="J639" i="16" s="1"/>
  <c r="I516" i="16"/>
  <c r="J516" i="16" s="1"/>
  <c r="I537" i="16"/>
  <c r="J537" i="16" s="1"/>
  <c r="I540" i="16"/>
  <c r="J540" i="16" s="1"/>
  <c r="I548" i="16"/>
  <c r="J548" i="16" s="1"/>
  <c r="I556" i="16"/>
  <c r="J556" i="16" s="1"/>
  <c r="I564" i="16"/>
  <c r="J564" i="16" s="1"/>
  <c r="I606" i="16"/>
  <c r="J606" i="16" s="1"/>
  <c r="J615" i="16"/>
  <c r="J618" i="16"/>
  <c r="I629" i="16"/>
  <c r="J629" i="16" s="1"/>
  <c r="J645" i="16"/>
  <c r="J649" i="16"/>
  <c r="I703" i="16"/>
  <c r="J703" i="16" s="1"/>
  <c r="I708" i="16"/>
  <c r="J708" i="16" s="1"/>
  <c r="I719" i="16"/>
  <c r="J719" i="16" s="1"/>
  <c r="I724" i="16"/>
  <c r="J724" i="16" s="1"/>
  <c r="I735" i="16"/>
  <c r="J735" i="16" s="1"/>
  <c r="J751" i="16"/>
  <c r="J756" i="16"/>
  <c r="I529" i="16"/>
  <c r="J529" i="16" s="1"/>
  <c r="J532" i="16"/>
  <c r="J543" i="16"/>
  <c r="J546" i="16"/>
  <c r="J551" i="16"/>
  <c r="J554" i="16"/>
  <c r="J559" i="16"/>
  <c r="J562" i="16"/>
  <c r="J567" i="16"/>
  <c r="J570" i="16"/>
  <c r="J573" i="16"/>
  <c r="J577" i="16"/>
  <c r="J593" i="16"/>
  <c r="J599" i="16"/>
  <c r="I603" i="16"/>
  <c r="J603" i="16" s="1"/>
  <c r="J621" i="16"/>
  <c r="I624" i="16"/>
  <c r="J624" i="16" s="1"/>
  <c r="J704" i="16"/>
  <c r="J715" i="16"/>
  <c r="J720" i="16"/>
  <c r="J731" i="16"/>
  <c r="J736" i="16"/>
  <c r="I590" i="16"/>
  <c r="J590" i="16" s="1"/>
  <c r="I600" i="16"/>
  <c r="J600" i="16" s="1"/>
  <c r="I630" i="16"/>
  <c r="J630" i="16" s="1"/>
  <c r="I646" i="16"/>
  <c r="J646" i="16" s="1"/>
  <c r="I679" i="16"/>
  <c r="J679" i="16" s="1"/>
  <c r="I683" i="16"/>
  <c r="J683" i="16" s="1"/>
  <c r="I687" i="16"/>
  <c r="J687" i="16" s="1"/>
  <c r="I691" i="16"/>
  <c r="J691" i="16" s="1"/>
  <c r="I695" i="16"/>
  <c r="J695" i="16" s="1"/>
  <c r="I699" i="16"/>
  <c r="J699" i="16" s="1"/>
  <c r="I764" i="16"/>
  <c r="J764" i="16" s="1"/>
  <c r="I772" i="16"/>
  <c r="J772" i="16" s="1"/>
  <c r="I780" i="16"/>
  <c r="J780" i="16" s="1"/>
  <c r="I788" i="16"/>
  <c r="J788" i="16" s="1"/>
  <c r="I796" i="16"/>
  <c r="J796" i="16" s="1"/>
  <c r="J473" i="16"/>
  <c r="I480" i="16"/>
  <c r="J480" i="16" s="1"/>
  <c r="I494" i="16"/>
  <c r="J494" i="16" s="1"/>
  <c r="I503" i="16"/>
  <c r="J503" i="16" s="1"/>
  <c r="I510" i="16"/>
  <c r="J510" i="16" s="1"/>
  <c r="I517" i="16"/>
  <c r="J517" i="16" s="1"/>
  <c r="I522" i="16"/>
  <c r="J522" i="16" s="1"/>
  <c r="J527" i="16"/>
  <c r="J541" i="16"/>
  <c r="J544" i="16"/>
  <c r="J549" i="16"/>
  <c r="J552" i="16"/>
  <c r="J557" i="16"/>
  <c r="J560" i="16"/>
  <c r="J565" i="16"/>
  <c r="J568" i="16"/>
  <c r="J584" i="16"/>
  <c r="J587" i="16"/>
  <c r="I604" i="16"/>
  <c r="J604" i="16" s="1"/>
  <c r="I610" i="16"/>
  <c r="J610" i="16" s="1"/>
  <c r="J613" i="16"/>
  <c r="I616" i="16"/>
  <c r="J616" i="16" s="1"/>
  <c r="I641" i="16"/>
  <c r="J641" i="16" s="1"/>
  <c r="J711" i="16"/>
  <c r="J716" i="16"/>
  <c r="J727" i="16"/>
  <c r="J732" i="16"/>
  <c r="I765" i="16"/>
  <c r="J765" i="16" s="1"/>
  <c r="I773" i="16"/>
  <c r="J773" i="16" s="1"/>
  <c r="I781" i="16"/>
  <c r="J781" i="16" s="1"/>
  <c r="I789" i="16"/>
  <c r="J789" i="16" s="1"/>
  <c r="I797" i="16"/>
  <c r="J797" i="16" s="1"/>
  <c r="J499" i="16"/>
  <c r="I520" i="16"/>
  <c r="J520" i="16" s="1"/>
  <c r="J536" i="16"/>
  <c r="I581" i="16"/>
  <c r="J581" i="16" s="1"/>
  <c r="I597" i="16"/>
  <c r="J597" i="16" s="1"/>
  <c r="I601" i="16"/>
  <c r="J601" i="16" s="1"/>
  <c r="J608" i="16"/>
  <c r="I622" i="16"/>
  <c r="J622" i="16" s="1"/>
  <c r="J631" i="16"/>
  <c r="J634" i="16"/>
  <c r="J637" i="16"/>
  <c r="I642" i="16"/>
  <c r="J642" i="16" s="1"/>
  <c r="I680" i="16"/>
  <c r="J680" i="16" s="1"/>
  <c r="I684" i="16"/>
  <c r="J684" i="16" s="1"/>
  <c r="I688" i="16"/>
  <c r="J688" i="16" s="1"/>
  <c r="I692" i="16"/>
  <c r="J692" i="16" s="1"/>
  <c r="I696" i="16"/>
  <c r="J696" i="16" s="1"/>
  <c r="I766" i="16"/>
  <c r="J766" i="16" s="1"/>
  <c r="I774" i="16"/>
  <c r="J774" i="16" s="1"/>
  <c r="J611" i="16"/>
  <c r="J619" i="16"/>
  <c r="J627" i="16"/>
  <c r="J635" i="16"/>
  <c r="I768" i="16"/>
  <c r="J768" i="16" s="1"/>
  <c r="I776" i="16"/>
  <c r="J776" i="16" s="1"/>
  <c r="I784" i="16"/>
  <c r="J784" i="16" s="1"/>
  <c r="I792" i="16"/>
  <c r="J792" i="16" s="1"/>
  <c r="I800" i="16"/>
  <c r="J800" i="16" s="1"/>
  <c r="I808" i="16"/>
  <c r="J808" i="16" s="1"/>
  <c r="I816" i="16"/>
  <c r="J816" i="16" s="1"/>
  <c r="I824" i="16"/>
  <c r="J824" i="16" s="1"/>
  <c r="I677" i="16"/>
  <c r="J677" i="16" s="1"/>
  <c r="I681" i="16"/>
  <c r="J681" i="16" s="1"/>
  <c r="I685" i="16"/>
  <c r="J685" i="16" s="1"/>
  <c r="I689" i="16"/>
  <c r="J689" i="16" s="1"/>
  <c r="I693" i="16"/>
  <c r="J693" i="16" s="1"/>
  <c r="I697" i="16"/>
  <c r="J697" i="16" s="1"/>
  <c r="I701" i="16"/>
  <c r="J701" i="16" s="1"/>
  <c r="I705" i="16"/>
  <c r="J705" i="16" s="1"/>
  <c r="I709" i="16"/>
  <c r="J709" i="16" s="1"/>
  <c r="I713" i="16"/>
  <c r="J713" i="16" s="1"/>
  <c r="I717" i="16"/>
  <c r="J717" i="16" s="1"/>
  <c r="I721" i="16"/>
  <c r="J721" i="16" s="1"/>
  <c r="I725" i="16"/>
  <c r="J725" i="16" s="1"/>
  <c r="I729" i="16"/>
  <c r="J729" i="16" s="1"/>
  <c r="I733" i="16"/>
  <c r="J733" i="16" s="1"/>
  <c r="I737" i="16"/>
  <c r="J737" i="16" s="1"/>
  <c r="J741" i="16"/>
  <c r="J745" i="16"/>
  <c r="J749" i="16"/>
  <c r="J753" i="16"/>
  <c r="J757" i="16"/>
  <c r="J761" i="16"/>
  <c r="I769" i="16"/>
  <c r="J769" i="16" s="1"/>
  <c r="I777" i="16"/>
  <c r="J777" i="16" s="1"/>
  <c r="I785" i="16"/>
  <c r="J785" i="16" s="1"/>
  <c r="I793" i="16"/>
  <c r="J793" i="16" s="1"/>
  <c r="I801" i="16"/>
  <c r="J801" i="16" s="1"/>
  <c r="I809" i="16"/>
  <c r="J809" i="16" s="1"/>
  <c r="I817" i="16"/>
  <c r="J817" i="16" s="1"/>
  <c r="I825" i="16"/>
  <c r="J825" i="16" s="1"/>
  <c r="J609" i="16"/>
  <c r="J617" i="16"/>
  <c r="J625" i="16"/>
  <c r="J633" i="16"/>
  <c r="I643" i="16"/>
  <c r="J643" i="16" s="1"/>
  <c r="J663" i="16"/>
  <c r="I770" i="16"/>
  <c r="J770" i="16" s="1"/>
  <c r="I778" i="16"/>
  <c r="J778" i="16" s="1"/>
  <c r="I786" i="16"/>
  <c r="J786" i="16" s="1"/>
  <c r="I794" i="16"/>
  <c r="J794" i="16" s="1"/>
  <c r="I802" i="16"/>
  <c r="J802" i="16" s="1"/>
  <c r="I810" i="16"/>
  <c r="J810" i="16" s="1"/>
  <c r="I818" i="16"/>
  <c r="J818" i="16" s="1"/>
  <c r="I826" i="16"/>
  <c r="J826" i="16" s="1"/>
  <c r="J612" i="16"/>
  <c r="J620" i="16"/>
  <c r="J628" i="16"/>
  <c r="J636" i="16"/>
  <c r="J640" i="16"/>
  <c r="J644" i="16"/>
  <c r="J657" i="16"/>
  <c r="I678" i="16"/>
  <c r="J678" i="16" s="1"/>
  <c r="I682" i="16"/>
  <c r="J682" i="16" s="1"/>
  <c r="I686" i="16"/>
  <c r="J686" i="16" s="1"/>
  <c r="I690" i="16"/>
  <c r="J690" i="16" s="1"/>
  <c r="I694" i="16"/>
  <c r="J694" i="16" s="1"/>
  <c r="I698" i="16"/>
  <c r="J698" i="16" s="1"/>
  <c r="I702" i="16"/>
  <c r="J702" i="16" s="1"/>
  <c r="I706" i="16"/>
  <c r="J706" i="16" s="1"/>
  <c r="I710" i="16"/>
  <c r="J710" i="16" s="1"/>
  <c r="I714" i="16"/>
  <c r="J714" i="16" s="1"/>
  <c r="I718" i="16"/>
  <c r="J718" i="16" s="1"/>
  <c r="I722" i="16"/>
  <c r="J722" i="16" s="1"/>
  <c r="I726" i="16"/>
  <c r="J726" i="16" s="1"/>
  <c r="I730" i="16"/>
  <c r="J730" i="16" s="1"/>
  <c r="I734" i="16"/>
  <c r="J734" i="16" s="1"/>
  <c r="I738" i="16"/>
  <c r="J738" i="16" s="1"/>
  <c r="J742" i="16"/>
  <c r="J746" i="16"/>
  <c r="J750" i="16"/>
  <c r="J754" i="16"/>
  <c r="J758" i="16"/>
  <c r="I763" i="16"/>
  <c r="J763" i="16" s="1"/>
  <c r="I771" i="16"/>
  <c r="J771" i="16" s="1"/>
  <c r="I779" i="16"/>
  <c r="J779" i="16" s="1"/>
  <c r="I787" i="16"/>
  <c r="J787" i="16" s="1"/>
  <c r="I795" i="16"/>
  <c r="J795" i="16" s="1"/>
  <c r="I803" i="16"/>
  <c r="J803" i="16" s="1"/>
  <c r="I811" i="16"/>
  <c r="J811" i="16" s="1"/>
  <c r="I819" i="16"/>
  <c r="J819" i="16" s="1"/>
  <c r="I827" i="16"/>
  <c r="J827" i="16" s="1"/>
  <c r="I804" i="16"/>
  <c r="J804" i="16" s="1"/>
  <c r="I812" i="16"/>
  <c r="J812" i="16" s="1"/>
  <c r="I820" i="16"/>
  <c r="J820" i="16" s="1"/>
  <c r="I828" i="16"/>
  <c r="J828" i="16" s="1"/>
  <c r="I805" i="16"/>
  <c r="J805" i="16" s="1"/>
  <c r="I813" i="16"/>
  <c r="J813" i="16" s="1"/>
  <c r="I821" i="16"/>
  <c r="J821" i="16" s="1"/>
  <c r="I829" i="16"/>
  <c r="J829" i="16" s="1"/>
  <c r="I782" i="16"/>
  <c r="J782" i="16" s="1"/>
  <c r="I790" i="16"/>
  <c r="J790" i="16" s="1"/>
  <c r="I798" i="16"/>
  <c r="J798" i="16" s="1"/>
  <c r="I806" i="16"/>
  <c r="J806" i="16" s="1"/>
  <c r="I814" i="16"/>
  <c r="J814" i="16" s="1"/>
  <c r="I822" i="16"/>
  <c r="J822" i="16" s="1"/>
  <c r="I830" i="16"/>
  <c r="J830" i="16" s="1"/>
  <c r="G692" i="15"/>
  <c r="H692" i="15" s="1"/>
  <c r="G693" i="15"/>
  <c r="H693" i="15" s="1"/>
  <c r="I693" i="15" s="1"/>
  <c r="G694" i="15"/>
  <c r="H694" i="15" s="1"/>
  <c r="G695" i="15"/>
  <c r="H695" i="15" s="1"/>
  <c r="I695" i="15" s="1"/>
  <c r="G696" i="15"/>
  <c r="H696" i="15" s="1"/>
  <c r="G697" i="15"/>
  <c r="H697" i="15" s="1"/>
  <c r="G698" i="15"/>
  <c r="H698" i="15" s="1"/>
  <c r="G699" i="15"/>
  <c r="H699" i="15" s="1"/>
  <c r="G700" i="15"/>
  <c r="H700" i="15" s="1"/>
  <c r="G701" i="15"/>
  <c r="H701" i="15" s="1"/>
  <c r="G702" i="15"/>
  <c r="H702" i="15" s="1"/>
  <c r="M1" i="16" l="1"/>
  <c r="I697" i="15"/>
  <c r="J697" i="15" s="1"/>
  <c r="I698" i="15"/>
  <c r="J698" i="15" s="1"/>
  <c r="I696" i="15"/>
  <c r="J696" i="15"/>
  <c r="I702" i="15"/>
  <c r="J702" i="15"/>
  <c r="I700" i="15"/>
  <c r="J700" i="15" s="1"/>
  <c r="I699" i="15"/>
  <c r="J699" i="15" s="1"/>
  <c r="I692" i="15"/>
  <c r="J692" i="15" s="1"/>
  <c r="I701" i="15"/>
  <c r="J701" i="15" s="1"/>
  <c r="I694" i="15"/>
  <c r="J694" i="15"/>
  <c r="J695" i="15"/>
  <c r="J693" i="15"/>
  <c r="G637" i="15" l="1"/>
  <c r="H637" i="15" s="1"/>
  <c r="G638" i="15"/>
  <c r="H638" i="15" s="1"/>
  <c r="G639" i="15"/>
  <c r="H639" i="15" s="1"/>
  <c r="I639" i="15" s="1"/>
  <c r="G640" i="15"/>
  <c r="H640" i="15" s="1"/>
  <c r="I640" i="15" s="1"/>
  <c r="G641" i="15"/>
  <c r="H641" i="15" s="1"/>
  <c r="I641" i="15" s="1"/>
  <c r="G642" i="15"/>
  <c r="H642" i="15" s="1"/>
  <c r="I642" i="15" s="1"/>
  <c r="J642" i="15" s="1"/>
  <c r="G643" i="15"/>
  <c r="H643" i="15" s="1"/>
  <c r="G644" i="15"/>
  <c r="H644" i="15" s="1"/>
  <c r="I644" i="15" s="1"/>
  <c r="G645" i="15"/>
  <c r="H645" i="15" s="1"/>
  <c r="I645" i="15" s="1"/>
  <c r="G646" i="15"/>
  <c r="H646" i="15" s="1"/>
  <c r="G647" i="15"/>
  <c r="H647" i="15" s="1"/>
  <c r="I643" i="15" l="1"/>
  <c r="J643" i="15" s="1"/>
  <c r="I646" i="15"/>
  <c r="J646" i="15" s="1"/>
  <c r="I647" i="15"/>
  <c r="J647" i="15" s="1"/>
  <c r="J645" i="15"/>
  <c r="J644" i="15"/>
  <c r="J641" i="15"/>
  <c r="J640" i="15"/>
  <c r="J639" i="15"/>
  <c r="I638" i="15"/>
  <c r="J638" i="15" s="1"/>
  <c r="I637" i="15"/>
  <c r="J637" i="15" s="1"/>
  <c r="G577" i="15" l="1"/>
  <c r="H577" i="15" s="1"/>
  <c r="I577" i="15" s="1"/>
  <c r="G578" i="15"/>
  <c r="H578" i="15" s="1"/>
  <c r="I578" i="15" s="1"/>
  <c r="J578" i="15" s="1"/>
  <c r="G579" i="15"/>
  <c r="H579" i="15" s="1"/>
  <c r="I579" i="15" s="1"/>
  <c r="J579" i="15" s="1"/>
  <c r="G580" i="15"/>
  <c r="H580" i="15" s="1"/>
  <c r="I580" i="15" s="1"/>
  <c r="G581" i="15"/>
  <c r="H581" i="15" s="1"/>
  <c r="I581" i="15" s="1"/>
  <c r="G582" i="15"/>
  <c r="H582" i="15" s="1"/>
  <c r="I582" i="15" s="1"/>
  <c r="J582" i="15" s="1"/>
  <c r="G583" i="15"/>
  <c r="H583" i="15" s="1"/>
  <c r="I583" i="15" s="1"/>
  <c r="G584" i="15"/>
  <c r="H584" i="15" s="1"/>
  <c r="G585" i="15"/>
  <c r="H585" i="15" s="1"/>
  <c r="I585" i="15" s="1"/>
  <c r="J585" i="15" s="1"/>
  <c r="G586" i="15"/>
  <c r="H586" i="15" s="1"/>
  <c r="I586" i="15" s="1"/>
  <c r="J586" i="15" s="1"/>
  <c r="G587" i="15"/>
  <c r="H587" i="15" s="1"/>
  <c r="I587" i="15" s="1"/>
  <c r="J10" i="11"/>
  <c r="H560" i="15"/>
  <c r="G509" i="15"/>
  <c r="H509" i="15" s="1"/>
  <c r="I509" i="15" s="1"/>
  <c r="G510" i="15"/>
  <c r="H510" i="15" s="1"/>
  <c r="I510" i="15" s="1"/>
  <c r="G511" i="15"/>
  <c r="H511" i="15" s="1"/>
  <c r="I511" i="15" s="1"/>
  <c r="G512" i="15"/>
  <c r="H512" i="15" s="1"/>
  <c r="I512" i="15" s="1"/>
  <c r="G513" i="15"/>
  <c r="H513" i="15" s="1"/>
  <c r="G514" i="15"/>
  <c r="H514" i="15" s="1"/>
  <c r="I514" i="15" s="1"/>
  <c r="G515" i="15"/>
  <c r="H515" i="15" s="1"/>
  <c r="G516" i="15"/>
  <c r="H516" i="15" s="1"/>
  <c r="I516" i="15" s="1"/>
  <c r="G517" i="15"/>
  <c r="H517" i="15" s="1"/>
  <c r="G518" i="15"/>
  <c r="H518" i="15" s="1"/>
  <c r="G519" i="15"/>
  <c r="H519" i="15" s="1"/>
  <c r="I584" i="15" l="1"/>
  <c r="J584" i="15" s="1"/>
  <c r="J581" i="15"/>
  <c r="J583" i="15"/>
  <c r="J587" i="15"/>
  <c r="J580" i="15"/>
  <c r="J577" i="15"/>
  <c r="I560" i="15"/>
  <c r="J560" i="15" s="1"/>
  <c r="I519" i="15"/>
  <c r="J519" i="15" s="1"/>
  <c r="I517" i="15"/>
  <c r="J517" i="15" s="1"/>
  <c r="I513" i="15"/>
  <c r="J513" i="15" s="1"/>
  <c r="I518" i="15"/>
  <c r="J518" i="15" s="1"/>
  <c r="I515" i="15"/>
  <c r="J515" i="15" s="1"/>
  <c r="J516" i="15"/>
  <c r="J514" i="15"/>
  <c r="J512" i="15"/>
  <c r="J510" i="15"/>
  <c r="J511" i="15"/>
  <c r="J509" i="15"/>
  <c r="E97" i="12" l="1"/>
  <c r="F97" i="12" s="1"/>
  <c r="G97" i="12" s="1"/>
  <c r="E96" i="12"/>
  <c r="F96" i="12"/>
  <c r="G96" i="12" s="1"/>
  <c r="E95" i="12"/>
  <c r="F95" i="12"/>
  <c r="G95" i="12"/>
  <c r="E43" i="12"/>
  <c r="F43" i="12" s="1"/>
  <c r="G43" i="12" s="1"/>
  <c r="E42" i="12"/>
  <c r="F42" i="12" s="1"/>
  <c r="G42" i="12" s="1"/>
  <c r="E8" i="12"/>
  <c r="E7" i="12"/>
  <c r="F7" i="12" s="1"/>
  <c r="G7" i="12" s="1"/>
  <c r="E83" i="12"/>
  <c r="F83" i="12" s="1"/>
  <c r="G83" i="12" s="1"/>
  <c r="E82" i="12"/>
  <c r="F82" i="12" s="1"/>
  <c r="G82" i="12" s="1"/>
  <c r="E94" i="12"/>
  <c r="E93" i="12"/>
  <c r="F93" i="12" s="1"/>
  <c r="G93" i="12" s="1"/>
  <c r="E3" i="12"/>
  <c r="F3" i="12" s="1"/>
  <c r="G3" i="12" s="1"/>
  <c r="G263" i="15"/>
  <c r="H263" i="15" s="1"/>
  <c r="G264" i="15"/>
  <c r="H264" i="15" s="1"/>
  <c r="G265" i="15"/>
  <c r="H265" i="15" s="1"/>
  <c r="G266" i="15"/>
  <c r="H266" i="15" s="1"/>
  <c r="G267" i="15"/>
  <c r="H267" i="15" s="1"/>
  <c r="G268" i="15"/>
  <c r="H268" i="15" s="1"/>
  <c r="G269" i="15"/>
  <c r="H269" i="15" s="1"/>
  <c r="G270" i="15"/>
  <c r="H270" i="15" s="1"/>
  <c r="G271" i="15"/>
  <c r="H271" i="15" s="1"/>
  <c r="G272" i="15"/>
  <c r="H272" i="15" s="1"/>
  <c r="G188" i="15"/>
  <c r="H188" i="15" s="1"/>
  <c r="G189" i="15"/>
  <c r="H189" i="15" s="1"/>
  <c r="I189" i="15" s="1"/>
  <c r="J189" i="15" s="1"/>
  <c r="G190" i="15"/>
  <c r="H190" i="15" s="1"/>
  <c r="I190" i="15" s="1"/>
  <c r="J190" i="15" s="1"/>
  <c r="G191" i="15"/>
  <c r="H191" i="15" s="1"/>
  <c r="I191" i="15" s="1"/>
  <c r="J191" i="15" s="1"/>
  <c r="G192" i="15"/>
  <c r="H192" i="15" s="1"/>
  <c r="G193" i="15"/>
  <c r="H193" i="15" s="1"/>
  <c r="G194" i="15"/>
  <c r="H194" i="15" s="1"/>
  <c r="G195" i="15"/>
  <c r="H195" i="15" s="1"/>
  <c r="G196" i="15"/>
  <c r="H196" i="15" s="1"/>
  <c r="I196" i="15" s="1"/>
  <c r="G197" i="15"/>
  <c r="H197" i="15" s="1"/>
  <c r="I197" i="15" s="1"/>
  <c r="G118" i="15"/>
  <c r="H118" i="15" s="1"/>
  <c r="G119" i="15"/>
  <c r="H119" i="15" s="1"/>
  <c r="I119" i="15" s="1"/>
  <c r="G120" i="15"/>
  <c r="H120" i="15" s="1"/>
  <c r="G121" i="15"/>
  <c r="H121" i="15" s="1"/>
  <c r="I121" i="15" s="1"/>
  <c r="G122" i="15"/>
  <c r="H122" i="15" s="1"/>
  <c r="I122" i="15" s="1"/>
  <c r="G123" i="15"/>
  <c r="H123" i="15" s="1"/>
  <c r="G124" i="15"/>
  <c r="H124" i="15" s="1"/>
  <c r="G125" i="15"/>
  <c r="H125" i="15" s="1"/>
  <c r="I125" i="15" s="1"/>
  <c r="G126" i="15"/>
  <c r="H126" i="15" s="1"/>
  <c r="G127" i="15"/>
  <c r="H127" i="15" s="1"/>
  <c r="F8" i="12" l="1"/>
  <c r="G8" i="12" s="1"/>
  <c r="F94" i="12"/>
  <c r="G94" i="12" s="1"/>
  <c r="I268" i="15"/>
  <c r="J268" i="15" s="1"/>
  <c r="I267" i="15"/>
  <c r="J267" i="15" s="1"/>
  <c r="I265" i="15"/>
  <c r="J265" i="15" s="1"/>
  <c r="I269" i="15"/>
  <c r="J269" i="15" s="1"/>
  <c r="I266" i="15"/>
  <c r="J266" i="15" s="1"/>
  <c r="I272" i="15"/>
  <c r="J272" i="15" s="1"/>
  <c r="I264" i="15"/>
  <c r="J264" i="15" s="1"/>
  <c r="I270" i="15"/>
  <c r="J270" i="15" s="1"/>
  <c r="I271" i="15"/>
  <c r="J271" i="15" s="1"/>
  <c r="I263" i="15"/>
  <c r="J263" i="15" s="1"/>
  <c r="I192" i="15"/>
  <c r="J192" i="15" s="1"/>
  <c r="I194" i="15"/>
  <c r="J194" i="15" s="1"/>
  <c r="I193" i="15"/>
  <c r="J193" i="15" s="1"/>
  <c r="I195" i="15"/>
  <c r="J195" i="15" s="1"/>
  <c r="J197" i="15"/>
  <c r="I188" i="15"/>
  <c r="J188" i="15" s="1"/>
  <c r="J196" i="15"/>
  <c r="I120" i="15"/>
  <c r="J120" i="15" s="1"/>
  <c r="I127" i="15"/>
  <c r="J127" i="15" s="1"/>
  <c r="I124" i="15"/>
  <c r="J124" i="15" s="1"/>
  <c r="I123" i="15"/>
  <c r="J123" i="15" s="1"/>
  <c r="J122" i="15"/>
  <c r="J119" i="15"/>
  <c r="I126" i="15"/>
  <c r="J126" i="15" s="1"/>
  <c r="I118" i="15"/>
  <c r="J118" i="15" s="1"/>
  <c r="J125" i="15"/>
  <c r="J121" i="15"/>
  <c r="G82" i="15" l="1"/>
  <c r="H82" i="15" s="1"/>
  <c r="G83" i="15"/>
  <c r="H83" i="15" s="1"/>
  <c r="I82" i="15" l="1"/>
  <c r="J82" i="15" s="1"/>
  <c r="I83" i="15"/>
  <c r="J83" i="15" s="1"/>
  <c r="G819" i="15"/>
  <c r="H819" i="15" s="1"/>
  <c r="G818" i="15"/>
  <c r="H818" i="15" s="1"/>
  <c r="G817" i="15"/>
  <c r="H817" i="15" s="1"/>
  <c r="G816" i="15"/>
  <c r="H816" i="15" s="1"/>
  <c r="G815" i="15"/>
  <c r="H815" i="15" s="1"/>
  <c r="G814" i="15"/>
  <c r="H814" i="15" s="1"/>
  <c r="G813" i="15"/>
  <c r="H813" i="15" s="1"/>
  <c r="G812" i="15"/>
  <c r="H812" i="15" s="1"/>
  <c r="G811" i="15"/>
  <c r="H811" i="15" s="1"/>
  <c r="G810" i="15"/>
  <c r="H810" i="15" s="1"/>
  <c r="G809" i="15"/>
  <c r="H809" i="15" s="1"/>
  <c r="G808" i="15"/>
  <c r="H808" i="15" s="1"/>
  <c r="I808" i="15" s="1"/>
  <c r="G807" i="15"/>
  <c r="H807" i="15" s="1"/>
  <c r="G806" i="15"/>
  <c r="H806" i="15" s="1"/>
  <c r="G805" i="15"/>
  <c r="H805" i="15" s="1"/>
  <c r="I805" i="15" s="1"/>
  <c r="G804" i="15"/>
  <c r="H804" i="15" s="1"/>
  <c r="G803" i="15"/>
  <c r="H803" i="15" s="1"/>
  <c r="I803" i="15" s="1"/>
  <c r="G802" i="15"/>
  <c r="H802" i="15" s="1"/>
  <c r="G801" i="15"/>
  <c r="H801" i="15" s="1"/>
  <c r="G800" i="15"/>
  <c r="H800" i="15" s="1"/>
  <c r="I800" i="15" s="1"/>
  <c r="G799" i="15"/>
  <c r="H799" i="15" s="1"/>
  <c r="G798" i="15"/>
  <c r="H798" i="15" s="1"/>
  <c r="G797" i="15"/>
  <c r="H797" i="15" s="1"/>
  <c r="I797" i="15" s="1"/>
  <c r="G796" i="15"/>
  <c r="H796" i="15" s="1"/>
  <c r="G795" i="15"/>
  <c r="H795" i="15" s="1"/>
  <c r="G794" i="15"/>
  <c r="H794" i="15" s="1"/>
  <c r="G793" i="15"/>
  <c r="H793" i="15" s="1"/>
  <c r="G792" i="15"/>
  <c r="H792" i="15" s="1"/>
  <c r="I792" i="15" s="1"/>
  <c r="G791" i="15"/>
  <c r="H791" i="15" s="1"/>
  <c r="G790" i="15"/>
  <c r="H790" i="15" s="1"/>
  <c r="G789" i="15"/>
  <c r="H789" i="15" s="1"/>
  <c r="I789" i="15" s="1"/>
  <c r="G788" i="15"/>
  <c r="H788" i="15" s="1"/>
  <c r="G787" i="15"/>
  <c r="H787" i="15" s="1"/>
  <c r="I787" i="15" s="1"/>
  <c r="G786" i="15"/>
  <c r="H786" i="15" s="1"/>
  <c r="G785" i="15"/>
  <c r="H785" i="15" s="1"/>
  <c r="G784" i="15"/>
  <c r="H784" i="15" s="1"/>
  <c r="I784" i="15" s="1"/>
  <c r="G783" i="15"/>
  <c r="H783" i="15" s="1"/>
  <c r="G782" i="15"/>
  <c r="H782" i="15" s="1"/>
  <c r="G781" i="15"/>
  <c r="H781" i="15" s="1"/>
  <c r="I781" i="15" s="1"/>
  <c r="G780" i="15"/>
  <c r="H780" i="15" s="1"/>
  <c r="G779" i="15"/>
  <c r="H779" i="15" s="1"/>
  <c r="I779" i="15" s="1"/>
  <c r="G778" i="15"/>
  <c r="H778" i="15" s="1"/>
  <c r="G777" i="15"/>
  <c r="H777" i="15" s="1"/>
  <c r="G776" i="15"/>
  <c r="H776" i="15" s="1"/>
  <c r="I776" i="15" s="1"/>
  <c r="G775" i="15"/>
  <c r="H775" i="15" s="1"/>
  <c r="G774" i="15"/>
  <c r="H774" i="15" s="1"/>
  <c r="G773" i="15"/>
  <c r="H773" i="15" s="1"/>
  <c r="I773" i="15" s="1"/>
  <c r="G772" i="15"/>
  <c r="H772" i="15" s="1"/>
  <c r="G771" i="15"/>
  <c r="H771" i="15" s="1"/>
  <c r="G770" i="15"/>
  <c r="H770" i="15" s="1"/>
  <c r="G769" i="15"/>
  <c r="H769" i="15" s="1"/>
  <c r="G768" i="15"/>
  <c r="H768" i="15" s="1"/>
  <c r="I768" i="15" s="1"/>
  <c r="G767" i="15"/>
  <c r="H767" i="15" s="1"/>
  <c r="G766" i="15"/>
  <c r="H766" i="15" s="1"/>
  <c r="G765" i="15"/>
  <c r="H765" i="15" s="1"/>
  <c r="I765" i="15" s="1"/>
  <c r="G764" i="15"/>
  <c r="H764" i="15" s="1"/>
  <c r="G763" i="15"/>
  <c r="H763" i="15" s="1"/>
  <c r="G762" i="15"/>
  <c r="H762" i="15" s="1"/>
  <c r="G761" i="15"/>
  <c r="H761" i="15" s="1"/>
  <c r="G760" i="15"/>
  <c r="H760" i="15" s="1"/>
  <c r="I760" i="15" s="1"/>
  <c r="G759" i="15"/>
  <c r="H759" i="15" s="1"/>
  <c r="G758" i="15"/>
  <c r="H758" i="15" s="1"/>
  <c r="G757" i="15"/>
  <c r="H757" i="15" s="1"/>
  <c r="I757" i="15" s="1"/>
  <c r="G756" i="15"/>
  <c r="H756" i="15" s="1"/>
  <c r="G755" i="15"/>
  <c r="H755" i="15" s="1"/>
  <c r="I755" i="15" s="1"/>
  <c r="G754" i="15"/>
  <c r="H754" i="15" s="1"/>
  <c r="G753" i="15"/>
  <c r="H753" i="15" s="1"/>
  <c r="G752" i="15"/>
  <c r="H752" i="15" s="1"/>
  <c r="I752" i="15" s="1"/>
  <c r="G751" i="15"/>
  <c r="H751" i="15" s="1"/>
  <c r="G750" i="15"/>
  <c r="H750" i="15" s="1"/>
  <c r="G749" i="15"/>
  <c r="H749" i="15" s="1"/>
  <c r="I749" i="15" s="1"/>
  <c r="G748" i="15"/>
  <c r="H748" i="15" s="1"/>
  <c r="G747" i="15"/>
  <c r="H747" i="15" s="1"/>
  <c r="G746" i="15"/>
  <c r="H746" i="15" s="1"/>
  <c r="G745" i="15"/>
  <c r="H745" i="15" s="1"/>
  <c r="G744" i="15"/>
  <c r="H744" i="15" s="1"/>
  <c r="I744" i="15" s="1"/>
  <c r="G743" i="15"/>
  <c r="H743" i="15" s="1"/>
  <c r="G742" i="15"/>
  <c r="H742" i="15" s="1"/>
  <c r="G741" i="15"/>
  <c r="H741" i="15" s="1"/>
  <c r="I741" i="15" s="1"/>
  <c r="G740" i="15"/>
  <c r="H740" i="15" s="1"/>
  <c r="G739" i="15"/>
  <c r="H739" i="15" s="1"/>
  <c r="I739" i="15" s="1"/>
  <c r="G738" i="15"/>
  <c r="H738" i="15" s="1"/>
  <c r="G737" i="15"/>
  <c r="H737" i="15" s="1"/>
  <c r="G736" i="15"/>
  <c r="H736" i="15" s="1"/>
  <c r="I736" i="15" s="1"/>
  <c r="G735" i="15"/>
  <c r="H735" i="15" s="1"/>
  <c r="G734" i="15"/>
  <c r="H734" i="15" s="1"/>
  <c r="G733" i="15"/>
  <c r="H733" i="15" s="1"/>
  <c r="I733" i="15" s="1"/>
  <c r="G732" i="15"/>
  <c r="H732" i="15" s="1"/>
  <c r="G731" i="15"/>
  <c r="H731" i="15" s="1"/>
  <c r="I731" i="15" s="1"/>
  <c r="G730" i="15"/>
  <c r="H730" i="15" s="1"/>
  <c r="G729" i="15"/>
  <c r="H729" i="15" s="1"/>
  <c r="G728" i="15"/>
  <c r="H728" i="15" s="1"/>
  <c r="G727" i="15"/>
  <c r="H727" i="15" s="1"/>
  <c r="G726" i="15"/>
  <c r="H726" i="15" s="1"/>
  <c r="G725" i="15"/>
  <c r="H725" i="15" s="1"/>
  <c r="G724" i="15"/>
  <c r="H724" i="15" s="1"/>
  <c r="G723" i="15"/>
  <c r="H723" i="15" s="1"/>
  <c r="G722" i="15"/>
  <c r="H722" i="15" s="1"/>
  <c r="G721" i="15"/>
  <c r="H721" i="15" s="1"/>
  <c r="G720" i="15"/>
  <c r="H720" i="15" s="1"/>
  <c r="I720" i="15" s="1"/>
  <c r="G719" i="15"/>
  <c r="H719" i="15" s="1"/>
  <c r="G718" i="15"/>
  <c r="H718" i="15" s="1"/>
  <c r="G717" i="15"/>
  <c r="H717" i="15" s="1"/>
  <c r="I717" i="15" s="1"/>
  <c r="G716" i="15"/>
  <c r="H716" i="15" s="1"/>
  <c r="G715" i="15"/>
  <c r="H715" i="15" s="1"/>
  <c r="I715" i="15" s="1"/>
  <c r="G714" i="15"/>
  <c r="H714" i="15" s="1"/>
  <c r="G713" i="15"/>
  <c r="H713" i="15" s="1"/>
  <c r="G712" i="15"/>
  <c r="H712" i="15" s="1"/>
  <c r="G711" i="15"/>
  <c r="H711" i="15" s="1"/>
  <c r="G710" i="15"/>
  <c r="H710" i="15" s="1"/>
  <c r="G709" i="15"/>
  <c r="H709" i="15" s="1"/>
  <c r="G708" i="15"/>
  <c r="H708" i="15" s="1"/>
  <c r="G707" i="15"/>
  <c r="H707" i="15" s="1"/>
  <c r="G706" i="15"/>
  <c r="H706" i="15" s="1"/>
  <c r="G705" i="15"/>
  <c r="H705" i="15" s="1"/>
  <c r="G704" i="15"/>
  <c r="H704" i="15" s="1"/>
  <c r="G703" i="15"/>
  <c r="H703" i="15" s="1"/>
  <c r="G691" i="15"/>
  <c r="H691" i="15" s="1"/>
  <c r="G690" i="15"/>
  <c r="H690" i="15" s="1"/>
  <c r="I690" i="15" s="1"/>
  <c r="G689" i="15"/>
  <c r="H689" i="15" s="1"/>
  <c r="G688" i="15"/>
  <c r="H688" i="15" s="1"/>
  <c r="G687" i="15"/>
  <c r="H687" i="15" s="1"/>
  <c r="G686" i="15"/>
  <c r="H686" i="15" s="1"/>
  <c r="G685" i="15"/>
  <c r="H685" i="15" s="1"/>
  <c r="G684" i="15"/>
  <c r="H684" i="15" s="1"/>
  <c r="G683" i="15"/>
  <c r="H683" i="15" s="1"/>
  <c r="G682" i="15"/>
  <c r="H682" i="15" s="1"/>
  <c r="G681" i="15"/>
  <c r="H681" i="15" s="1"/>
  <c r="I681" i="15" s="1"/>
  <c r="G680" i="15"/>
  <c r="H680" i="15" s="1"/>
  <c r="G679" i="15"/>
  <c r="H679" i="15" s="1"/>
  <c r="I679" i="15" s="1"/>
  <c r="J679" i="15" s="1"/>
  <c r="G678" i="15"/>
  <c r="H678" i="15" s="1"/>
  <c r="G677" i="15"/>
  <c r="H677" i="15" s="1"/>
  <c r="G676" i="15"/>
  <c r="H676" i="15" s="1"/>
  <c r="G675" i="15"/>
  <c r="H675" i="15" s="1"/>
  <c r="I675" i="15" s="1"/>
  <c r="J675" i="15" s="1"/>
  <c r="G674" i="15"/>
  <c r="H674" i="15" s="1"/>
  <c r="G673" i="15"/>
  <c r="H673" i="15" s="1"/>
  <c r="G672" i="15"/>
  <c r="H672" i="15" s="1"/>
  <c r="I672" i="15" s="1"/>
  <c r="G671" i="15"/>
  <c r="H671" i="15" s="1"/>
  <c r="G670" i="15"/>
  <c r="H670" i="15" s="1"/>
  <c r="G669" i="15"/>
  <c r="H669" i="15" s="1"/>
  <c r="G668" i="15"/>
  <c r="H668" i="15" s="1"/>
  <c r="G667" i="15"/>
  <c r="H667" i="15" s="1"/>
  <c r="I667" i="15" s="1"/>
  <c r="H666" i="15"/>
  <c r="I666" i="15" s="1"/>
  <c r="G665" i="15"/>
  <c r="H665" i="15" s="1"/>
  <c r="G664" i="15"/>
  <c r="H664" i="15" s="1"/>
  <c r="G663" i="15"/>
  <c r="H663" i="15" s="1"/>
  <c r="I663" i="15" s="1"/>
  <c r="J663" i="15" s="1"/>
  <c r="G662" i="15"/>
  <c r="H662" i="15" s="1"/>
  <c r="G661" i="15"/>
  <c r="H661" i="15" s="1"/>
  <c r="I661" i="15" s="1"/>
  <c r="J661" i="15" s="1"/>
  <c r="G660" i="15"/>
  <c r="H660" i="15" s="1"/>
  <c r="G659" i="15"/>
  <c r="H659" i="15" s="1"/>
  <c r="I659" i="15" s="1"/>
  <c r="G658" i="15"/>
  <c r="H658" i="15" s="1"/>
  <c r="I658" i="15" s="1"/>
  <c r="G657" i="15"/>
  <c r="H657" i="15" s="1"/>
  <c r="G656" i="15"/>
  <c r="H656" i="15" s="1"/>
  <c r="G655" i="15"/>
  <c r="H655" i="15" s="1"/>
  <c r="G654" i="15"/>
  <c r="H654" i="15" s="1"/>
  <c r="G653" i="15"/>
  <c r="H653" i="15" s="1"/>
  <c r="G652" i="15"/>
  <c r="H652" i="15" s="1"/>
  <c r="G651" i="15"/>
  <c r="H651" i="15" s="1"/>
  <c r="G650" i="15"/>
  <c r="H650" i="15" s="1"/>
  <c r="G649" i="15"/>
  <c r="H649" i="15" s="1"/>
  <c r="I649" i="15" s="1"/>
  <c r="J649" i="15" s="1"/>
  <c r="G648" i="15"/>
  <c r="H648" i="15" s="1"/>
  <c r="G636" i="15"/>
  <c r="H636" i="15" s="1"/>
  <c r="J636" i="15" s="1"/>
  <c r="G635" i="15"/>
  <c r="H635" i="15" s="1"/>
  <c r="G634" i="15"/>
  <c r="H634" i="15" s="1"/>
  <c r="I634" i="15" s="1"/>
  <c r="G633" i="15"/>
  <c r="H633" i="15" s="1"/>
  <c r="G632" i="15"/>
  <c r="H632" i="15" s="1"/>
  <c r="G631" i="15"/>
  <c r="H631" i="15" s="1"/>
  <c r="G630" i="15"/>
  <c r="H630" i="15" s="1"/>
  <c r="I630" i="15" s="1"/>
  <c r="G629" i="15"/>
  <c r="H629" i="15" s="1"/>
  <c r="G628" i="15"/>
  <c r="H628" i="15" s="1"/>
  <c r="G627" i="15"/>
  <c r="H627" i="15" s="1"/>
  <c r="I627" i="15" s="1"/>
  <c r="J627" i="15" s="1"/>
  <c r="G626" i="15"/>
  <c r="H626" i="15" s="1"/>
  <c r="G625" i="15"/>
  <c r="H625" i="15" s="1"/>
  <c r="I625" i="15" s="1"/>
  <c r="J625" i="15" s="1"/>
  <c r="G624" i="15"/>
  <c r="H624" i="15" s="1"/>
  <c r="G623" i="15"/>
  <c r="H623" i="15" s="1"/>
  <c r="G622" i="15"/>
  <c r="H622" i="15" s="1"/>
  <c r="G621" i="15"/>
  <c r="H621" i="15" s="1"/>
  <c r="I621" i="15" s="1"/>
  <c r="J621" i="15" s="1"/>
  <c r="G620" i="15"/>
  <c r="H620" i="15" s="1"/>
  <c r="G619" i="15"/>
  <c r="H619" i="15" s="1"/>
  <c r="G618" i="15"/>
  <c r="H618" i="15" s="1"/>
  <c r="I618" i="15" s="1"/>
  <c r="J618" i="15" s="1"/>
  <c r="G617" i="15"/>
  <c r="H617" i="15" s="1"/>
  <c r="G616" i="15"/>
  <c r="H616" i="15" s="1"/>
  <c r="I616" i="15" s="1"/>
  <c r="G615" i="15"/>
  <c r="H615" i="15" s="1"/>
  <c r="I615" i="15" s="1"/>
  <c r="G614" i="15"/>
  <c r="H614" i="15" s="1"/>
  <c r="G613" i="15"/>
  <c r="H613" i="15" s="1"/>
  <c r="G612" i="15"/>
  <c r="H612" i="15" s="1"/>
  <c r="G611" i="15"/>
  <c r="H611" i="15" s="1"/>
  <c r="G610" i="15"/>
  <c r="H610" i="15" s="1"/>
  <c r="G609" i="15"/>
  <c r="H609" i="15" s="1"/>
  <c r="I609" i="15" s="1"/>
  <c r="G608" i="15"/>
  <c r="H608" i="15" s="1"/>
  <c r="G607" i="15"/>
  <c r="H607" i="15" s="1"/>
  <c r="G606" i="15"/>
  <c r="H606" i="15" s="1"/>
  <c r="I606" i="15" s="1"/>
  <c r="J606" i="15" s="1"/>
  <c r="G605" i="15"/>
  <c r="H605" i="15" s="1"/>
  <c r="G604" i="15"/>
  <c r="H604" i="15" s="1"/>
  <c r="G603" i="15"/>
  <c r="H603" i="15" s="1"/>
  <c r="G602" i="15"/>
  <c r="H602" i="15" s="1"/>
  <c r="G601" i="15"/>
  <c r="H601" i="15" s="1"/>
  <c r="G600" i="15"/>
  <c r="H600" i="15" s="1"/>
  <c r="G599" i="15"/>
  <c r="H599" i="15" s="1"/>
  <c r="I599" i="15" s="1"/>
  <c r="G598" i="15"/>
  <c r="H598" i="15" s="1"/>
  <c r="G597" i="15"/>
  <c r="H597" i="15" s="1"/>
  <c r="G596" i="15"/>
  <c r="H596" i="15" s="1"/>
  <c r="G595" i="15"/>
  <c r="H595" i="15" s="1"/>
  <c r="G594" i="15"/>
  <c r="H594" i="15" s="1"/>
  <c r="G593" i="15"/>
  <c r="H593" i="15" s="1"/>
  <c r="G592" i="15"/>
  <c r="H592" i="15" s="1"/>
  <c r="I592" i="15" s="1"/>
  <c r="G591" i="15"/>
  <c r="H591" i="15" s="1"/>
  <c r="G590" i="15"/>
  <c r="H590" i="15" s="1"/>
  <c r="I590" i="15" s="1"/>
  <c r="J590" i="15" s="1"/>
  <c r="H589" i="15"/>
  <c r="G588" i="15"/>
  <c r="H588" i="15" s="1"/>
  <c r="I588" i="15" s="1"/>
  <c r="G576" i="15"/>
  <c r="H576" i="15" s="1"/>
  <c r="G575" i="15"/>
  <c r="H575" i="15" s="1"/>
  <c r="I575" i="15" s="1"/>
  <c r="G574" i="15"/>
  <c r="H574" i="15" s="1"/>
  <c r="G573" i="15"/>
  <c r="H573" i="15" s="1"/>
  <c r="G572" i="15"/>
  <c r="H572" i="15" s="1"/>
  <c r="I572" i="15" s="1"/>
  <c r="G571" i="15"/>
  <c r="H571" i="15" s="1"/>
  <c r="G570" i="15"/>
  <c r="H570" i="15" s="1"/>
  <c r="G569" i="15"/>
  <c r="H569" i="15" s="1"/>
  <c r="G568" i="15"/>
  <c r="H568" i="15" s="1"/>
  <c r="I568" i="15" s="1"/>
  <c r="G567" i="15"/>
  <c r="H567" i="15" s="1"/>
  <c r="G566" i="15"/>
  <c r="H566" i="15" s="1"/>
  <c r="I566" i="15" s="1"/>
  <c r="J566" i="15" s="1"/>
  <c r="G565" i="15"/>
  <c r="H565" i="15" s="1"/>
  <c r="G564" i="15"/>
  <c r="H564" i="15" s="1"/>
  <c r="I564" i="15" s="1"/>
  <c r="G563" i="15"/>
  <c r="H563" i="15" s="1"/>
  <c r="G562" i="15"/>
  <c r="H562" i="15" s="1"/>
  <c r="I562" i="15" s="1"/>
  <c r="G561" i="15"/>
  <c r="H561" i="15" s="1"/>
  <c r="G559" i="15"/>
  <c r="H559" i="15" s="1"/>
  <c r="I559" i="15" s="1"/>
  <c r="G558" i="15"/>
  <c r="H558" i="15" s="1"/>
  <c r="G557" i="15"/>
  <c r="H557" i="15" s="1"/>
  <c r="G556" i="15"/>
  <c r="H556" i="15" s="1"/>
  <c r="G555" i="15"/>
  <c r="H555" i="15" s="1"/>
  <c r="G554" i="15"/>
  <c r="H554" i="15" s="1"/>
  <c r="G553" i="15"/>
  <c r="H553" i="15" s="1"/>
  <c r="G552" i="15"/>
  <c r="H552" i="15" s="1"/>
  <c r="G551" i="15"/>
  <c r="H551" i="15" s="1"/>
  <c r="G550" i="15"/>
  <c r="H550" i="15" s="1"/>
  <c r="I550" i="15" s="1"/>
  <c r="J550" i="15" s="1"/>
  <c r="G549" i="15"/>
  <c r="H549" i="15" s="1"/>
  <c r="G548" i="15"/>
  <c r="H548" i="15" s="1"/>
  <c r="I548" i="15" s="1"/>
  <c r="G547" i="15"/>
  <c r="H547" i="15" s="1"/>
  <c r="G546" i="15"/>
  <c r="H546" i="15" s="1"/>
  <c r="I546" i="15" s="1"/>
  <c r="G545" i="15"/>
  <c r="H545" i="15" s="1"/>
  <c r="G544" i="15"/>
  <c r="H544" i="15" s="1"/>
  <c r="G543" i="15"/>
  <c r="H543" i="15" s="1"/>
  <c r="G542" i="15"/>
  <c r="H542" i="15" s="1"/>
  <c r="G541" i="15"/>
  <c r="H541" i="15" s="1"/>
  <c r="G540" i="15"/>
  <c r="H540" i="15" s="1"/>
  <c r="I540" i="15" s="1"/>
  <c r="G539" i="15"/>
  <c r="H539" i="15" s="1"/>
  <c r="G538" i="15"/>
  <c r="H538" i="15" s="1"/>
  <c r="G537" i="15"/>
  <c r="H537" i="15" s="1"/>
  <c r="G536" i="15"/>
  <c r="H536" i="15" s="1"/>
  <c r="I536" i="15" s="1"/>
  <c r="G535" i="15"/>
  <c r="H535" i="15" s="1"/>
  <c r="G534" i="15"/>
  <c r="H534" i="15" s="1"/>
  <c r="G533" i="15"/>
  <c r="H533" i="15" s="1"/>
  <c r="G532" i="15"/>
  <c r="H532" i="15" s="1"/>
  <c r="G531" i="15"/>
  <c r="H531" i="15" s="1"/>
  <c r="G530" i="15"/>
  <c r="H530" i="15" s="1"/>
  <c r="G529" i="15"/>
  <c r="H529" i="15" s="1"/>
  <c r="G528" i="15"/>
  <c r="H528" i="15" s="1"/>
  <c r="G527" i="15"/>
  <c r="H527" i="15" s="1"/>
  <c r="G526" i="15"/>
  <c r="H526" i="15" s="1"/>
  <c r="G525" i="15"/>
  <c r="H525" i="15" s="1"/>
  <c r="G524" i="15"/>
  <c r="H524" i="15" s="1"/>
  <c r="I524" i="15" s="1"/>
  <c r="G523" i="15"/>
  <c r="H523" i="15" s="1"/>
  <c r="G522" i="15"/>
  <c r="H522" i="15" s="1"/>
  <c r="G521" i="15"/>
  <c r="H521" i="15" s="1"/>
  <c r="G520" i="15"/>
  <c r="H520" i="15" s="1"/>
  <c r="G508" i="15"/>
  <c r="H508" i="15" s="1"/>
  <c r="G507" i="15"/>
  <c r="H507" i="15" s="1"/>
  <c r="G506" i="15"/>
  <c r="H506" i="15" s="1"/>
  <c r="G505" i="15"/>
  <c r="H505" i="15" s="1"/>
  <c r="G504" i="15"/>
  <c r="H504" i="15" s="1"/>
  <c r="G503" i="15"/>
  <c r="H503" i="15" s="1"/>
  <c r="G502" i="15"/>
  <c r="H502" i="15" s="1"/>
  <c r="G501" i="15"/>
  <c r="H501" i="15" s="1"/>
  <c r="I501" i="15" s="1"/>
  <c r="G500" i="15"/>
  <c r="H500" i="15" s="1"/>
  <c r="G499" i="15"/>
  <c r="H499" i="15" s="1"/>
  <c r="I499" i="15" s="1"/>
  <c r="G498" i="15"/>
  <c r="H498" i="15" s="1"/>
  <c r="G497" i="15"/>
  <c r="H497" i="15" s="1"/>
  <c r="G496" i="15"/>
  <c r="H496" i="15" s="1"/>
  <c r="G495" i="15"/>
  <c r="H495" i="15" s="1"/>
  <c r="G494" i="15"/>
  <c r="H494" i="15" s="1"/>
  <c r="G493" i="15"/>
  <c r="H493" i="15" s="1"/>
  <c r="G492" i="15"/>
  <c r="H492" i="15" s="1"/>
  <c r="G491" i="15"/>
  <c r="H491" i="15" s="1"/>
  <c r="I491" i="15" s="1"/>
  <c r="G490" i="15"/>
  <c r="H490" i="15" s="1"/>
  <c r="G489" i="15"/>
  <c r="H489" i="15" s="1"/>
  <c r="I489" i="15" s="1"/>
  <c r="G488" i="15"/>
  <c r="H488" i="15" s="1"/>
  <c r="G487" i="15"/>
  <c r="H487" i="15" s="1"/>
  <c r="G486" i="15"/>
  <c r="H486" i="15" s="1"/>
  <c r="G485" i="15"/>
  <c r="H485" i="15" s="1"/>
  <c r="G484" i="15"/>
  <c r="H484" i="15" s="1"/>
  <c r="G483" i="15"/>
  <c r="H483" i="15" s="1"/>
  <c r="I483" i="15" s="1"/>
  <c r="G482" i="15"/>
  <c r="H482" i="15" s="1"/>
  <c r="G481" i="15"/>
  <c r="H481" i="15" s="1"/>
  <c r="I481" i="15" s="1"/>
  <c r="J481" i="15" s="1"/>
  <c r="G480" i="15"/>
  <c r="H480" i="15" s="1"/>
  <c r="G479" i="15"/>
  <c r="H479" i="15" s="1"/>
  <c r="I479" i="15" s="1"/>
  <c r="G478" i="15"/>
  <c r="H478" i="15" s="1"/>
  <c r="I478" i="15" s="1"/>
  <c r="G477" i="15"/>
  <c r="H477" i="15" s="1"/>
  <c r="G476" i="15"/>
  <c r="H476" i="15" s="1"/>
  <c r="G475" i="15"/>
  <c r="H475" i="15" s="1"/>
  <c r="G474" i="15"/>
  <c r="H474" i="15" s="1"/>
  <c r="I474" i="15" s="1"/>
  <c r="G473" i="15"/>
  <c r="H473" i="15" s="1"/>
  <c r="G472" i="15"/>
  <c r="H472" i="15" s="1"/>
  <c r="G471" i="15"/>
  <c r="H471" i="15" s="1"/>
  <c r="I471" i="15" s="1"/>
  <c r="G470" i="15"/>
  <c r="H470" i="15" s="1"/>
  <c r="I470" i="15" s="1"/>
  <c r="G469" i="15"/>
  <c r="H469" i="15" s="1"/>
  <c r="G468" i="15"/>
  <c r="H468" i="15" s="1"/>
  <c r="G467" i="15"/>
  <c r="H467" i="15" s="1"/>
  <c r="I467" i="15" s="1"/>
  <c r="G466" i="15"/>
  <c r="H466" i="15" s="1"/>
  <c r="G465" i="15"/>
  <c r="H465" i="15" s="1"/>
  <c r="I465" i="15" s="1"/>
  <c r="G464" i="15"/>
  <c r="H464" i="15" s="1"/>
  <c r="G463" i="15"/>
  <c r="H463" i="15" s="1"/>
  <c r="I463" i="15" s="1"/>
  <c r="J463" i="15" s="1"/>
  <c r="G462" i="15"/>
  <c r="H462" i="15" s="1"/>
  <c r="G461" i="15"/>
  <c r="H461" i="15" s="1"/>
  <c r="I461" i="15" s="1"/>
  <c r="G460" i="15"/>
  <c r="H460" i="15" s="1"/>
  <c r="I460" i="15" s="1"/>
  <c r="G459" i="15"/>
  <c r="H459" i="15" s="1"/>
  <c r="G458" i="15"/>
  <c r="H458" i="15" s="1"/>
  <c r="G457" i="15"/>
  <c r="H457" i="15" s="1"/>
  <c r="G456" i="15"/>
  <c r="H456" i="15" s="1"/>
  <c r="I456" i="15" s="1"/>
  <c r="G455" i="15"/>
  <c r="H455" i="15" s="1"/>
  <c r="G454" i="15"/>
  <c r="H454" i="15" s="1"/>
  <c r="G453" i="15"/>
  <c r="H453" i="15" s="1"/>
  <c r="I453" i="15" s="1"/>
  <c r="G452" i="15"/>
  <c r="H452" i="15" s="1"/>
  <c r="G451" i="15"/>
  <c r="H451" i="15" s="1"/>
  <c r="G450" i="15"/>
  <c r="H450" i="15" s="1"/>
  <c r="G449" i="15"/>
  <c r="H449" i="15" s="1"/>
  <c r="G448" i="15"/>
  <c r="H448" i="15" s="1"/>
  <c r="I448" i="15" s="1"/>
  <c r="G447" i="15"/>
  <c r="H447" i="15" s="1"/>
  <c r="I447" i="15" s="1"/>
  <c r="G446" i="15"/>
  <c r="H446" i="15" s="1"/>
  <c r="G445" i="15"/>
  <c r="H445" i="15" s="1"/>
  <c r="I445" i="15" s="1"/>
  <c r="J445" i="15" s="1"/>
  <c r="G444" i="15"/>
  <c r="H444" i="15" s="1"/>
  <c r="I444" i="15" s="1"/>
  <c r="G443" i="15"/>
  <c r="H443" i="15" s="1"/>
  <c r="G442" i="15"/>
  <c r="H442" i="15" s="1"/>
  <c r="G441" i="15"/>
  <c r="H441" i="15" s="1"/>
  <c r="I441" i="15" s="1"/>
  <c r="J441" i="15" s="1"/>
  <c r="G440" i="15"/>
  <c r="H440" i="15" s="1"/>
  <c r="I440" i="15" s="1"/>
  <c r="G439" i="15"/>
  <c r="H439" i="15" s="1"/>
  <c r="G438" i="15"/>
  <c r="H438" i="15" s="1"/>
  <c r="I438" i="15" s="1"/>
  <c r="J438" i="15" s="1"/>
  <c r="G437" i="15"/>
  <c r="H437" i="15" s="1"/>
  <c r="G436" i="15"/>
  <c r="H436" i="15" s="1"/>
  <c r="I436" i="15" s="1"/>
  <c r="G435" i="15"/>
  <c r="H435" i="15" s="1"/>
  <c r="I435" i="15" s="1"/>
  <c r="G434" i="15"/>
  <c r="H434" i="15" s="1"/>
  <c r="I434" i="15" s="1"/>
  <c r="G433" i="15"/>
  <c r="H433" i="15" s="1"/>
  <c r="I433" i="15" s="1"/>
  <c r="G432" i="15"/>
  <c r="H432" i="15" s="1"/>
  <c r="G431" i="15"/>
  <c r="H431" i="15" s="1"/>
  <c r="G430" i="15"/>
  <c r="H430" i="15" s="1"/>
  <c r="I430" i="15" s="1"/>
  <c r="J430" i="15" s="1"/>
  <c r="G429" i="15"/>
  <c r="H429" i="15" s="1"/>
  <c r="G428" i="15"/>
  <c r="H428" i="15" s="1"/>
  <c r="I428" i="15" s="1"/>
  <c r="G427" i="15"/>
  <c r="H427" i="15" s="1"/>
  <c r="I427" i="15" s="1"/>
  <c r="G426" i="15"/>
  <c r="H426" i="15" s="1"/>
  <c r="I426" i="15" s="1"/>
  <c r="G425" i="15"/>
  <c r="H425" i="15" s="1"/>
  <c r="G424" i="15"/>
  <c r="H424" i="15" s="1"/>
  <c r="G423" i="15"/>
  <c r="H423" i="15" s="1"/>
  <c r="G422" i="15"/>
  <c r="H422" i="15" s="1"/>
  <c r="I422" i="15" s="1"/>
  <c r="J422" i="15" s="1"/>
  <c r="G421" i="15"/>
  <c r="H421" i="15" s="1"/>
  <c r="G420" i="15"/>
  <c r="H420" i="15" s="1"/>
  <c r="I420" i="15" s="1"/>
  <c r="G419" i="15"/>
  <c r="H419" i="15" s="1"/>
  <c r="I419" i="15" s="1"/>
  <c r="G418" i="15"/>
  <c r="H418" i="15" s="1"/>
  <c r="G417" i="15"/>
  <c r="H417" i="15" s="1"/>
  <c r="I417" i="15" s="1"/>
  <c r="G416" i="15"/>
  <c r="H416" i="15" s="1"/>
  <c r="G415" i="15"/>
  <c r="H415" i="15" s="1"/>
  <c r="G414" i="15"/>
  <c r="H414" i="15" s="1"/>
  <c r="I414" i="15" s="1"/>
  <c r="J414" i="15" s="1"/>
  <c r="G413" i="15"/>
  <c r="H413" i="15" s="1"/>
  <c r="G412" i="15"/>
  <c r="H412" i="15" s="1"/>
  <c r="I412" i="15" s="1"/>
  <c r="G411" i="15"/>
  <c r="H411" i="15" s="1"/>
  <c r="I411" i="15" s="1"/>
  <c r="G410" i="15"/>
  <c r="H410" i="15" s="1"/>
  <c r="G409" i="15"/>
  <c r="H409" i="15" s="1"/>
  <c r="I409" i="15" s="1"/>
  <c r="G408" i="15"/>
  <c r="H408" i="15" s="1"/>
  <c r="G407" i="15"/>
  <c r="H407" i="15" s="1"/>
  <c r="G406" i="15"/>
  <c r="H406" i="15" s="1"/>
  <c r="I406" i="15" s="1"/>
  <c r="J406" i="15" s="1"/>
  <c r="G405" i="15"/>
  <c r="H405" i="15" s="1"/>
  <c r="G404" i="15"/>
  <c r="H404" i="15" s="1"/>
  <c r="I404" i="15" s="1"/>
  <c r="G403" i="15"/>
  <c r="H403" i="15" s="1"/>
  <c r="I403" i="15" s="1"/>
  <c r="G402" i="15"/>
  <c r="H402" i="15" s="1"/>
  <c r="I402" i="15" s="1"/>
  <c r="G401" i="15"/>
  <c r="H401" i="15" s="1"/>
  <c r="I401" i="15" s="1"/>
  <c r="G400" i="15"/>
  <c r="H400" i="15" s="1"/>
  <c r="G399" i="15"/>
  <c r="H399" i="15" s="1"/>
  <c r="G398" i="15"/>
  <c r="H398" i="15" s="1"/>
  <c r="I398" i="15" s="1"/>
  <c r="J398" i="15" s="1"/>
  <c r="G397" i="15"/>
  <c r="H397" i="15" s="1"/>
  <c r="G396" i="15"/>
  <c r="H396" i="15" s="1"/>
  <c r="I396" i="15" s="1"/>
  <c r="G395" i="15"/>
  <c r="H395" i="15" s="1"/>
  <c r="I395" i="15" s="1"/>
  <c r="G394" i="15"/>
  <c r="H394" i="15" s="1"/>
  <c r="G393" i="15"/>
  <c r="H393" i="15" s="1"/>
  <c r="I393" i="15" s="1"/>
  <c r="G392" i="15"/>
  <c r="H392" i="15" s="1"/>
  <c r="G391" i="15"/>
  <c r="H391" i="15" s="1"/>
  <c r="G390" i="15"/>
  <c r="H390" i="15" s="1"/>
  <c r="G389" i="15"/>
  <c r="H389" i="15" s="1"/>
  <c r="G388" i="15"/>
  <c r="H388" i="15" s="1"/>
  <c r="G387" i="15"/>
  <c r="H387" i="15" s="1"/>
  <c r="I387" i="15" s="1"/>
  <c r="G386" i="15"/>
  <c r="H386" i="15" s="1"/>
  <c r="G385" i="15"/>
  <c r="H385" i="15" s="1"/>
  <c r="G384" i="15"/>
  <c r="H384" i="15" s="1"/>
  <c r="G383" i="15"/>
  <c r="H383" i="15" s="1"/>
  <c r="G382" i="15"/>
  <c r="H382" i="15" s="1"/>
  <c r="I382" i="15" s="1"/>
  <c r="J382" i="15" s="1"/>
  <c r="G381" i="15"/>
  <c r="H381" i="15" s="1"/>
  <c r="G380" i="15"/>
  <c r="H380" i="15" s="1"/>
  <c r="I380" i="15" s="1"/>
  <c r="G379" i="15"/>
  <c r="H379" i="15" s="1"/>
  <c r="G378" i="15"/>
  <c r="H378" i="15" s="1"/>
  <c r="G377" i="15"/>
  <c r="H377" i="15" s="1"/>
  <c r="G376" i="15"/>
  <c r="H376" i="15" s="1"/>
  <c r="G375" i="15"/>
  <c r="H375" i="15" s="1"/>
  <c r="G374" i="15"/>
  <c r="H374" i="15" s="1"/>
  <c r="G373" i="15"/>
  <c r="H373" i="15" s="1"/>
  <c r="I373" i="15" s="1"/>
  <c r="G372" i="15"/>
  <c r="H372" i="15" s="1"/>
  <c r="I372" i="15" s="1"/>
  <c r="G371" i="15"/>
  <c r="H371" i="15" s="1"/>
  <c r="I371" i="15" s="1"/>
  <c r="J371" i="15" s="1"/>
  <c r="G370" i="15"/>
  <c r="H370" i="15" s="1"/>
  <c r="J370" i="15" s="1"/>
  <c r="G369" i="15"/>
  <c r="H369" i="15" s="1"/>
  <c r="G368" i="15"/>
  <c r="H368" i="15" s="1"/>
  <c r="G367" i="15"/>
  <c r="H367" i="15" s="1"/>
  <c r="G366" i="15"/>
  <c r="H366" i="15" s="1"/>
  <c r="G365" i="15"/>
  <c r="H365" i="15" s="1"/>
  <c r="I365" i="15" s="1"/>
  <c r="G364" i="15"/>
  <c r="H364" i="15" s="1"/>
  <c r="I364" i="15" s="1"/>
  <c r="G363" i="15"/>
  <c r="H363" i="15" s="1"/>
  <c r="I363" i="15" s="1"/>
  <c r="J363" i="15" s="1"/>
  <c r="G362" i="15"/>
  <c r="H362" i="15" s="1"/>
  <c r="I362" i="15" s="1"/>
  <c r="G361" i="15"/>
  <c r="H361" i="15" s="1"/>
  <c r="G360" i="15"/>
  <c r="H360" i="15" s="1"/>
  <c r="G359" i="15"/>
  <c r="H359" i="15" s="1"/>
  <c r="J359" i="15" s="1"/>
  <c r="G358" i="15"/>
  <c r="H358" i="15" s="1"/>
  <c r="G357" i="15"/>
  <c r="H357" i="15" s="1"/>
  <c r="G356" i="15"/>
  <c r="H356" i="15" s="1"/>
  <c r="G355" i="15"/>
  <c r="H355" i="15" s="1"/>
  <c r="G354" i="15"/>
  <c r="H354" i="15" s="1"/>
  <c r="I354" i="15" s="1"/>
  <c r="J354" i="15" s="1"/>
  <c r="G353" i="15"/>
  <c r="H353" i="15" s="1"/>
  <c r="G352" i="15"/>
  <c r="H352" i="15" s="1"/>
  <c r="G351" i="15"/>
  <c r="H351" i="15" s="1"/>
  <c r="I351" i="15" s="1"/>
  <c r="J351" i="15" s="1"/>
  <c r="G350" i="15"/>
  <c r="H350" i="15" s="1"/>
  <c r="G349" i="15"/>
  <c r="H349" i="15" s="1"/>
  <c r="G348" i="15"/>
  <c r="H348" i="15" s="1"/>
  <c r="G347" i="15"/>
  <c r="H347" i="15" s="1"/>
  <c r="G346" i="15"/>
  <c r="H346" i="15" s="1"/>
  <c r="G345" i="15"/>
  <c r="H345" i="15" s="1"/>
  <c r="I345" i="15" s="1"/>
  <c r="J345" i="15" s="1"/>
  <c r="G344" i="15"/>
  <c r="H344" i="15" s="1"/>
  <c r="G343" i="15"/>
  <c r="H343" i="15" s="1"/>
  <c r="G342" i="15"/>
  <c r="H342" i="15" s="1"/>
  <c r="G341" i="15"/>
  <c r="H341" i="15" s="1"/>
  <c r="G340" i="15"/>
  <c r="H340" i="15" s="1"/>
  <c r="G339" i="15"/>
  <c r="H339" i="15" s="1"/>
  <c r="G338" i="15"/>
  <c r="H338" i="15" s="1"/>
  <c r="I338" i="15" s="1"/>
  <c r="G337" i="15"/>
  <c r="H337" i="15" s="1"/>
  <c r="I337" i="15" s="1"/>
  <c r="J337" i="15" s="1"/>
  <c r="G336" i="15"/>
  <c r="H336" i="15" s="1"/>
  <c r="G335" i="15"/>
  <c r="H335" i="15" s="1"/>
  <c r="I335" i="15" s="1"/>
  <c r="J335" i="15" s="1"/>
  <c r="G334" i="15"/>
  <c r="H334" i="15" s="1"/>
  <c r="G333" i="15"/>
  <c r="H333" i="15" s="1"/>
  <c r="G332" i="15"/>
  <c r="H332" i="15" s="1"/>
  <c r="G331" i="15"/>
  <c r="H331" i="15" s="1"/>
  <c r="G330" i="15"/>
  <c r="H330" i="15" s="1"/>
  <c r="G329" i="15"/>
  <c r="H329" i="15" s="1"/>
  <c r="I329" i="15" s="1"/>
  <c r="J329" i="15" s="1"/>
  <c r="G328" i="15"/>
  <c r="H328" i="15" s="1"/>
  <c r="G327" i="15"/>
  <c r="H327" i="15" s="1"/>
  <c r="I327" i="15" s="1"/>
  <c r="G326" i="15"/>
  <c r="H326" i="15" s="1"/>
  <c r="G325" i="15"/>
  <c r="H325" i="15" s="1"/>
  <c r="G324" i="15"/>
  <c r="H324" i="15" s="1"/>
  <c r="J324" i="15" s="1"/>
  <c r="G323" i="15"/>
  <c r="H323" i="15" s="1"/>
  <c r="I323" i="15" s="1"/>
  <c r="G322" i="15"/>
  <c r="H322" i="15" s="1"/>
  <c r="I322" i="15" s="1"/>
  <c r="G321" i="15"/>
  <c r="H321" i="15" s="1"/>
  <c r="I321" i="15" s="1"/>
  <c r="J321" i="15" s="1"/>
  <c r="G320" i="15"/>
  <c r="H320" i="15" s="1"/>
  <c r="G319" i="15"/>
  <c r="H319" i="15" s="1"/>
  <c r="I319" i="15" s="1"/>
  <c r="J319" i="15" s="1"/>
  <c r="G318" i="15"/>
  <c r="H318" i="15" s="1"/>
  <c r="G317" i="15"/>
  <c r="H317" i="15" s="1"/>
  <c r="I317" i="15" s="1"/>
  <c r="J317" i="15" s="1"/>
  <c r="G316" i="15"/>
  <c r="H316" i="15" s="1"/>
  <c r="I316" i="15" s="1"/>
  <c r="J316" i="15" s="1"/>
  <c r="G315" i="15"/>
  <c r="H315" i="15" s="1"/>
  <c r="I315" i="15" s="1"/>
  <c r="G314" i="15"/>
  <c r="H314" i="15" s="1"/>
  <c r="I314" i="15" s="1"/>
  <c r="J314" i="15" s="1"/>
  <c r="G313" i="15"/>
  <c r="H313" i="15" s="1"/>
  <c r="I313" i="15" s="1"/>
  <c r="G312" i="15"/>
  <c r="H312" i="15" s="1"/>
  <c r="G311" i="15"/>
  <c r="H311" i="15" s="1"/>
  <c r="G310" i="15"/>
  <c r="H310" i="15" s="1"/>
  <c r="G309" i="15"/>
  <c r="H309" i="15" s="1"/>
  <c r="I309" i="15" s="1"/>
  <c r="G308" i="15"/>
  <c r="H308" i="15" s="1"/>
  <c r="I308" i="15" s="1"/>
  <c r="J308" i="15" s="1"/>
  <c r="G307" i="15"/>
  <c r="H307" i="15" s="1"/>
  <c r="I307" i="15" s="1"/>
  <c r="G306" i="15"/>
  <c r="H306" i="15" s="1"/>
  <c r="G305" i="15"/>
  <c r="H305" i="15" s="1"/>
  <c r="I305" i="15" s="1"/>
  <c r="G304" i="15"/>
  <c r="H304" i="15" s="1"/>
  <c r="G303" i="15"/>
  <c r="H303" i="15" s="1"/>
  <c r="G302" i="15"/>
  <c r="H302" i="15" s="1"/>
  <c r="G301" i="15"/>
  <c r="H301" i="15" s="1"/>
  <c r="G300" i="15"/>
  <c r="H300" i="15" s="1"/>
  <c r="I300" i="15" s="1"/>
  <c r="J300" i="15" s="1"/>
  <c r="G299" i="15"/>
  <c r="H299" i="15" s="1"/>
  <c r="I299" i="15" s="1"/>
  <c r="G298" i="15"/>
  <c r="H298" i="15" s="1"/>
  <c r="I298" i="15" s="1"/>
  <c r="G297" i="15"/>
  <c r="H297" i="15" s="1"/>
  <c r="I297" i="15" s="1"/>
  <c r="G296" i="15"/>
  <c r="H296" i="15" s="1"/>
  <c r="G295" i="15"/>
  <c r="H295" i="15" s="1"/>
  <c r="G294" i="15"/>
  <c r="H294" i="15" s="1"/>
  <c r="G293" i="15"/>
  <c r="H293" i="15" s="1"/>
  <c r="I293" i="15" s="1"/>
  <c r="G292" i="15"/>
  <c r="H292" i="15" s="1"/>
  <c r="I292" i="15" s="1"/>
  <c r="J292" i="15" s="1"/>
  <c r="G291" i="15"/>
  <c r="H291" i="15" s="1"/>
  <c r="I291" i="15" s="1"/>
  <c r="G290" i="15"/>
  <c r="H290" i="15" s="1"/>
  <c r="I290" i="15" s="1"/>
  <c r="G289" i="15"/>
  <c r="H289" i="15" s="1"/>
  <c r="I289" i="15" s="1"/>
  <c r="G288" i="15"/>
  <c r="H288" i="15" s="1"/>
  <c r="G287" i="15"/>
  <c r="H287" i="15" s="1"/>
  <c r="G286" i="15"/>
  <c r="H286" i="15" s="1"/>
  <c r="G285" i="15"/>
  <c r="H285" i="15" s="1"/>
  <c r="I285" i="15" s="1"/>
  <c r="G284" i="15"/>
  <c r="H284" i="15" s="1"/>
  <c r="I284" i="15" s="1"/>
  <c r="J284" i="15" s="1"/>
  <c r="G283" i="15"/>
  <c r="H283" i="15" s="1"/>
  <c r="I283" i="15" s="1"/>
  <c r="G282" i="15"/>
  <c r="H282" i="15" s="1"/>
  <c r="G281" i="15"/>
  <c r="H281" i="15" s="1"/>
  <c r="I281" i="15" s="1"/>
  <c r="G280" i="15"/>
  <c r="H280" i="15" s="1"/>
  <c r="G279" i="15"/>
  <c r="H279" i="15" s="1"/>
  <c r="G278" i="15"/>
  <c r="H278" i="15" s="1"/>
  <c r="G277" i="15"/>
  <c r="H277" i="15" s="1"/>
  <c r="G276" i="15"/>
  <c r="H276" i="15" s="1"/>
  <c r="I276" i="15" s="1"/>
  <c r="J276" i="15" s="1"/>
  <c r="G275" i="15"/>
  <c r="H275" i="15" s="1"/>
  <c r="I275" i="15" s="1"/>
  <c r="G274" i="15"/>
  <c r="H274" i="15" s="1"/>
  <c r="G273" i="15"/>
  <c r="H273" i="15" s="1"/>
  <c r="I273" i="15" s="1"/>
  <c r="G262" i="15"/>
  <c r="H262" i="15" s="1"/>
  <c r="G261" i="15"/>
  <c r="H261" i="15" s="1"/>
  <c r="G260" i="15"/>
  <c r="H260" i="15" s="1"/>
  <c r="G259" i="15"/>
  <c r="H259" i="15" s="1"/>
  <c r="G258" i="15"/>
  <c r="H258" i="15" s="1"/>
  <c r="I258" i="15" s="1"/>
  <c r="J258" i="15" s="1"/>
  <c r="G257" i="15"/>
  <c r="H257" i="15" s="1"/>
  <c r="I257" i="15" s="1"/>
  <c r="G256" i="15"/>
  <c r="H256" i="15" s="1"/>
  <c r="G255" i="15"/>
  <c r="H255" i="15" s="1"/>
  <c r="I255" i="15" s="1"/>
  <c r="G254" i="15"/>
  <c r="H254" i="15" s="1"/>
  <c r="G253" i="15"/>
  <c r="H253" i="15" s="1"/>
  <c r="G252" i="15"/>
  <c r="H252" i="15" s="1"/>
  <c r="G251" i="15"/>
  <c r="H251" i="15" s="1"/>
  <c r="I251" i="15" s="1"/>
  <c r="G250" i="15"/>
  <c r="H250" i="15" s="1"/>
  <c r="I250" i="15" s="1"/>
  <c r="G249" i="15"/>
  <c r="H249" i="15" s="1"/>
  <c r="I249" i="15" s="1"/>
  <c r="G248" i="15"/>
  <c r="H248" i="15" s="1"/>
  <c r="G247" i="15"/>
  <c r="H247" i="15" s="1"/>
  <c r="G246" i="15"/>
  <c r="H246" i="15" s="1"/>
  <c r="G245" i="15"/>
  <c r="H245" i="15" s="1"/>
  <c r="G244" i="15"/>
  <c r="H244" i="15" s="1"/>
  <c r="G243" i="15"/>
  <c r="H243" i="15" s="1"/>
  <c r="G242" i="15"/>
  <c r="H242" i="15" s="1"/>
  <c r="G241" i="15"/>
  <c r="H241" i="15" s="1"/>
  <c r="I241" i="15" s="1"/>
  <c r="G240" i="15"/>
  <c r="H240" i="15" s="1"/>
  <c r="I240" i="15" s="1"/>
  <c r="J240" i="15" s="1"/>
  <c r="G239" i="15"/>
  <c r="H239" i="15" s="1"/>
  <c r="G238" i="15"/>
  <c r="H238" i="15" s="1"/>
  <c r="G237" i="15"/>
  <c r="H237" i="15" s="1"/>
  <c r="G236" i="15"/>
  <c r="H236" i="15" s="1"/>
  <c r="G235" i="15"/>
  <c r="H235" i="15" s="1"/>
  <c r="G234" i="15"/>
  <c r="H234" i="15" s="1"/>
  <c r="I234" i="15" s="1"/>
  <c r="G233" i="15"/>
  <c r="H233" i="15" s="1"/>
  <c r="I233" i="15" s="1"/>
  <c r="G232" i="15"/>
  <c r="H232" i="15" s="1"/>
  <c r="I232" i="15" s="1"/>
  <c r="G231" i="15"/>
  <c r="H231" i="15" s="1"/>
  <c r="G230" i="15"/>
  <c r="H230" i="15" s="1"/>
  <c r="G229" i="15"/>
  <c r="H229" i="15" s="1"/>
  <c r="G228" i="15"/>
  <c r="H228" i="15" s="1"/>
  <c r="G227" i="15"/>
  <c r="H227" i="15" s="1"/>
  <c r="I227" i="15" s="1"/>
  <c r="G226" i="15"/>
  <c r="H226" i="15" s="1"/>
  <c r="G225" i="15"/>
  <c r="H225" i="15" s="1"/>
  <c r="I225" i="15" s="1"/>
  <c r="G224" i="15"/>
  <c r="H224" i="15" s="1"/>
  <c r="I224" i="15" s="1"/>
  <c r="G223" i="15"/>
  <c r="H223" i="15" s="1"/>
  <c r="G222" i="15"/>
  <c r="H222" i="15" s="1"/>
  <c r="G221" i="15"/>
  <c r="H221" i="15" s="1"/>
  <c r="G220" i="15"/>
  <c r="H220" i="15" s="1"/>
  <c r="G219" i="15"/>
  <c r="H219" i="15" s="1"/>
  <c r="I219" i="15" s="1"/>
  <c r="G218" i="15"/>
  <c r="H218" i="15" s="1"/>
  <c r="G217" i="15"/>
  <c r="H217" i="15" s="1"/>
  <c r="I217" i="15" s="1"/>
  <c r="G216" i="15"/>
  <c r="H216" i="15" s="1"/>
  <c r="I216" i="15" s="1"/>
  <c r="G215" i="15"/>
  <c r="H215" i="15" s="1"/>
  <c r="G214" i="15"/>
  <c r="H214" i="15" s="1"/>
  <c r="G213" i="15"/>
  <c r="H213" i="15" s="1"/>
  <c r="G212" i="15"/>
  <c r="H212" i="15" s="1"/>
  <c r="G211" i="15"/>
  <c r="H211" i="15" s="1"/>
  <c r="I211" i="15" s="1"/>
  <c r="J211" i="15" s="1"/>
  <c r="G210" i="15"/>
  <c r="H210" i="15" s="1"/>
  <c r="I210" i="15" s="1"/>
  <c r="G209" i="15"/>
  <c r="H209" i="15" s="1"/>
  <c r="I209" i="15" s="1"/>
  <c r="G208" i="15"/>
  <c r="H208" i="15" s="1"/>
  <c r="I208" i="15" s="1"/>
  <c r="G207" i="15"/>
  <c r="H207" i="15" s="1"/>
  <c r="G206" i="15"/>
  <c r="H206" i="15" s="1"/>
  <c r="G205" i="15"/>
  <c r="H205" i="15" s="1"/>
  <c r="I205" i="15" s="1"/>
  <c r="G204" i="15"/>
  <c r="H204" i="15" s="1"/>
  <c r="I204" i="15" s="1"/>
  <c r="G203" i="15"/>
  <c r="H203" i="15" s="1"/>
  <c r="G202" i="15"/>
  <c r="H202" i="15" s="1"/>
  <c r="G201" i="15"/>
  <c r="H201" i="15" s="1"/>
  <c r="I201" i="15" s="1"/>
  <c r="J201" i="15" s="1"/>
  <c r="G200" i="15"/>
  <c r="H200" i="15" s="1"/>
  <c r="G199" i="15"/>
  <c r="H199" i="15" s="1"/>
  <c r="I199" i="15" s="1"/>
  <c r="J199" i="15" s="1"/>
  <c r="G198" i="15"/>
  <c r="H198" i="15" s="1"/>
  <c r="G187" i="15"/>
  <c r="H187" i="15" s="1"/>
  <c r="I187" i="15" s="1"/>
  <c r="G186" i="15"/>
  <c r="H186" i="15" s="1"/>
  <c r="G185" i="15"/>
  <c r="H185" i="15" s="1"/>
  <c r="I185" i="15" s="1"/>
  <c r="G184" i="15"/>
  <c r="H184" i="15" s="1"/>
  <c r="I184" i="15" s="1"/>
  <c r="G183" i="15"/>
  <c r="H183" i="15" s="1"/>
  <c r="G182" i="15"/>
  <c r="H182" i="15" s="1"/>
  <c r="G181" i="15"/>
  <c r="H181" i="15" s="1"/>
  <c r="G180" i="15"/>
  <c r="H180" i="15" s="1"/>
  <c r="I180" i="15" s="1"/>
  <c r="G179" i="15"/>
  <c r="H179" i="15" s="1"/>
  <c r="I179" i="15" s="1"/>
  <c r="J179" i="15" s="1"/>
  <c r="G178" i="15"/>
  <c r="H178" i="15" s="1"/>
  <c r="G177" i="15"/>
  <c r="H177" i="15" s="1"/>
  <c r="G176" i="15"/>
  <c r="H176" i="15" s="1"/>
  <c r="G175" i="15"/>
  <c r="H175" i="15" s="1"/>
  <c r="I175" i="15" s="1"/>
  <c r="G174" i="15"/>
  <c r="H174" i="15" s="1"/>
  <c r="G173" i="15"/>
  <c r="H173" i="15" s="1"/>
  <c r="I173" i="15" s="1"/>
  <c r="J173" i="15" s="1"/>
  <c r="G172" i="15"/>
  <c r="H172" i="15" s="1"/>
  <c r="G171" i="15"/>
  <c r="H171" i="15" s="1"/>
  <c r="I171" i="15" s="1"/>
  <c r="G170" i="15"/>
  <c r="H170" i="15" s="1"/>
  <c r="G169" i="15"/>
  <c r="H169" i="15" s="1"/>
  <c r="I169" i="15" s="1"/>
  <c r="J169" i="15" s="1"/>
  <c r="G168" i="15"/>
  <c r="H168" i="15" s="1"/>
  <c r="I168" i="15" s="1"/>
  <c r="G167" i="15"/>
  <c r="H167" i="15" s="1"/>
  <c r="I167" i="15" s="1"/>
  <c r="G166" i="15"/>
  <c r="H166" i="15" s="1"/>
  <c r="G165" i="15"/>
  <c r="H165" i="15" s="1"/>
  <c r="I165" i="15" s="1"/>
  <c r="G164" i="15"/>
  <c r="H164" i="15" s="1"/>
  <c r="I164" i="15" s="1"/>
  <c r="G163" i="15"/>
  <c r="H163" i="15" s="1"/>
  <c r="I163" i="15" s="1"/>
  <c r="J163" i="15" s="1"/>
  <c r="G162" i="15"/>
  <c r="H162" i="15" s="1"/>
  <c r="I162" i="15" s="1"/>
  <c r="J162" i="15" s="1"/>
  <c r="G161" i="15"/>
  <c r="H161" i="15" s="1"/>
  <c r="G160" i="15"/>
  <c r="H160" i="15" s="1"/>
  <c r="G159" i="15"/>
  <c r="H159" i="15" s="1"/>
  <c r="I159" i="15" s="1"/>
  <c r="J159" i="15" s="1"/>
  <c r="G158" i="15"/>
  <c r="H158" i="15" s="1"/>
  <c r="G157" i="15"/>
  <c r="H157" i="15" s="1"/>
  <c r="I157" i="15" s="1"/>
  <c r="J157" i="15" s="1"/>
  <c r="G156" i="15"/>
  <c r="H156" i="15" s="1"/>
  <c r="I156" i="15" s="1"/>
  <c r="G155" i="15"/>
  <c r="H155" i="15" s="1"/>
  <c r="I155" i="15" s="1"/>
  <c r="G154" i="15"/>
  <c r="H154" i="15" s="1"/>
  <c r="G153" i="15"/>
  <c r="H153" i="15" s="1"/>
  <c r="I153" i="15" s="1"/>
  <c r="J153" i="15" s="1"/>
  <c r="G152" i="15"/>
  <c r="H152" i="15" s="1"/>
  <c r="I152" i="15" s="1"/>
  <c r="G151" i="15"/>
  <c r="H151" i="15" s="1"/>
  <c r="I151" i="15" s="1"/>
  <c r="G150" i="15"/>
  <c r="H150" i="15" s="1"/>
  <c r="I150" i="15" s="1"/>
  <c r="G149" i="15"/>
  <c r="H149" i="15" s="1"/>
  <c r="G148" i="15"/>
  <c r="H148" i="15" s="1"/>
  <c r="I148" i="15" s="1"/>
  <c r="G147" i="15"/>
  <c r="H147" i="15" s="1"/>
  <c r="I147" i="15" s="1"/>
  <c r="J147" i="15" s="1"/>
  <c r="G146" i="15"/>
  <c r="H146" i="15" s="1"/>
  <c r="G145" i="15"/>
  <c r="H145" i="15" s="1"/>
  <c r="G144" i="15"/>
  <c r="H144" i="15" s="1"/>
  <c r="G143" i="15"/>
  <c r="H143" i="15" s="1"/>
  <c r="I143" i="15" s="1"/>
  <c r="G142" i="15"/>
  <c r="H142" i="15" s="1"/>
  <c r="G141" i="15"/>
  <c r="H141" i="15" s="1"/>
  <c r="I141" i="15" s="1"/>
  <c r="J141" i="15" s="1"/>
  <c r="G140" i="15"/>
  <c r="H140" i="15" s="1"/>
  <c r="G139" i="15"/>
  <c r="H139" i="15" s="1"/>
  <c r="I139" i="15" s="1"/>
  <c r="G138" i="15"/>
  <c r="H138" i="15" s="1"/>
  <c r="G137" i="15"/>
  <c r="H137" i="15" s="1"/>
  <c r="I137" i="15" s="1"/>
  <c r="J137" i="15" s="1"/>
  <c r="G136" i="15"/>
  <c r="H136" i="15" s="1"/>
  <c r="I136" i="15" s="1"/>
  <c r="G135" i="15"/>
  <c r="H135" i="15" s="1"/>
  <c r="I135" i="15" s="1"/>
  <c r="G134" i="15"/>
  <c r="H134" i="15" s="1"/>
  <c r="G133" i="15"/>
  <c r="H133" i="15" s="1"/>
  <c r="I133" i="15" s="1"/>
  <c r="G132" i="15"/>
  <c r="H132" i="15" s="1"/>
  <c r="G131" i="15"/>
  <c r="H131" i="15" s="1"/>
  <c r="I131" i="15" s="1"/>
  <c r="J131" i="15" s="1"/>
  <c r="G130" i="15"/>
  <c r="H130" i="15" s="1"/>
  <c r="G129" i="15"/>
  <c r="H129" i="15" s="1"/>
  <c r="G128" i="15"/>
  <c r="H128" i="15" s="1"/>
  <c r="G117" i="15"/>
  <c r="H117" i="15" s="1"/>
  <c r="I117" i="15" s="1"/>
  <c r="J117" i="15" s="1"/>
  <c r="G116" i="15"/>
  <c r="H116" i="15" s="1"/>
  <c r="I116" i="15" s="1"/>
  <c r="G115" i="15"/>
  <c r="H115" i="15" s="1"/>
  <c r="I115" i="15" s="1"/>
  <c r="J115" i="15" s="1"/>
  <c r="G114" i="15"/>
  <c r="H114" i="15" s="1"/>
  <c r="G113" i="15"/>
  <c r="H113" i="15" s="1"/>
  <c r="G112" i="15"/>
  <c r="H112" i="15" s="1"/>
  <c r="G111" i="15"/>
  <c r="H111" i="15" s="1"/>
  <c r="I111" i="15" s="1"/>
  <c r="J111" i="15" s="1"/>
  <c r="G110" i="15"/>
  <c r="H110" i="15" s="1"/>
  <c r="I110" i="15" s="1"/>
  <c r="G109" i="15"/>
  <c r="H109" i="15" s="1"/>
  <c r="I109" i="15" s="1"/>
  <c r="G108" i="15"/>
  <c r="H108" i="15" s="1"/>
  <c r="I108" i="15" s="1"/>
  <c r="J108" i="15" s="1"/>
  <c r="G107" i="15"/>
  <c r="H107" i="15" s="1"/>
  <c r="I107" i="15" s="1"/>
  <c r="G106" i="15"/>
  <c r="H106" i="15" s="1"/>
  <c r="I106" i="15" s="1"/>
  <c r="J106" i="15" s="1"/>
  <c r="G105" i="15"/>
  <c r="H105" i="15" s="1"/>
  <c r="I105" i="15" s="1"/>
  <c r="J105" i="15" s="1"/>
  <c r="G104" i="15"/>
  <c r="H104" i="15" s="1"/>
  <c r="G103" i="15"/>
  <c r="H103" i="15" s="1"/>
  <c r="G102" i="15"/>
  <c r="H102" i="15" s="1"/>
  <c r="G101" i="15"/>
  <c r="H101" i="15" s="1"/>
  <c r="I101" i="15" s="1"/>
  <c r="G100" i="15"/>
  <c r="H100" i="15" s="1"/>
  <c r="I100" i="15" s="1"/>
  <c r="G99" i="15"/>
  <c r="H99" i="15" s="1"/>
  <c r="I99" i="15" s="1"/>
  <c r="J99" i="15" s="1"/>
  <c r="G98" i="15"/>
  <c r="H98" i="15" s="1"/>
  <c r="I98" i="15" s="1"/>
  <c r="G97" i="15"/>
  <c r="H97" i="15" s="1"/>
  <c r="I97" i="15" s="1"/>
  <c r="J97" i="15" s="1"/>
  <c r="G96" i="15"/>
  <c r="H96" i="15" s="1"/>
  <c r="G95" i="15"/>
  <c r="H95" i="15" s="1"/>
  <c r="H94" i="15"/>
  <c r="I94" i="15" s="1"/>
  <c r="G93" i="15"/>
  <c r="H93" i="15" s="1"/>
  <c r="G92" i="15"/>
  <c r="H92" i="15" s="1"/>
  <c r="I92" i="15" s="1"/>
  <c r="J92" i="15" s="1"/>
  <c r="G91" i="15"/>
  <c r="H91" i="15" s="1"/>
  <c r="I91" i="15" s="1"/>
  <c r="G90" i="15"/>
  <c r="H90" i="15" s="1"/>
  <c r="I90" i="15" s="1"/>
  <c r="J90" i="15" s="1"/>
  <c r="G89" i="15"/>
  <c r="H89" i="15" s="1"/>
  <c r="I89" i="15" s="1"/>
  <c r="J89" i="15" s="1"/>
  <c r="G88" i="15"/>
  <c r="H88" i="15" s="1"/>
  <c r="G87" i="15"/>
  <c r="H87" i="15" s="1"/>
  <c r="G86" i="15"/>
  <c r="H86" i="15" s="1"/>
  <c r="G85" i="15"/>
  <c r="H85" i="15" s="1"/>
  <c r="I85" i="15" s="1"/>
  <c r="J85" i="15" s="1"/>
  <c r="G84" i="15"/>
  <c r="H84" i="15" s="1"/>
  <c r="G81" i="15"/>
  <c r="H81" i="15" s="1"/>
  <c r="I81" i="15" s="1"/>
  <c r="J81" i="15" s="1"/>
  <c r="G80" i="15"/>
  <c r="H80" i="15" s="1"/>
  <c r="G79" i="15"/>
  <c r="H79" i="15" s="1"/>
  <c r="G78" i="15"/>
  <c r="H78" i="15" s="1"/>
  <c r="G77" i="15"/>
  <c r="H77" i="15" s="1"/>
  <c r="I77" i="15" s="1"/>
  <c r="J77" i="15" s="1"/>
  <c r="G76" i="15"/>
  <c r="H76" i="15" s="1"/>
  <c r="I76" i="15" s="1"/>
  <c r="G75" i="15"/>
  <c r="H75" i="15" s="1"/>
  <c r="I75" i="15" s="1"/>
  <c r="G74" i="15"/>
  <c r="H74" i="15" s="1"/>
  <c r="G73" i="15"/>
  <c r="H73" i="15" s="1"/>
  <c r="I73" i="15" s="1"/>
  <c r="J73" i="15" s="1"/>
  <c r="G72" i="15"/>
  <c r="H72" i="15" s="1"/>
  <c r="G71" i="15"/>
  <c r="H71" i="15" s="1"/>
  <c r="G70" i="15"/>
  <c r="H70" i="15" s="1"/>
  <c r="G69" i="15"/>
  <c r="H69" i="15" s="1"/>
  <c r="I69" i="15" s="1"/>
  <c r="J69" i="15" s="1"/>
  <c r="G68" i="15"/>
  <c r="H68" i="15" s="1"/>
  <c r="I68" i="15" s="1"/>
  <c r="G67" i="15"/>
  <c r="H67" i="15" s="1"/>
  <c r="I67" i="15" s="1"/>
  <c r="G66" i="15"/>
  <c r="H66" i="15" s="1"/>
  <c r="G65" i="15"/>
  <c r="H65" i="15" s="1"/>
  <c r="I65" i="15" s="1"/>
  <c r="J65" i="15" s="1"/>
  <c r="G64" i="15"/>
  <c r="H64" i="15" s="1"/>
  <c r="G63" i="15"/>
  <c r="H63" i="15" s="1"/>
  <c r="G62" i="15"/>
  <c r="H62" i="15" s="1"/>
  <c r="G61" i="15"/>
  <c r="H61" i="15" s="1"/>
  <c r="I61" i="15" s="1"/>
  <c r="J61" i="15" s="1"/>
  <c r="G60" i="15"/>
  <c r="H60" i="15" s="1"/>
  <c r="I60" i="15" s="1"/>
  <c r="G59" i="15"/>
  <c r="H59" i="15" s="1"/>
  <c r="G58" i="15"/>
  <c r="H58" i="15" s="1"/>
  <c r="G57" i="15"/>
  <c r="H57" i="15" s="1"/>
  <c r="G56" i="15"/>
  <c r="H56" i="15" s="1"/>
  <c r="I56" i="15" s="1"/>
  <c r="G55" i="15"/>
  <c r="H55" i="15" s="1"/>
  <c r="G54" i="15"/>
  <c r="H54" i="15" s="1"/>
  <c r="I54" i="15" s="1"/>
  <c r="G53" i="15"/>
  <c r="H53" i="15" s="1"/>
  <c r="I53" i="15" s="1"/>
  <c r="J53" i="15" s="1"/>
  <c r="G52" i="15"/>
  <c r="H52" i="15" s="1"/>
  <c r="G51" i="15"/>
  <c r="H51" i="15" s="1"/>
  <c r="I51" i="15" s="1"/>
  <c r="J51" i="15" s="1"/>
  <c r="G50" i="15"/>
  <c r="H50" i="15" s="1"/>
  <c r="I50" i="15" s="1"/>
  <c r="J50" i="15" s="1"/>
  <c r="G49" i="15"/>
  <c r="H49" i="15" s="1"/>
  <c r="G48" i="15"/>
  <c r="H48" i="15" s="1"/>
  <c r="I48" i="15" s="1"/>
  <c r="J48" i="15" s="1"/>
  <c r="G47" i="15"/>
  <c r="H47" i="15" s="1"/>
  <c r="G46" i="15"/>
  <c r="H46" i="15" s="1"/>
  <c r="G45" i="15"/>
  <c r="H45" i="15" s="1"/>
  <c r="G44" i="15"/>
  <c r="H44" i="15" s="1"/>
  <c r="G43" i="15"/>
  <c r="H43" i="15" s="1"/>
  <c r="G42" i="15"/>
  <c r="H42" i="15" s="1"/>
  <c r="G41" i="15"/>
  <c r="H41" i="15" s="1"/>
  <c r="G40" i="15"/>
  <c r="H40" i="15" s="1"/>
  <c r="G39" i="15"/>
  <c r="H39" i="15" s="1"/>
  <c r="G38" i="15"/>
  <c r="H38" i="15" s="1"/>
  <c r="G37" i="15"/>
  <c r="H37" i="15" s="1"/>
  <c r="G36" i="15"/>
  <c r="H36" i="15" s="1"/>
  <c r="G35" i="15"/>
  <c r="H35" i="15" s="1"/>
  <c r="G34" i="15"/>
  <c r="H34" i="15" s="1"/>
  <c r="G33" i="15"/>
  <c r="H33" i="15" s="1"/>
  <c r="G32" i="15"/>
  <c r="H32" i="15" s="1"/>
  <c r="G31" i="15"/>
  <c r="H31" i="15" s="1"/>
  <c r="G30" i="15"/>
  <c r="H30" i="15" s="1"/>
  <c r="G29" i="15"/>
  <c r="H29" i="15" s="1"/>
  <c r="G28" i="15"/>
  <c r="H28" i="15" s="1"/>
  <c r="G27" i="15"/>
  <c r="H27" i="15" s="1"/>
  <c r="G26" i="15"/>
  <c r="H26" i="15" s="1"/>
  <c r="G25" i="15"/>
  <c r="H25" i="15" s="1"/>
  <c r="G24" i="15"/>
  <c r="H24" i="15" s="1"/>
  <c r="G23" i="15"/>
  <c r="H23" i="15" s="1"/>
  <c r="G22" i="15"/>
  <c r="H22" i="15" s="1"/>
  <c r="G21" i="15"/>
  <c r="H21" i="15" s="1"/>
  <c r="G20" i="15"/>
  <c r="H20" i="15" s="1"/>
  <c r="G19" i="15"/>
  <c r="H19" i="15" s="1"/>
  <c r="G18" i="15"/>
  <c r="H18" i="15" s="1"/>
  <c r="G17" i="15"/>
  <c r="H17" i="15" s="1"/>
  <c r="G16" i="15"/>
  <c r="H16" i="15" s="1"/>
  <c r="G15" i="15"/>
  <c r="H15" i="15" s="1"/>
  <c r="G14" i="15"/>
  <c r="H14" i="15" s="1"/>
  <c r="G13" i="15"/>
  <c r="H13" i="15" s="1"/>
  <c r="G12" i="15"/>
  <c r="H12" i="15" s="1"/>
  <c r="G11" i="15"/>
  <c r="H11" i="15" s="1"/>
  <c r="G10" i="15"/>
  <c r="H10" i="15" s="1"/>
  <c r="G9" i="15"/>
  <c r="H9" i="15" s="1"/>
  <c r="G8" i="15"/>
  <c r="H8" i="15" s="1"/>
  <c r="G7" i="15"/>
  <c r="H7" i="15" s="1"/>
  <c r="G6" i="15"/>
  <c r="H6" i="15" s="1"/>
  <c r="G5" i="15"/>
  <c r="H5" i="15" s="1"/>
  <c r="G4" i="15"/>
  <c r="H4" i="15" s="1"/>
  <c r="G3" i="15"/>
  <c r="H3" i="15" s="1"/>
  <c r="G2" i="15"/>
  <c r="H2" i="15" s="1"/>
  <c r="W3" i="11"/>
  <c r="V1" i="11"/>
  <c r="G484" i="13"/>
  <c r="H484" i="13" s="1"/>
  <c r="G483" i="13"/>
  <c r="H483" i="13" s="1"/>
  <c r="I57" i="15" l="1"/>
  <c r="J57" i="15" s="1"/>
  <c r="J681" i="15"/>
  <c r="I497" i="15"/>
  <c r="J497" i="15" s="1"/>
  <c r="J187" i="15"/>
  <c r="J168" i="15"/>
  <c r="J338" i="15"/>
  <c r="I612" i="15"/>
  <c r="J612" i="15" s="1"/>
  <c r="I722" i="15"/>
  <c r="J722" i="15" s="1"/>
  <c r="I708" i="15"/>
  <c r="J708" i="15" s="1"/>
  <c r="I724" i="15"/>
  <c r="J724" i="15" s="1"/>
  <c r="I473" i="15"/>
  <c r="J473" i="15" s="1"/>
  <c r="I608" i="15"/>
  <c r="J608" i="15" s="1"/>
  <c r="I623" i="15"/>
  <c r="J623" i="15" s="1"/>
  <c r="I677" i="15"/>
  <c r="J677" i="15" s="1"/>
  <c r="J101" i="15"/>
  <c r="J107" i="15"/>
  <c r="J540" i="15"/>
  <c r="J689" i="15"/>
  <c r="J460" i="15"/>
  <c r="J448" i="15"/>
  <c r="J562" i="15"/>
  <c r="J634" i="15"/>
  <c r="J444" i="15"/>
  <c r="J456" i="15"/>
  <c r="J479" i="15"/>
  <c r="J630" i="15"/>
  <c r="I318" i="15"/>
  <c r="J318" i="15" s="1"/>
  <c r="I353" i="15"/>
  <c r="J353" i="15" s="1"/>
  <c r="I457" i="15"/>
  <c r="J457" i="15" s="1"/>
  <c r="I480" i="15"/>
  <c r="J480" i="15" s="1"/>
  <c r="I174" i="15"/>
  <c r="J174" i="15" s="1"/>
  <c r="I206" i="15"/>
  <c r="J206" i="15" s="1"/>
  <c r="I328" i="15"/>
  <c r="J328" i="15" s="1"/>
  <c r="J477" i="15"/>
  <c r="I602" i="15"/>
  <c r="J602" i="15" s="1"/>
  <c r="I344" i="15"/>
  <c r="J344" i="15" s="1"/>
  <c r="I334" i="15"/>
  <c r="J334" i="15" s="1"/>
  <c r="I132" i="15"/>
  <c r="J132" i="15" s="1"/>
  <c r="I350" i="15"/>
  <c r="J350" i="15" s="1"/>
  <c r="I449" i="15"/>
  <c r="J449" i="15" s="1"/>
  <c r="I142" i="15"/>
  <c r="J142" i="15" s="1"/>
  <c r="I576" i="15"/>
  <c r="J576" i="15" s="1"/>
  <c r="J164" i="15"/>
  <c r="I472" i="15"/>
  <c r="J472" i="15" s="1"/>
  <c r="I485" i="15"/>
  <c r="J485" i="15" s="1"/>
  <c r="J546" i="15"/>
  <c r="I556" i="15"/>
  <c r="J556" i="15" s="1"/>
  <c r="I386" i="15"/>
  <c r="J386" i="15" s="1"/>
  <c r="I390" i="15"/>
  <c r="J390" i="15" s="1"/>
  <c r="I394" i="15"/>
  <c r="J394" i="15" s="1"/>
  <c r="J402" i="15"/>
  <c r="J524" i="15"/>
  <c r="J536" i="15"/>
  <c r="J596" i="15"/>
  <c r="J232" i="15"/>
  <c r="J323" i="15"/>
  <c r="J185" i="15"/>
  <c r="J143" i="15"/>
  <c r="J175" i="15"/>
  <c r="I282" i="15"/>
  <c r="J282" i="15" s="1"/>
  <c r="I379" i="15"/>
  <c r="J379" i="15" s="1"/>
  <c r="J434" i="15"/>
  <c r="I455" i="15"/>
  <c r="J455" i="15" s="1"/>
  <c r="J491" i="15"/>
  <c r="J592" i="15"/>
  <c r="I367" i="15"/>
  <c r="J367" i="15" s="1"/>
  <c r="I418" i="15"/>
  <c r="J418" i="15" s="1"/>
  <c r="J470" i="15"/>
  <c r="I528" i="15"/>
  <c r="J528" i="15" s="1"/>
  <c r="I600" i="15"/>
  <c r="J600" i="15" s="1"/>
  <c r="I495" i="15"/>
  <c r="J495" i="15" s="1"/>
  <c r="J290" i="15"/>
  <c r="I306" i="15"/>
  <c r="J306" i="15" s="1"/>
  <c r="I464" i="15"/>
  <c r="J464" i="15" s="1"/>
  <c r="I469" i="15"/>
  <c r="J469" i="15" s="1"/>
  <c r="I520" i="15"/>
  <c r="J520" i="15" s="1"/>
  <c r="I532" i="15"/>
  <c r="J532" i="15" s="1"/>
  <c r="I552" i="15"/>
  <c r="J552" i="15" s="1"/>
  <c r="I505" i="15"/>
  <c r="J505" i="15" s="1"/>
  <c r="I178" i="15"/>
  <c r="J178" i="15" s="1"/>
  <c r="J205" i="15"/>
  <c r="J453" i="15"/>
  <c r="J499" i="15"/>
  <c r="I146" i="15"/>
  <c r="J146" i="15" s="1"/>
  <c r="I410" i="15"/>
  <c r="J410" i="15" s="1"/>
  <c r="J165" i="15"/>
  <c r="I149" i="15"/>
  <c r="J149" i="15" s="1"/>
  <c r="J322" i="15"/>
  <c r="I375" i="15"/>
  <c r="J375" i="15" s="1"/>
  <c r="J426" i="15"/>
  <c r="J483" i="15"/>
  <c r="I493" i="15"/>
  <c r="J493" i="15" s="1"/>
  <c r="I544" i="15"/>
  <c r="J544" i="15" s="1"/>
  <c r="J568" i="15"/>
  <c r="J224" i="15"/>
  <c r="J572" i="15"/>
  <c r="I10" i="15"/>
  <c r="J10" i="15" s="1"/>
  <c r="I21" i="15"/>
  <c r="J21" i="15" s="1"/>
  <c r="I44" i="15"/>
  <c r="J44" i="15" s="1"/>
  <c r="I70" i="15"/>
  <c r="J70" i="15" s="1"/>
  <c r="I11" i="15"/>
  <c r="J11" i="15" s="1"/>
  <c r="I34" i="15"/>
  <c r="J34" i="15" s="1"/>
  <c r="I214" i="15"/>
  <c r="J214" i="15" s="1"/>
  <c r="I4" i="15"/>
  <c r="J4" i="15" s="1"/>
  <c r="I28" i="15"/>
  <c r="J28" i="15" s="1"/>
  <c r="I40" i="15"/>
  <c r="J40" i="15" s="1"/>
  <c r="I66" i="15"/>
  <c r="J66" i="15" s="1"/>
  <c r="I128" i="15"/>
  <c r="J128" i="15" s="1"/>
  <c r="I5" i="15"/>
  <c r="J5" i="15" s="1"/>
  <c r="I29" i="15"/>
  <c r="J29" i="15" s="1"/>
  <c r="I6" i="15"/>
  <c r="J6" i="15" s="1"/>
  <c r="I22" i="15"/>
  <c r="J22" i="15" s="1"/>
  <c r="I30" i="15"/>
  <c r="J30" i="15" s="1"/>
  <c r="I36" i="15"/>
  <c r="J36" i="15" s="1"/>
  <c r="I74" i="15"/>
  <c r="J74" i="15" s="1"/>
  <c r="I80" i="15"/>
  <c r="J80" i="15" s="1"/>
  <c r="I130" i="15"/>
  <c r="J130" i="15" s="1"/>
  <c r="I200" i="15"/>
  <c r="J200" i="15" s="1"/>
  <c r="I222" i="15"/>
  <c r="J222" i="15" s="1"/>
  <c r="I254" i="15"/>
  <c r="J254" i="15" s="1"/>
  <c r="I304" i="15"/>
  <c r="J304" i="15" s="1"/>
  <c r="I7" i="15"/>
  <c r="J7" i="15" s="1"/>
  <c r="I15" i="15"/>
  <c r="J15" i="15" s="1"/>
  <c r="I23" i="15"/>
  <c r="J23" i="15" s="1"/>
  <c r="I31" i="15"/>
  <c r="J31" i="15" s="1"/>
  <c r="I42" i="15"/>
  <c r="J42" i="15" s="1"/>
  <c r="I158" i="15"/>
  <c r="J158" i="15" s="1"/>
  <c r="I18" i="15"/>
  <c r="J18" i="15" s="1"/>
  <c r="I86" i="15"/>
  <c r="J86" i="15" s="1"/>
  <c r="I27" i="15"/>
  <c r="J27" i="15" s="1"/>
  <c r="I2" i="15"/>
  <c r="J2" i="15" s="1"/>
  <c r="I64" i="15"/>
  <c r="J64" i="15" s="1"/>
  <c r="I3" i="15"/>
  <c r="J3" i="15" s="1"/>
  <c r="I19" i="15"/>
  <c r="J19" i="15" s="1"/>
  <c r="I20" i="15"/>
  <c r="J20" i="15" s="1"/>
  <c r="I78" i="15"/>
  <c r="J78" i="15" s="1"/>
  <c r="I13" i="15"/>
  <c r="J13" i="15" s="1"/>
  <c r="I104" i="15"/>
  <c r="J104" i="15" s="1"/>
  <c r="I325" i="15"/>
  <c r="J325" i="15" s="1"/>
  <c r="I14" i="15"/>
  <c r="J14" i="15" s="1"/>
  <c r="I8" i="15"/>
  <c r="J8" i="15" s="1"/>
  <c r="I16" i="15"/>
  <c r="J16" i="15" s="1"/>
  <c r="I24" i="15"/>
  <c r="J24" i="15" s="1"/>
  <c r="I32" i="15"/>
  <c r="J32" i="15" s="1"/>
  <c r="I62" i="15"/>
  <c r="J62" i="15" s="1"/>
  <c r="I84" i="15"/>
  <c r="J84" i="15" s="1"/>
  <c r="I238" i="15"/>
  <c r="J238" i="15" s="1"/>
  <c r="I9" i="15"/>
  <c r="J9" i="15" s="1"/>
  <c r="I17" i="15"/>
  <c r="J17" i="15" s="1"/>
  <c r="I25" i="15"/>
  <c r="J25" i="15" s="1"/>
  <c r="I38" i="15"/>
  <c r="J38" i="15" s="1"/>
  <c r="I280" i="15"/>
  <c r="J280" i="15" s="1"/>
  <c r="I296" i="15"/>
  <c r="J296" i="15" s="1"/>
  <c r="I246" i="15"/>
  <c r="J246" i="15" s="1"/>
  <c r="I26" i="15"/>
  <c r="J26" i="15" s="1"/>
  <c r="I58" i="15"/>
  <c r="J58" i="15" s="1"/>
  <c r="I12" i="15"/>
  <c r="J12" i="15" s="1"/>
  <c r="I72" i="15"/>
  <c r="J72" i="15" s="1"/>
  <c r="I113" i="15"/>
  <c r="J113" i="15" s="1"/>
  <c r="I47" i="15"/>
  <c r="J47" i="15" s="1"/>
  <c r="J56" i="15"/>
  <c r="I37" i="15"/>
  <c r="J37" i="15" s="1"/>
  <c r="I41" i="15"/>
  <c r="J41" i="15" s="1"/>
  <c r="I45" i="15"/>
  <c r="J45" i="15" s="1"/>
  <c r="J75" i="15"/>
  <c r="J136" i="15"/>
  <c r="I229" i="15"/>
  <c r="J229" i="15" s="1"/>
  <c r="I262" i="15"/>
  <c r="J262" i="15" s="1"/>
  <c r="I287" i="15"/>
  <c r="J287" i="15" s="1"/>
  <c r="J298" i="15"/>
  <c r="I349" i="15"/>
  <c r="J349" i="15" s="1"/>
  <c r="I352" i="15"/>
  <c r="J352" i="15" s="1"/>
  <c r="J94" i="15"/>
  <c r="J100" i="15"/>
  <c r="I59" i="15"/>
  <c r="J59" i="15" s="1"/>
  <c r="I33" i="15"/>
  <c r="J33" i="15" s="1"/>
  <c r="I35" i="15"/>
  <c r="J35" i="15" s="1"/>
  <c r="I39" i="15"/>
  <c r="J39" i="15" s="1"/>
  <c r="I43" i="15"/>
  <c r="J43" i="15" s="1"/>
  <c r="I52" i="15"/>
  <c r="J52" i="15" s="1"/>
  <c r="J54" i="15"/>
  <c r="J67" i="15"/>
  <c r="I95" i="15"/>
  <c r="J95" i="15" s="1"/>
  <c r="I161" i="15"/>
  <c r="J161" i="15" s="1"/>
  <c r="J204" i="15"/>
  <c r="J216" i="15"/>
  <c r="I114" i="15"/>
  <c r="J114" i="15" s="1"/>
  <c r="J133" i="15"/>
  <c r="I140" i="15"/>
  <c r="J140" i="15" s="1"/>
  <c r="J151" i="15"/>
  <c r="I154" i="15"/>
  <c r="J154" i="15" s="1"/>
  <c r="I172" i="15"/>
  <c r="J172" i="15" s="1"/>
  <c r="I183" i="15"/>
  <c r="J183" i="15" s="1"/>
  <c r="J209" i="15"/>
  <c r="I221" i="15"/>
  <c r="J221" i="15" s="1"/>
  <c r="J234" i="15"/>
  <c r="I242" i="15"/>
  <c r="J242" i="15" s="1"/>
  <c r="J251" i="15"/>
  <c r="I295" i="15"/>
  <c r="J295" i="15" s="1"/>
  <c r="I341" i="15"/>
  <c r="J341" i="15" s="1"/>
  <c r="I454" i="15"/>
  <c r="J454" i="15" s="1"/>
  <c r="I213" i="15"/>
  <c r="J213" i="15" s="1"/>
  <c r="I230" i="15"/>
  <c r="J230" i="15" s="1"/>
  <c r="I288" i="15"/>
  <c r="J288" i="15" s="1"/>
  <c r="I303" i="15"/>
  <c r="J303" i="15" s="1"/>
  <c r="I356" i="15"/>
  <c r="J356" i="15" s="1"/>
  <c r="J60" i="15"/>
  <c r="I63" i="15"/>
  <c r="J63" i="15" s="1"/>
  <c r="J76" i="15"/>
  <c r="I79" i="15"/>
  <c r="J79" i="15" s="1"/>
  <c r="I198" i="15"/>
  <c r="J198" i="15" s="1"/>
  <c r="I226" i="15"/>
  <c r="J226" i="15" s="1"/>
  <c r="I243" i="15"/>
  <c r="J243" i="15" s="1"/>
  <c r="I248" i="15"/>
  <c r="J248" i="15" s="1"/>
  <c r="I256" i="15"/>
  <c r="J256" i="15" s="1"/>
  <c r="I259" i="15"/>
  <c r="J259" i="15" s="1"/>
  <c r="I311" i="15"/>
  <c r="J311" i="15" s="1"/>
  <c r="I330" i="15"/>
  <c r="J330" i="15" s="1"/>
  <c r="I46" i="15"/>
  <c r="J46" i="15" s="1"/>
  <c r="I55" i="15"/>
  <c r="J55" i="15" s="1"/>
  <c r="J68" i="15"/>
  <c r="J71" i="15"/>
  <c r="I87" i="15"/>
  <c r="J87" i="15" s="1"/>
  <c r="I96" i="15"/>
  <c r="J96" i="15" s="1"/>
  <c r="I102" i="15"/>
  <c r="J102" i="15" s="1"/>
  <c r="I134" i="15"/>
  <c r="J134" i="15" s="1"/>
  <c r="I144" i="15"/>
  <c r="J144" i="15" s="1"/>
  <c r="J155" i="15"/>
  <c r="I176" i="15"/>
  <c r="J176" i="15" s="1"/>
  <c r="J184" i="15"/>
  <c r="I93" i="15"/>
  <c r="J93" i="15" s="1"/>
  <c r="I103" i="15"/>
  <c r="J103" i="15" s="1"/>
  <c r="J109" i="15"/>
  <c r="I112" i="15"/>
  <c r="J112" i="15" s="1"/>
  <c r="I145" i="15"/>
  <c r="J145" i="15" s="1"/>
  <c r="J148" i="15"/>
  <c r="J152" i="15"/>
  <c r="J156" i="15"/>
  <c r="I166" i="15"/>
  <c r="J166" i="15" s="1"/>
  <c r="I177" i="15"/>
  <c r="J177" i="15" s="1"/>
  <c r="J180" i="15"/>
  <c r="I202" i="15"/>
  <c r="J202" i="15" s="1"/>
  <c r="J210" i="15"/>
  <c r="I218" i="15"/>
  <c r="J218" i="15" s="1"/>
  <c r="J227" i="15"/>
  <c r="I235" i="15"/>
  <c r="J235" i="15" s="1"/>
  <c r="I274" i="15"/>
  <c r="J274" i="15" s="1"/>
  <c r="I277" i="15"/>
  <c r="J277" i="15" s="1"/>
  <c r="J285" i="15"/>
  <c r="J327" i="15"/>
  <c r="I331" i="15"/>
  <c r="J331" i="15" s="1"/>
  <c r="I376" i="15"/>
  <c r="J376" i="15" s="1"/>
  <c r="I384" i="15"/>
  <c r="J384" i="15" s="1"/>
  <c r="I129" i="15"/>
  <c r="J129" i="15" s="1"/>
  <c r="J135" i="15"/>
  <c r="I138" i="15"/>
  <c r="J138" i="15" s="1"/>
  <c r="J167" i="15"/>
  <c r="I170" i="15"/>
  <c r="J170" i="15" s="1"/>
  <c r="I181" i="15"/>
  <c r="J181" i="15" s="1"/>
  <c r="J219" i="15"/>
  <c r="I253" i="15"/>
  <c r="J253" i="15" s="1"/>
  <c r="J293" i="15"/>
  <c r="I312" i="15"/>
  <c r="J312" i="15" s="1"/>
  <c r="I332" i="15"/>
  <c r="J332" i="15" s="1"/>
  <c r="I343" i="15"/>
  <c r="J343" i="15" s="1"/>
  <c r="J347" i="15"/>
  <c r="I207" i="15"/>
  <c r="J207" i="15" s="1"/>
  <c r="I245" i="15"/>
  <c r="J245" i="15" s="1"/>
  <c r="I261" i="15"/>
  <c r="J261" i="15" s="1"/>
  <c r="I339" i="15"/>
  <c r="J339" i="15" s="1"/>
  <c r="I348" i="15"/>
  <c r="J348" i="15" s="1"/>
  <c r="I358" i="15"/>
  <c r="J358" i="15" s="1"/>
  <c r="I381" i="15"/>
  <c r="J381" i="15" s="1"/>
  <c r="I466" i="15"/>
  <c r="J466" i="15" s="1"/>
  <c r="I49" i="15"/>
  <c r="J49" i="15" s="1"/>
  <c r="I88" i="15"/>
  <c r="J88" i="15" s="1"/>
  <c r="J91" i="15"/>
  <c r="J98" i="15"/>
  <c r="J110" i="15"/>
  <c r="J116" i="15"/>
  <c r="J139" i="15"/>
  <c r="J150" i="15"/>
  <c r="I160" i="15"/>
  <c r="J160" i="15" s="1"/>
  <c r="J171" i="15"/>
  <c r="I182" i="15"/>
  <c r="J182" i="15" s="1"/>
  <c r="J208" i="15"/>
  <c r="I237" i="15"/>
  <c r="J237" i="15" s="1"/>
  <c r="J250" i="15"/>
  <c r="I279" i="15"/>
  <c r="J279" i="15" s="1"/>
  <c r="I301" i="15"/>
  <c r="J301" i="15" s="1"/>
  <c r="J309" i="15"/>
  <c r="I333" i="15"/>
  <c r="J333" i="15" s="1"/>
  <c r="I336" i="15"/>
  <c r="J336" i="15" s="1"/>
  <c r="I378" i="15"/>
  <c r="J378" i="15" s="1"/>
  <c r="I389" i="15"/>
  <c r="J389" i="15" s="1"/>
  <c r="I346" i="15"/>
  <c r="J346" i="15" s="1"/>
  <c r="I355" i="15"/>
  <c r="J355" i="15" s="1"/>
  <c r="I366" i="15"/>
  <c r="J366" i="15" s="1"/>
  <c r="I383" i="15"/>
  <c r="J383" i="15" s="1"/>
  <c r="I397" i="15"/>
  <c r="J397" i="15" s="1"/>
  <c r="I405" i="15"/>
  <c r="J405" i="15" s="1"/>
  <c r="I413" i="15"/>
  <c r="J413" i="15" s="1"/>
  <c r="I421" i="15"/>
  <c r="J421" i="15" s="1"/>
  <c r="J217" i="15"/>
  <c r="J225" i="15"/>
  <c r="J233" i="15"/>
  <c r="J241" i="15"/>
  <c r="J249" i="15"/>
  <c r="J257" i="15"/>
  <c r="J275" i="15"/>
  <c r="J283" i="15"/>
  <c r="J291" i="15"/>
  <c r="J299" i="15"/>
  <c r="J307" i="15"/>
  <c r="J315" i="15"/>
  <c r="I360" i="15"/>
  <c r="J360" i="15" s="1"/>
  <c r="I374" i="15"/>
  <c r="J374" i="15" s="1"/>
  <c r="I391" i="15"/>
  <c r="J391" i="15" s="1"/>
  <c r="I443" i="15"/>
  <c r="J443" i="15" s="1"/>
  <c r="J447" i="15"/>
  <c r="I451" i="15"/>
  <c r="J451" i="15" s="1"/>
  <c r="I468" i="15"/>
  <c r="J468" i="15" s="1"/>
  <c r="I361" i="15"/>
  <c r="J361" i="15" s="1"/>
  <c r="I392" i="15"/>
  <c r="J392" i="15" s="1"/>
  <c r="I399" i="15"/>
  <c r="J399" i="15" s="1"/>
  <c r="I407" i="15"/>
  <c r="J407" i="15" s="1"/>
  <c r="I415" i="15"/>
  <c r="J415" i="15" s="1"/>
  <c r="I423" i="15"/>
  <c r="J423" i="15" s="1"/>
  <c r="I431" i="15"/>
  <c r="J431" i="15" s="1"/>
  <c r="I439" i="15"/>
  <c r="J439" i="15" s="1"/>
  <c r="I186" i="15"/>
  <c r="J186" i="15" s="1"/>
  <c r="I203" i="15"/>
  <c r="J203" i="15" s="1"/>
  <c r="I212" i="15"/>
  <c r="J212" i="15" s="1"/>
  <c r="I220" i="15"/>
  <c r="J220" i="15" s="1"/>
  <c r="I228" i="15"/>
  <c r="J228" i="15" s="1"/>
  <c r="I236" i="15"/>
  <c r="J236" i="15" s="1"/>
  <c r="I244" i="15"/>
  <c r="J244" i="15" s="1"/>
  <c r="I252" i="15"/>
  <c r="J252" i="15" s="1"/>
  <c r="J255" i="15"/>
  <c r="I260" i="15"/>
  <c r="J260" i="15" s="1"/>
  <c r="J273" i="15"/>
  <c r="I278" i="15"/>
  <c r="J278" i="15" s="1"/>
  <c r="J281" i="15"/>
  <c r="I286" i="15"/>
  <c r="J286" i="15" s="1"/>
  <c r="J289" i="15"/>
  <c r="I294" i="15"/>
  <c r="J294" i="15" s="1"/>
  <c r="J297" i="15"/>
  <c r="I302" i="15"/>
  <c r="J302" i="15" s="1"/>
  <c r="J305" i="15"/>
  <c r="I310" i="15"/>
  <c r="J310" i="15" s="1"/>
  <c r="J313" i="15"/>
  <c r="I320" i="15"/>
  <c r="J320" i="15" s="1"/>
  <c r="I326" i="15"/>
  <c r="J326" i="15" s="1"/>
  <c r="I342" i="15"/>
  <c r="J342" i="15" s="1"/>
  <c r="I357" i="15"/>
  <c r="J357" i="15" s="1"/>
  <c r="I368" i="15"/>
  <c r="J368" i="15" s="1"/>
  <c r="I385" i="15"/>
  <c r="J385" i="15" s="1"/>
  <c r="I388" i="15"/>
  <c r="J388" i="15" s="1"/>
  <c r="I400" i="15"/>
  <c r="J400" i="15" s="1"/>
  <c r="I408" i="15"/>
  <c r="J408" i="15" s="1"/>
  <c r="I416" i="15"/>
  <c r="J416" i="15" s="1"/>
  <c r="I215" i="15"/>
  <c r="J215" i="15" s="1"/>
  <c r="I223" i="15"/>
  <c r="J223" i="15" s="1"/>
  <c r="I231" i="15"/>
  <c r="J231" i="15" s="1"/>
  <c r="I239" i="15"/>
  <c r="J239" i="15" s="1"/>
  <c r="I247" i="15"/>
  <c r="J247" i="15" s="1"/>
  <c r="J362" i="15"/>
  <c r="J365" i="15"/>
  <c r="I369" i="15"/>
  <c r="J369" i="15" s="1"/>
  <c r="J393" i="15"/>
  <c r="J396" i="15"/>
  <c r="J401" i="15"/>
  <c r="J404" i="15"/>
  <c r="J409" i="15"/>
  <c r="J412" i="15"/>
  <c r="J417" i="15"/>
  <c r="J420" i="15"/>
  <c r="J425" i="15"/>
  <c r="J428" i="15"/>
  <c r="J433" i="15"/>
  <c r="J436" i="15"/>
  <c r="I475" i="15"/>
  <c r="J475" i="15" s="1"/>
  <c r="I482" i="15"/>
  <c r="J482" i="15" s="1"/>
  <c r="I500" i="15"/>
  <c r="J500" i="15" s="1"/>
  <c r="I340" i="15"/>
  <c r="J340" i="15" s="1"/>
  <c r="J373" i="15"/>
  <c r="I377" i="15"/>
  <c r="J377" i="15" s="1"/>
  <c r="I452" i="15"/>
  <c r="J452" i="15" s="1"/>
  <c r="I487" i="15"/>
  <c r="J487" i="15" s="1"/>
  <c r="I502" i="15"/>
  <c r="J502" i="15" s="1"/>
  <c r="I522" i="15"/>
  <c r="J522" i="15" s="1"/>
  <c r="I555" i="15"/>
  <c r="J555" i="15" s="1"/>
  <c r="I652" i="15"/>
  <c r="J652" i="15" s="1"/>
  <c r="I734" i="15"/>
  <c r="J734" i="15" s="1"/>
  <c r="I766" i="15"/>
  <c r="J766" i="15" s="1"/>
  <c r="I771" i="15"/>
  <c r="J771" i="15" s="1"/>
  <c r="I424" i="15"/>
  <c r="J424" i="15" s="1"/>
  <c r="I429" i="15"/>
  <c r="J429" i="15" s="1"/>
  <c r="I432" i="15"/>
  <c r="J432" i="15" s="1"/>
  <c r="I437" i="15"/>
  <c r="J437" i="15" s="1"/>
  <c r="J440" i="15"/>
  <c r="I458" i="15"/>
  <c r="J458" i="15" s="1"/>
  <c r="I498" i="15"/>
  <c r="J498" i="15" s="1"/>
  <c r="I507" i="15"/>
  <c r="J507" i="15" s="1"/>
  <c r="I619" i="15"/>
  <c r="J619" i="15" s="1"/>
  <c r="J364" i="15"/>
  <c r="J372" i="15"/>
  <c r="J380" i="15"/>
  <c r="J387" i="15"/>
  <c r="J395" i="15"/>
  <c r="J403" i="15"/>
  <c r="J411" i="15"/>
  <c r="J419" i="15"/>
  <c r="J427" i="15"/>
  <c r="J435" i="15"/>
  <c r="I462" i="15"/>
  <c r="J462" i="15" s="1"/>
  <c r="J471" i="15"/>
  <c r="I484" i="15"/>
  <c r="J484" i="15" s="1"/>
  <c r="I503" i="15"/>
  <c r="J503" i="15" s="1"/>
  <c r="I549" i="15"/>
  <c r="J549" i="15" s="1"/>
  <c r="I613" i="15"/>
  <c r="J613" i="15" s="1"/>
  <c r="I446" i="15"/>
  <c r="J446" i="15" s="1"/>
  <c r="I459" i="15"/>
  <c r="J459" i="15" s="1"/>
  <c r="I542" i="15"/>
  <c r="J542" i="15" s="1"/>
  <c r="I450" i="15"/>
  <c r="J450" i="15" s="1"/>
  <c r="J465" i="15"/>
  <c r="I538" i="15"/>
  <c r="J538" i="15" s="1"/>
  <c r="I574" i="15"/>
  <c r="J574" i="15" s="1"/>
  <c r="I589" i="15"/>
  <c r="J589" i="15" s="1"/>
  <c r="I534" i="15"/>
  <c r="J534" i="15" s="1"/>
  <c r="I571" i="15"/>
  <c r="J571" i="15" s="1"/>
  <c r="I476" i="15"/>
  <c r="J476" i="15" s="1"/>
  <c r="I486" i="15"/>
  <c r="J486" i="15" s="1"/>
  <c r="I490" i="15"/>
  <c r="J490" i="15" s="1"/>
  <c r="I530" i="15"/>
  <c r="J530" i="15" s="1"/>
  <c r="I442" i="15"/>
  <c r="J442" i="15" s="1"/>
  <c r="J461" i="15"/>
  <c r="J467" i="15"/>
  <c r="I526" i="15"/>
  <c r="J526" i="15" s="1"/>
  <c r="I558" i="15"/>
  <c r="J558" i="15" s="1"/>
  <c r="I565" i="15"/>
  <c r="J565" i="15" s="1"/>
  <c r="I617" i="15"/>
  <c r="J617" i="15" s="1"/>
  <c r="I620" i="15"/>
  <c r="J620" i="15" s="1"/>
  <c r="I653" i="15"/>
  <c r="J653" i="15" s="1"/>
  <c r="I662" i="15"/>
  <c r="J662" i="15" s="1"/>
  <c r="I494" i="15"/>
  <c r="J494" i="15" s="1"/>
  <c r="I504" i="15"/>
  <c r="J504" i="15" s="1"/>
  <c r="I508" i="15"/>
  <c r="J508" i="15" s="1"/>
  <c r="I523" i="15"/>
  <c r="J523" i="15" s="1"/>
  <c r="J527" i="15"/>
  <c r="I531" i="15"/>
  <c r="J531" i="15" s="1"/>
  <c r="I535" i="15"/>
  <c r="J535" i="15" s="1"/>
  <c r="I539" i="15"/>
  <c r="J539" i="15" s="1"/>
  <c r="I543" i="15"/>
  <c r="J543" i="15" s="1"/>
  <c r="I607" i="15"/>
  <c r="J607" i="15" s="1"/>
  <c r="I614" i="15"/>
  <c r="J614" i="15" s="1"/>
  <c r="I632" i="15"/>
  <c r="J632" i="15" s="1"/>
  <c r="J659" i="15"/>
  <c r="I668" i="15"/>
  <c r="J668" i="15" s="1"/>
  <c r="I673" i="15"/>
  <c r="J673" i="15" s="1"/>
  <c r="I754" i="15"/>
  <c r="J754" i="15" s="1"/>
  <c r="I758" i="15"/>
  <c r="J758" i="15" s="1"/>
  <c r="I814" i="15"/>
  <c r="J814" i="15" s="1"/>
  <c r="I488" i="15"/>
  <c r="J488" i="15" s="1"/>
  <c r="I611" i="15"/>
  <c r="J611" i="15" s="1"/>
  <c r="I654" i="15"/>
  <c r="J654" i="15" s="1"/>
  <c r="I718" i="15"/>
  <c r="J718" i="15" s="1"/>
  <c r="I782" i="15"/>
  <c r="J782" i="15" s="1"/>
  <c r="I809" i="15"/>
  <c r="J809" i="15" s="1"/>
  <c r="J478" i="15"/>
  <c r="J501" i="15"/>
  <c r="I553" i="15"/>
  <c r="J553" i="15" s="1"/>
  <c r="I569" i="15"/>
  <c r="J569" i="15" s="1"/>
  <c r="I593" i="15"/>
  <c r="J593" i="15" s="1"/>
  <c r="I597" i="15"/>
  <c r="J597" i="15" s="1"/>
  <c r="I604" i="15"/>
  <c r="J604" i="15" s="1"/>
  <c r="I624" i="15"/>
  <c r="J624" i="15" s="1"/>
  <c r="I628" i="15"/>
  <c r="J628" i="15" s="1"/>
  <c r="I648" i="15"/>
  <c r="J648" i="15" s="1"/>
  <c r="I655" i="15"/>
  <c r="J655" i="15" s="1"/>
  <c r="I664" i="15"/>
  <c r="J664" i="15" s="1"/>
  <c r="I678" i="15"/>
  <c r="J678" i="15" s="1"/>
  <c r="I727" i="15"/>
  <c r="J727" i="15" s="1"/>
  <c r="I745" i="15"/>
  <c r="J745" i="15" s="1"/>
  <c r="I750" i="15"/>
  <c r="J750" i="15" s="1"/>
  <c r="I492" i="15"/>
  <c r="J492" i="15" s="1"/>
  <c r="I601" i="15"/>
  <c r="J601" i="15" s="1"/>
  <c r="I605" i="15"/>
  <c r="J605" i="15" s="1"/>
  <c r="J665" i="15"/>
  <c r="I670" i="15"/>
  <c r="J670" i="15" s="1"/>
  <c r="I704" i="15"/>
  <c r="J704" i="15" s="1"/>
  <c r="I774" i="15"/>
  <c r="J774" i="15" s="1"/>
  <c r="I788" i="15"/>
  <c r="J788" i="15" s="1"/>
  <c r="J474" i="15"/>
  <c r="J489" i="15"/>
  <c r="I506" i="15"/>
  <c r="J506" i="15" s="1"/>
  <c r="I521" i="15"/>
  <c r="J521" i="15" s="1"/>
  <c r="I525" i="15"/>
  <c r="J525" i="15" s="1"/>
  <c r="I529" i="15"/>
  <c r="J529" i="15" s="1"/>
  <c r="I533" i="15"/>
  <c r="J533" i="15" s="1"/>
  <c r="I537" i="15"/>
  <c r="J537" i="15" s="1"/>
  <c r="I541" i="15"/>
  <c r="J541" i="15" s="1"/>
  <c r="J548" i="15"/>
  <c r="I551" i="15"/>
  <c r="J551" i="15" s="1"/>
  <c r="I557" i="15"/>
  <c r="J557" i="15" s="1"/>
  <c r="J564" i="15"/>
  <c r="I567" i="15"/>
  <c r="J567" i="15" s="1"/>
  <c r="I573" i="15"/>
  <c r="J573" i="15" s="1"/>
  <c r="J588" i="15"/>
  <c r="I591" i="15"/>
  <c r="J591" i="15" s="1"/>
  <c r="I598" i="15"/>
  <c r="J598" i="15" s="1"/>
  <c r="I622" i="15"/>
  <c r="J622" i="15" s="1"/>
  <c r="I629" i="15"/>
  <c r="J629" i="15" s="1"/>
  <c r="I650" i="15"/>
  <c r="J650" i="15" s="1"/>
  <c r="I671" i="15"/>
  <c r="J671" i="15" s="1"/>
  <c r="I775" i="15"/>
  <c r="J775" i="15" s="1"/>
  <c r="I496" i="15"/>
  <c r="J496" i="15" s="1"/>
  <c r="I561" i="15"/>
  <c r="J561" i="15" s="1"/>
  <c r="I595" i="15"/>
  <c r="J595" i="15" s="1"/>
  <c r="J609" i="15"/>
  <c r="J616" i="15"/>
  <c r="I626" i="15"/>
  <c r="J626" i="15" s="1"/>
  <c r="I651" i="15"/>
  <c r="J651" i="15" s="1"/>
  <c r="I657" i="15"/>
  <c r="J657" i="15" s="1"/>
  <c r="I711" i="15"/>
  <c r="J711" i="15" s="1"/>
  <c r="I798" i="15"/>
  <c r="J798" i="15" s="1"/>
  <c r="I721" i="15"/>
  <c r="J721" i="15" s="1"/>
  <c r="I737" i="15"/>
  <c r="J737" i="15" s="1"/>
  <c r="I746" i="15"/>
  <c r="J746" i="15" s="1"/>
  <c r="I767" i="15"/>
  <c r="J767" i="15" s="1"/>
  <c r="I780" i="15"/>
  <c r="J780" i="15" s="1"/>
  <c r="I801" i="15"/>
  <c r="J801" i="15" s="1"/>
  <c r="I810" i="15"/>
  <c r="J810" i="15" s="1"/>
  <c r="I631" i="15"/>
  <c r="J631" i="15" s="1"/>
  <c r="I656" i="15"/>
  <c r="J656" i="15" s="1"/>
  <c r="J667" i="15"/>
  <c r="I676" i="15"/>
  <c r="J676" i="15" s="1"/>
  <c r="I682" i="15"/>
  <c r="J682" i="15" s="1"/>
  <c r="I686" i="15"/>
  <c r="J686" i="15" s="1"/>
  <c r="I705" i="15"/>
  <c r="J705" i="15" s="1"/>
  <c r="I713" i="15"/>
  <c r="J713" i="15" s="1"/>
  <c r="J729" i="15"/>
  <c r="I738" i="15"/>
  <c r="J738" i="15" s="1"/>
  <c r="J755" i="15"/>
  <c r="I759" i="15"/>
  <c r="J759" i="15" s="1"/>
  <c r="I763" i="15"/>
  <c r="J763" i="15" s="1"/>
  <c r="I772" i="15"/>
  <c r="J772" i="15" s="1"/>
  <c r="I793" i="15"/>
  <c r="J793" i="15" s="1"/>
  <c r="I802" i="15"/>
  <c r="J802" i="15" s="1"/>
  <c r="I815" i="15"/>
  <c r="J815" i="15" s="1"/>
  <c r="I683" i="15"/>
  <c r="J683" i="15" s="1"/>
  <c r="I709" i="15"/>
  <c r="J709" i="15" s="1"/>
  <c r="I714" i="15"/>
  <c r="J714" i="15" s="1"/>
  <c r="I725" i="15"/>
  <c r="J725" i="15" s="1"/>
  <c r="I730" i="15"/>
  <c r="J730" i="15" s="1"/>
  <c r="I742" i="15"/>
  <c r="J742" i="15" s="1"/>
  <c r="J751" i="15"/>
  <c r="I764" i="15"/>
  <c r="J764" i="15" s="1"/>
  <c r="I785" i="15"/>
  <c r="J785" i="15" s="1"/>
  <c r="I794" i="15"/>
  <c r="J794" i="15" s="1"/>
  <c r="I806" i="15"/>
  <c r="J806" i="15" s="1"/>
  <c r="I687" i="15"/>
  <c r="J687" i="15" s="1"/>
  <c r="I706" i="15"/>
  <c r="J706" i="15" s="1"/>
  <c r="I710" i="15"/>
  <c r="J710" i="15" s="1"/>
  <c r="I726" i="15"/>
  <c r="J726" i="15" s="1"/>
  <c r="J739" i="15"/>
  <c r="I743" i="15"/>
  <c r="J743" i="15" s="1"/>
  <c r="I747" i="15"/>
  <c r="J747" i="15" s="1"/>
  <c r="I756" i="15"/>
  <c r="J756" i="15" s="1"/>
  <c r="I777" i="15"/>
  <c r="J777" i="15" s="1"/>
  <c r="I786" i="15"/>
  <c r="J786" i="15" s="1"/>
  <c r="J803" i="15"/>
  <c r="I807" i="15"/>
  <c r="J807" i="15" s="1"/>
  <c r="I811" i="15"/>
  <c r="J811" i="15" s="1"/>
  <c r="I816" i="15"/>
  <c r="J816" i="15" s="1"/>
  <c r="I635" i="15"/>
  <c r="J635" i="15" s="1"/>
  <c r="I660" i="15"/>
  <c r="J660" i="15" s="1"/>
  <c r="I674" i="15"/>
  <c r="J674" i="15" s="1"/>
  <c r="I684" i="15"/>
  <c r="J684" i="15" s="1"/>
  <c r="I691" i="15"/>
  <c r="J691" i="15" s="1"/>
  <c r="I719" i="15"/>
  <c r="J719" i="15" s="1"/>
  <c r="I735" i="15"/>
  <c r="J735" i="15" s="1"/>
  <c r="I748" i="15"/>
  <c r="J748" i="15" s="1"/>
  <c r="I769" i="15"/>
  <c r="J769" i="15" s="1"/>
  <c r="I778" i="15"/>
  <c r="J778" i="15" s="1"/>
  <c r="I790" i="15"/>
  <c r="J790" i="15" s="1"/>
  <c r="I799" i="15"/>
  <c r="J799" i="15" s="1"/>
  <c r="I812" i="15"/>
  <c r="J812" i="15" s="1"/>
  <c r="I817" i="15"/>
  <c r="J817" i="15" s="1"/>
  <c r="I545" i="15"/>
  <c r="J545" i="15" s="1"/>
  <c r="I547" i="15"/>
  <c r="J547" i="15" s="1"/>
  <c r="I554" i="15"/>
  <c r="J554" i="15" s="1"/>
  <c r="J563" i="15"/>
  <c r="I570" i="15"/>
  <c r="J570" i="15" s="1"/>
  <c r="I594" i="15"/>
  <c r="J594" i="15" s="1"/>
  <c r="I603" i="15"/>
  <c r="J603" i="15" s="1"/>
  <c r="I610" i="15"/>
  <c r="J610" i="15" s="1"/>
  <c r="I680" i="15"/>
  <c r="J680" i="15" s="1"/>
  <c r="I688" i="15"/>
  <c r="J688" i="15" s="1"/>
  <c r="I703" i="15"/>
  <c r="J703" i="15" s="1"/>
  <c r="I707" i="15"/>
  <c r="J707" i="15" s="1"/>
  <c r="I723" i="15"/>
  <c r="J723" i="15" s="1"/>
  <c r="I740" i="15"/>
  <c r="J740" i="15" s="1"/>
  <c r="I761" i="15"/>
  <c r="J761" i="15" s="1"/>
  <c r="I770" i="15"/>
  <c r="J770" i="15" s="1"/>
  <c r="J787" i="15"/>
  <c r="I791" i="15"/>
  <c r="J791" i="15" s="1"/>
  <c r="I795" i="15"/>
  <c r="J795" i="15" s="1"/>
  <c r="I804" i="15"/>
  <c r="J804" i="15" s="1"/>
  <c r="I818" i="15"/>
  <c r="J818" i="15" s="1"/>
  <c r="J559" i="15"/>
  <c r="J575" i="15"/>
  <c r="J599" i="15"/>
  <c r="J615" i="15"/>
  <c r="I633" i="15"/>
  <c r="J633" i="15" s="1"/>
  <c r="J658" i="15"/>
  <c r="J666" i="15"/>
  <c r="I669" i="15"/>
  <c r="J669" i="15" s="1"/>
  <c r="J672" i="15"/>
  <c r="I685" i="15"/>
  <c r="J685" i="15" s="1"/>
  <c r="I712" i="15"/>
  <c r="J712" i="15" s="1"/>
  <c r="I716" i="15"/>
  <c r="J716" i="15" s="1"/>
  <c r="J720" i="15"/>
  <c r="I728" i="15"/>
  <c r="J728" i="15" s="1"/>
  <c r="I732" i="15"/>
  <c r="J732" i="15" s="1"/>
  <c r="I753" i="15"/>
  <c r="J753" i="15" s="1"/>
  <c r="I762" i="15"/>
  <c r="J762" i="15" s="1"/>
  <c r="J779" i="15"/>
  <c r="I783" i="15"/>
  <c r="J783" i="15" s="1"/>
  <c r="I796" i="15"/>
  <c r="J796" i="15" s="1"/>
  <c r="J690" i="15"/>
  <c r="J717" i="15"/>
  <c r="J733" i="15"/>
  <c r="J741" i="15"/>
  <c r="J749" i="15"/>
  <c r="J757" i="15"/>
  <c r="J765" i="15"/>
  <c r="J773" i="15"/>
  <c r="J781" i="15"/>
  <c r="J789" i="15"/>
  <c r="J797" i="15"/>
  <c r="J805" i="15"/>
  <c r="J715" i="15"/>
  <c r="J731" i="15"/>
  <c r="J736" i="15"/>
  <c r="J744" i="15"/>
  <c r="J752" i="15"/>
  <c r="J760" i="15"/>
  <c r="J768" i="15"/>
  <c r="J776" i="15"/>
  <c r="J784" i="15"/>
  <c r="J792" i="15"/>
  <c r="J800" i="15"/>
  <c r="J808" i="15"/>
  <c r="I813" i="15"/>
  <c r="J813" i="15" s="1"/>
  <c r="I819" i="15"/>
  <c r="J819" i="15" s="1"/>
  <c r="I483" i="13"/>
  <c r="J483" i="13" s="1"/>
  <c r="I484" i="13"/>
  <c r="J484" i="13" s="1"/>
  <c r="E44" i="12"/>
  <c r="L1" i="15" l="1"/>
  <c r="F44" i="12"/>
  <c r="G44" i="12" s="1"/>
  <c r="E92" i="12"/>
  <c r="F92" i="12" s="1"/>
  <c r="E9" i="12"/>
  <c r="F9" i="12" l="1"/>
  <c r="G9" i="12" s="1"/>
  <c r="G92" i="12"/>
  <c r="G118" i="14"/>
  <c r="E41" i="12"/>
  <c r="F41" i="12" s="1"/>
  <c r="G41" i="12" s="1"/>
  <c r="E4" i="12"/>
  <c r="F4" i="12" l="1"/>
  <c r="G4" i="12" s="1"/>
  <c r="E5" i="12"/>
  <c r="F5" i="12" s="1"/>
  <c r="E40" i="12"/>
  <c r="E45" i="12"/>
  <c r="F45" i="12" s="1"/>
  <c r="G45" i="12" s="1"/>
  <c r="F10" i="11"/>
  <c r="H52" i="14"/>
  <c r="J52" i="14" s="1"/>
  <c r="G53" i="14"/>
  <c r="H53" i="14" s="1"/>
  <c r="J53" i="14" s="1"/>
  <c r="G54" i="14"/>
  <c r="H54" i="14" s="1"/>
  <c r="J54" i="14" s="1"/>
  <c r="G55" i="14"/>
  <c r="H55" i="14" s="1"/>
  <c r="J55" i="14" s="1"/>
  <c r="G56" i="14"/>
  <c r="H56" i="14" s="1"/>
  <c r="G57" i="14"/>
  <c r="H57" i="14" s="1"/>
  <c r="J57" i="14" s="1"/>
  <c r="H58" i="14"/>
  <c r="J58" i="14" s="1"/>
  <c r="G43" i="14"/>
  <c r="H43" i="14" s="1"/>
  <c r="J43" i="14" s="1"/>
  <c r="E91" i="12"/>
  <c r="F91" i="12" s="1"/>
  <c r="E90" i="12"/>
  <c r="F90" i="12" s="1"/>
  <c r="G90" i="12" s="1"/>
  <c r="E89" i="12"/>
  <c r="F89" i="12" s="1"/>
  <c r="E80" i="12"/>
  <c r="F80" i="12" s="1"/>
  <c r="G80" i="12" s="1"/>
  <c r="E79" i="12"/>
  <c r="F79" i="12" s="1"/>
  <c r="G79" i="12" s="1"/>
  <c r="E78" i="12"/>
  <c r="F78" i="12" s="1"/>
  <c r="G78" i="12" s="1"/>
  <c r="E77" i="12"/>
  <c r="F77" i="12" s="1"/>
  <c r="G77" i="12" s="1"/>
  <c r="G56" i="13"/>
  <c r="H56" i="13" s="1"/>
  <c r="I56" i="13" s="1"/>
  <c r="J56" i="13" s="1"/>
  <c r="G704" i="14"/>
  <c r="H704" i="14" s="1"/>
  <c r="G703" i="14"/>
  <c r="H703" i="14" s="1"/>
  <c r="G702" i="14"/>
  <c r="H702" i="14" s="1"/>
  <c r="G701" i="14"/>
  <c r="H701" i="14" s="1"/>
  <c r="G700" i="14"/>
  <c r="H700" i="14" s="1"/>
  <c r="G699" i="14"/>
  <c r="H699" i="14" s="1"/>
  <c r="I699" i="14" s="1"/>
  <c r="G698" i="14"/>
  <c r="H698" i="14" s="1"/>
  <c r="G697" i="14"/>
  <c r="H697" i="14" s="1"/>
  <c r="I697" i="14" s="1"/>
  <c r="J697" i="14" s="1"/>
  <c r="G696" i="14"/>
  <c r="H696" i="14" s="1"/>
  <c r="G695" i="14"/>
  <c r="H695" i="14" s="1"/>
  <c r="I695" i="14" s="1"/>
  <c r="J695" i="14" s="1"/>
  <c r="G694" i="14"/>
  <c r="H694" i="14" s="1"/>
  <c r="G693" i="14"/>
  <c r="H693" i="14" s="1"/>
  <c r="I693" i="14" s="1"/>
  <c r="J693" i="14" s="1"/>
  <c r="G692" i="14"/>
  <c r="H692" i="14" s="1"/>
  <c r="G691" i="14"/>
  <c r="H691" i="14" s="1"/>
  <c r="I691" i="14" s="1"/>
  <c r="G690" i="14"/>
  <c r="H690" i="14" s="1"/>
  <c r="I690" i="14" s="1"/>
  <c r="G689" i="14"/>
  <c r="H689" i="14" s="1"/>
  <c r="I689" i="14" s="1"/>
  <c r="J689" i="14" s="1"/>
  <c r="G688" i="14"/>
  <c r="H688" i="14" s="1"/>
  <c r="I688" i="14" s="1"/>
  <c r="G687" i="14"/>
  <c r="H687" i="14" s="1"/>
  <c r="I687" i="14" s="1"/>
  <c r="J687" i="14" s="1"/>
  <c r="G686" i="14"/>
  <c r="H686" i="14" s="1"/>
  <c r="G685" i="14"/>
  <c r="H685" i="14" s="1"/>
  <c r="I685" i="14" s="1"/>
  <c r="J685" i="14" s="1"/>
  <c r="G684" i="14"/>
  <c r="H684" i="14" s="1"/>
  <c r="G683" i="14"/>
  <c r="H683" i="14" s="1"/>
  <c r="I683" i="14" s="1"/>
  <c r="G682" i="14"/>
  <c r="H682" i="14" s="1"/>
  <c r="G681" i="14"/>
  <c r="H681" i="14" s="1"/>
  <c r="I681" i="14" s="1"/>
  <c r="J681" i="14" s="1"/>
  <c r="G680" i="14"/>
  <c r="H680" i="14" s="1"/>
  <c r="G679" i="14"/>
  <c r="H679" i="14" s="1"/>
  <c r="I679" i="14" s="1"/>
  <c r="J679" i="14" s="1"/>
  <c r="G678" i="14"/>
  <c r="H678" i="14" s="1"/>
  <c r="G677" i="14"/>
  <c r="H677" i="14" s="1"/>
  <c r="I677" i="14" s="1"/>
  <c r="J677" i="14" s="1"/>
  <c r="G676" i="14"/>
  <c r="H676" i="14" s="1"/>
  <c r="G675" i="14"/>
  <c r="H675" i="14" s="1"/>
  <c r="I675" i="14" s="1"/>
  <c r="G674" i="14"/>
  <c r="H674" i="14" s="1"/>
  <c r="G673" i="14"/>
  <c r="H673" i="14" s="1"/>
  <c r="I673" i="14" s="1"/>
  <c r="J673" i="14" s="1"/>
  <c r="G672" i="14"/>
  <c r="H672" i="14" s="1"/>
  <c r="I672" i="14" s="1"/>
  <c r="J672" i="14" s="1"/>
  <c r="G671" i="14"/>
  <c r="H671" i="14" s="1"/>
  <c r="G670" i="14"/>
  <c r="H670" i="14" s="1"/>
  <c r="G669" i="14"/>
  <c r="H669" i="14" s="1"/>
  <c r="I669" i="14" s="1"/>
  <c r="J669" i="14" s="1"/>
  <c r="G668" i="14"/>
  <c r="H668" i="14" s="1"/>
  <c r="G667" i="14"/>
  <c r="H667" i="14" s="1"/>
  <c r="I667" i="14" s="1"/>
  <c r="G666" i="14"/>
  <c r="H666" i="14" s="1"/>
  <c r="G665" i="14"/>
  <c r="H665" i="14" s="1"/>
  <c r="I665" i="14" s="1"/>
  <c r="J665" i="14" s="1"/>
  <c r="G664" i="14"/>
  <c r="H664" i="14" s="1"/>
  <c r="I664" i="14" s="1"/>
  <c r="J664" i="14" s="1"/>
  <c r="G663" i="14"/>
  <c r="H663" i="14" s="1"/>
  <c r="I663" i="14" s="1"/>
  <c r="G662" i="14"/>
  <c r="H662" i="14" s="1"/>
  <c r="G661" i="14"/>
  <c r="H661" i="14" s="1"/>
  <c r="I661" i="14" s="1"/>
  <c r="J661" i="14" s="1"/>
  <c r="G660" i="14"/>
  <c r="H660" i="14" s="1"/>
  <c r="G659" i="14"/>
  <c r="H659" i="14" s="1"/>
  <c r="I659" i="14" s="1"/>
  <c r="G658" i="14"/>
  <c r="H658" i="14" s="1"/>
  <c r="G657" i="14"/>
  <c r="H657" i="14" s="1"/>
  <c r="I657" i="14" s="1"/>
  <c r="J657" i="14" s="1"/>
  <c r="G656" i="14"/>
  <c r="H656" i="14" s="1"/>
  <c r="I656" i="14" s="1"/>
  <c r="J656" i="14" s="1"/>
  <c r="G655" i="14"/>
  <c r="H655" i="14" s="1"/>
  <c r="G654" i="14"/>
  <c r="H654" i="14" s="1"/>
  <c r="G653" i="14"/>
  <c r="H653" i="14" s="1"/>
  <c r="I653" i="14" s="1"/>
  <c r="J653" i="14" s="1"/>
  <c r="G652" i="14"/>
  <c r="H652" i="14" s="1"/>
  <c r="G651" i="14"/>
  <c r="H651" i="14" s="1"/>
  <c r="I651" i="14" s="1"/>
  <c r="G650" i="14"/>
  <c r="H650" i="14" s="1"/>
  <c r="G649" i="14"/>
  <c r="H649" i="14" s="1"/>
  <c r="I649" i="14" s="1"/>
  <c r="J649" i="14" s="1"/>
  <c r="G648" i="14"/>
  <c r="H648" i="14" s="1"/>
  <c r="I648" i="14" s="1"/>
  <c r="J648" i="14" s="1"/>
  <c r="G647" i="14"/>
  <c r="H647" i="14" s="1"/>
  <c r="I647" i="14" s="1"/>
  <c r="G646" i="14"/>
  <c r="H646" i="14" s="1"/>
  <c r="G645" i="14"/>
  <c r="H645" i="14" s="1"/>
  <c r="I645" i="14" s="1"/>
  <c r="J645" i="14" s="1"/>
  <c r="G644" i="14"/>
  <c r="H644" i="14" s="1"/>
  <c r="G643" i="14"/>
  <c r="H643" i="14" s="1"/>
  <c r="I643" i="14" s="1"/>
  <c r="G642" i="14"/>
  <c r="H642" i="14" s="1"/>
  <c r="I642" i="14" s="1"/>
  <c r="G641" i="14"/>
  <c r="H641" i="14" s="1"/>
  <c r="I641" i="14" s="1"/>
  <c r="J641" i="14" s="1"/>
  <c r="G640" i="14"/>
  <c r="H640" i="14" s="1"/>
  <c r="I640" i="14" s="1"/>
  <c r="J640" i="14" s="1"/>
  <c r="G639" i="14"/>
  <c r="H639" i="14" s="1"/>
  <c r="G638" i="14"/>
  <c r="H638" i="14" s="1"/>
  <c r="G637" i="14"/>
  <c r="H637" i="14" s="1"/>
  <c r="I637" i="14" s="1"/>
  <c r="J637" i="14" s="1"/>
  <c r="G636" i="14"/>
  <c r="H636" i="14" s="1"/>
  <c r="G635" i="14"/>
  <c r="H635" i="14" s="1"/>
  <c r="I635" i="14" s="1"/>
  <c r="G634" i="14"/>
  <c r="H634" i="14" s="1"/>
  <c r="G633" i="14"/>
  <c r="H633" i="14" s="1"/>
  <c r="I633" i="14" s="1"/>
  <c r="J633" i="14" s="1"/>
  <c r="G632" i="14"/>
  <c r="H632" i="14" s="1"/>
  <c r="I632" i="14" s="1"/>
  <c r="J632" i="14" s="1"/>
  <c r="G631" i="14"/>
  <c r="H631" i="14" s="1"/>
  <c r="G630" i="14"/>
  <c r="H630" i="14" s="1"/>
  <c r="G629" i="14"/>
  <c r="H629" i="14" s="1"/>
  <c r="I629" i="14" s="1"/>
  <c r="J629" i="14" s="1"/>
  <c r="G628" i="14"/>
  <c r="H628" i="14" s="1"/>
  <c r="G627" i="14"/>
  <c r="H627" i="14" s="1"/>
  <c r="I627" i="14" s="1"/>
  <c r="G626" i="14"/>
  <c r="H626" i="14" s="1"/>
  <c r="I626" i="14" s="1"/>
  <c r="G625" i="14"/>
  <c r="H625" i="14" s="1"/>
  <c r="I625" i="14" s="1"/>
  <c r="J625" i="14" s="1"/>
  <c r="G624" i="14"/>
  <c r="H624" i="14" s="1"/>
  <c r="I624" i="14" s="1"/>
  <c r="J624" i="14" s="1"/>
  <c r="G623" i="14"/>
  <c r="H623" i="14" s="1"/>
  <c r="I623" i="14" s="1"/>
  <c r="J623" i="14" s="1"/>
  <c r="G622" i="14"/>
  <c r="H622" i="14" s="1"/>
  <c r="G621" i="14"/>
  <c r="H621" i="14" s="1"/>
  <c r="I621" i="14" s="1"/>
  <c r="J621" i="14" s="1"/>
  <c r="G620" i="14"/>
  <c r="H620" i="14" s="1"/>
  <c r="G619" i="14"/>
  <c r="H619" i="14" s="1"/>
  <c r="I619" i="14" s="1"/>
  <c r="G618" i="14"/>
  <c r="H618" i="14" s="1"/>
  <c r="G617" i="14"/>
  <c r="H617" i="14" s="1"/>
  <c r="I617" i="14" s="1"/>
  <c r="J617" i="14" s="1"/>
  <c r="G616" i="14"/>
  <c r="H616" i="14" s="1"/>
  <c r="I616" i="14" s="1"/>
  <c r="J616" i="14" s="1"/>
  <c r="G615" i="14"/>
  <c r="H615" i="14" s="1"/>
  <c r="I615" i="14" s="1"/>
  <c r="J615" i="14" s="1"/>
  <c r="G614" i="14"/>
  <c r="H614" i="14" s="1"/>
  <c r="I614" i="14" s="1"/>
  <c r="J614" i="14" s="1"/>
  <c r="G613" i="14"/>
  <c r="H613" i="14" s="1"/>
  <c r="I613" i="14" s="1"/>
  <c r="J613" i="14" s="1"/>
  <c r="G612" i="14"/>
  <c r="H612" i="14" s="1"/>
  <c r="G611" i="14"/>
  <c r="H611" i="14" s="1"/>
  <c r="I611" i="14" s="1"/>
  <c r="G610" i="14"/>
  <c r="H610" i="14" s="1"/>
  <c r="G609" i="14"/>
  <c r="H609" i="14" s="1"/>
  <c r="I609" i="14" s="1"/>
  <c r="J609" i="14" s="1"/>
  <c r="G608" i="14"/>
  <c r="H608" i="14" s="1"/>
  <c r="I608" i="14" s="1"/>
  <c r="J608" i="14" s="1"/>
  <c r="G607" i="14"/>
  <c r="H607" i="14" s="1"/>
  <c r="G606" i="14"/>
  <c r="H606" i="14" s="1"/>
  <c r="I606" i="14" s="1"/>
  <c r="J606" i="14" s="1"/>
  <c r="G605" i="14"/>
  <c r="H605" i="14" s="1"/>
  <c r="I605" i="14" s="1"/>
  <c r="J605" i="14" s="1"/>
  <c r="G604" i="14"/>
  <c r="H604" i="14" s="1"/>
  <c r="G603" i="14"/>
  <c r="H603" i="14" s="1"/>
  <c r="I603" i="14" s="1"/>
  <c r="G602" i="14"/>
  <c r="H602" i="14" s="1"/>
  <c r="G601" i="14"/>
  <c r="H601" i="14" s="1"/>
  <c r="I601" i="14" s="1"/>
  <c r="J601" i="14" s="1"/>
  <c r="G600" i="14"/>
  <c r="H600" i="14" s="1"/>
  <c r="I600" i="14" s="1"/>
  <c r="J600" i="14" s="1"/>
  <c r="G599" i="14"/>
  <c r="H599" i="14" s="1"/>
  <c r="G598" i="14"/>
  <c r="H598" i="14" s="1"/>
  <c r="I598" i="14" s="1"/>
  <c r="J598" i="14" s="1"/>
  <c r="G597" i="14"/>
  <c r="H597" i="14" s="1"/>
  <c r="I597" i="14" s="1"/>
  <c r="J597" i="14" s="1"/>
  <c r="G596" i="14"/>
  <c r="H596" i="14" s="1"/>
  <c r="G595" i="14"/>
  <c r="H595" i="14" s="1"/>
  <c r="I595" i="14" s="1"/>
  <c r="G594" i="14"/>
  <c r="H594" i="14" s="1"/>
  <c r="I594" i="14" s="1"/>
  <c r="G593" i="14"/>
  <c r="H593" i="14" s="1"/>
  <c r="I593" i="14" s="1"/>
  <c r="J593" i="14" s="1"/>
  <c r="G592" i="14"/>
  <c r="H592" i="14" s="1"/>
  <c r="I592" i="14" s="1"/>
  <c r="J592" i="14" s="1"/>
  <c r="G591" i="14"/>
  <c r="H591" i="14" s="1"/>
  <c r="G590" i="14"/>
  <c r="H590" i="14" s="1"/>
  <c r="I590" i="14" s="1"/>
  <c r="J590" i="14" s="1"/>
  <c r="G589" i="14"/>
  <c r="H589" i="14" s="1"/>
  <c r="I589" i="14" s="1"/>
  <c r="J589" i="14" s="1"/>
  <c r="G588" i="14"/>
  <c r="H588" i="14" s="1"/>
  <c r="G587" i="14"/>
  <c r="H587" i="14" s="1"/>
  <c r="I587" i="14" s="1"/>
  <c r="G586" i="14"/>
  <c r="H586" i="14" s="1"/>
  <c r="G585" i="14"/>
  <c r="H585" i="14" s="1"/>
  <c r="I585" i="14" s="1"/>
  <c r="J585" i="14" s="1"/>
  <c r="G584" i="14"/>
  <c r="H584" i="14" s="1"/>
  <c r="G583" i="14"/>
  <c r="H583" i="14" s="1"/>
  <c r="G582" i="14"/>
  <c r="H582" i="14" s="1"/>
  <c r="G581" i="14"/>
  <c r="H581" i="14" s="1"/>
  <c r="I581" i="14" s="1"/>
  <c r="G580" i="14"/>
  <c r="H580" i="14" s="1"/>
  <c r="G579" i="14"/>
  <c r="H579" i="14" s="1"/>
  <c r="G578" i="14"/>
  <c r="H578" i="14" s="1"/>
  <c r="I578" i="14" s="1"/>
  <c r="G577" i="14"/>
  <c r="H577" i="14" s="1"/>
  <c r="I577" i="14" s="1"/>
  <c r="J577" i="14" s="1"/>
  <c r="G576" i="14"/>
  <c r="H576" i="14" s="1"/>
  <c r="G575" i="14"/>
  <c r="H575" i="14" s="1"/>
  <c r="I575" i="14" s="1"/>
  <c r="G574" i="14"/>
  <c r="H574" i="14" s="1"/>
  <c r="I574" i="14" s="1"/>
  <c r="J574" i="14" s="1"/>
  <c r="G573" i="14"/>
  <c r="H573" i="14" s="1"/>
  <c r="I573" i="14" s="1"/>
  <c r="G572" i="14"/>
  <c r="H572" i="14" s="1"/>
  <c r="I572" i="14" s="1"/>
  <c r="G571" i="14"/>
  <c r="H571" i="14" s="1"/>
  <c r="I571" i="14" s="1"/>
  <c r="J571" i="14" s="1"/>
  <c r="G570" i="14"/>
  <c r="H570" i="14" s="1"/>
  <c r="I570" i="14" s="1"/>
  <c r="G569" i="14"/>
  <c r="H569" i="14" s="1"/>
  <c r="I569" i="14" s="1"/>
  <c r="G568" i="14"/>
  <c r="H568" i="14" s="1"/>
  <c r="I568" i="14" s="1"/>
  <c r="J568" i="14" s="1"/>
  <c r="G567" i="14"/>
  <c r="H567" i="14" s="1"/>
  <c r="G566" i="14"/>
  <c r="H566" i="14" s="1"/>
  <c r="I566" i="14" s="1"/>
  <c r="G565" i="14"/>
  <c r="H565" i="14" s="1"/>
  <c r="I565" i="14" s="1"/>
  <c r="J565" i="14" s="1"/>
  <c r="G564" i="14"/>
  <c r="H564" i="14" s="1"/>
  <c r="I564" i="14" s="1"/>
  <c r="J564" i="14" s="1"/>
  <c r="G563" i="14"/>
  <c r="H563" i="14" s="1"/>
  <c r="G562" i="14"/>
  <c r="H562" i="14" s="1"/>
  <c r="I562" i="14" s="1"/>
  <c r="G561" i="14"/>
  <c r="H561" i="14" s="1"/>
  <c r="I561" i="14" s="1"/>
  <c r="J561" i="14" s="1"/>
  <c r="G560" i="14"/>
  <c r="H560" i="14" s="1"/>
  <c r="G559" i="14"/>
  <c r="H559" i="14" s="1"/>
  <c r="G558" i="14"/>
  <c r="H558" i="14" s="1"/>
  <c r="I558" i="14" s="1"/>
  <c r="J558" i="14" s="1"/>
  <c r="G557" i="14"/>
  <c r="H557" i="14" s="1"/>
  <c r="I557" i="14" s="1"/>
  <c r="J557" i="14" s="1"/>
  <c r="G556" i="14"/>
  <c r="H556" i="14" s="1"/>
  <c r="G555" i="14"/>
  <c r="H555" i="14" s="1"/>
  <c r="I555" i="14" s="1"/>
  <c r="J555" i="14" s="1"/>
  <c r="G554" i="14"/>
  <c r="H554" i="14" s="1"/>
  <c r="I554" i="14" s="1"/>
  <c r="G553" i="14"/>
  <c r="H553" i="14" s="1"/>
  <c r="G552" i="14"/>
  <c r="H552" i="14" s="1"/>
  <c r="I552" i="14" s="1"/>
  <c r="J552" i="14" s="1"/>
  <c r="G551" i="14"/>
  <c r="H551" i="14" s="1"/>
  <c r="G550" i="14"/>
  <c r="H550" i="14" s="1"/>
  <c r="G549" i="14"/>
  <c r="H549" i="14" s="1"/>
  <c r="I549" i="14" s="1"/>
  <c r="J549" i="14" s="1"/>
  <c r="G548" i="14"/>
  <c r="H548" i="14" s="1"/>
  <c r="I548" i="14" s="1"/>
  <c r="J548" i="14" s="1"/>
  <c r="G547" i="14"/>
  <c r="H547" i="14" s="1"/>
  <c r="G546" i="14"/>
  <c r="H546" i="14" s="1"/>
  <c r="I546" i="14" s="1"/>
  <c r="G545" i="14"/>
  <c r="H545" i="14" s="1"/>
  <c r="I545" i="14" s="1"/>
  <c r="J545" i="14" s="1"/>
  <c r="G544" i="14"/>
  <c r="H544" i="14" s="1"/>
  <c r="G543" i="14"/>
  <c r="H543" i="14" s="1"/>
  <c r="I543" i="14" s="1"/>
  <c r="G542" i="14"/>
  <c r="H542" i="14" s="1"/>
  <c r="I542" i="14" s="1"/>
  <c r="J542" i="14" s="1"/>
  <c r="G541" i="14"/>
  <c r="H541" i="14" s="1"/>
  <c r="G540" i="14"/>
  <c r="H540" i="14" s="1"/>
  <c r="I540" i="14" s="1"/>
  <c r="G539" i="14"/>
  <c r="H539" i="14" s="1"/>
  <c r="I539" i="14" s="1"/>
  <c r="J539" i="14" s="1"/>
  <c r="G538" i="14"/>
  <c r="H538" i="14" s="1"/>
  <c r="G537" i="14"/>
  <c r="H537" i="14" s="1"/>
  <c r="I537" i="14" s="1"/>
  <c r="G536" i="14"/>
  <c r="H536" i="14" s="1"/>
  <c r="I536" i="14" s="1"/>
  <c r="J536" i="14" s="1"/>
  <c r="G535" i="14"/>
  <c r="H535" i="14" s="1"/>
  <c r="G534" i="14"/>
  <c r="H534" i="14" s="1"/>
  <c r="G533" i="14"/>
  <c r="H533" i="14" s="1"/>
  <c r="I533" i="14" s="1"/>
  <c r="G532" i="14"/>
  <c r="H532" i="14" s="1"/>
  <c r="I532" i="14" s="1"/>
  <c r="G531" i="14"/>
  <c r="H531" i="14" s="1"/>
  <c r="G530" i="14"/>
  <c r="H530" i="14" s="1"/>
  <c r="G529" i="14"/>
  <c r="H529" i="14" s="1"/>
  <c r="I529" i="14" s="1"/>
  <c r="G528" i="14"/>
  <c r="H528" i="14" s="1"/>
  <c r="G527" i="14"/>
  <c r="H527" i="14" s="1"/>
  <c r="G526" i="14"/>
  <c r="H526" i="14" s="1"/>
  <c r="G525" i="14"/>
  <c r="H525" i="14" s="1"/>
  <c r="G524" i="14"/>
  <c r="H524" i="14" s="1"/>
  <c r="I524" i="14" s="1"/>
  <c r="J524" i="14" s="1"/>
  <c r="G523" i="14"/>
  <c r="H523" i="14" s="1"/>
  <c r="I523" i="14" s="1"/>
  <c r="G522" i="14"/>
  <c r="H522" i="14" s="1"/>
  <c r="G521" i="14"/>
  <c r="H521" i="14" s="1"/>
  <c r="G520" i="14"/>
  <c r="H520" i="14" s="1"/>
  <c r="G519" i="14"/>
  <c r="H519" i="14" s="1"/>
  <c r="G518" i="14"/>
  <c r="H518" i="14" s="1"/>
  <c r="G517" i="14"/>
  <c r="H517" i="14" s="1"/>
  <c r="I517" i="14" s="1"/>
  <c r="G516" i="14"/>
  <c r="H516" i="14" s="1"/>
  <c r="I516" i="14" s="1"/>
  <c r="G515" i="14"/>
  <c r="H515" i="14" s="1"/>
  <c r="G514" i="14"/>
  <c r="H514" i="14" s="1"/>
  <c r="I514" i="14" s="1"/>
  <c r="G513" i="14"/>
  <c r="H513" i="14" s="1"/>
  <c r="I513" i="14" s="1"/>
  <c r="G512" i="14"/>
  <c r="H512" i="14" s="1"/>
  <c r="G511" i="14"/>
  <c r="H511" i="14" s="1"/>
  <c r="G510" i="14"/>
  <c r="H510" i="14" s="1"/>
  <c r="G509" i="14"/>
  <c r="H509" i="14" s="1"/>
  <c r="I509" i="14" s="1"/>
  <c r="G508" i="14"/>
  <c r="H508" i="14" s="1"/>
  <c r="I508" i="14" s="1"/>
  <c r="G507" i="14"/>
  <c r="H507" i="14" s="1"/>
  <c r="I507" i="14" s="1"/>
  <c r="G506" i="14"/>
  <c r="H506" i="14" s="1"/>
  <c r="G505" i="14"/>
  <c r="H505" i="14" s="1"/>
  <c r="G504" i="14"/>
  <c r="H504" i="14" s="1"/>
  <c r="G503" i="14"/>
  <c r="H503" i="14" s="1"/>
  <c r="G502" i="14"/>
  <c r="H502" i="14" s="1"/>
  <c r="G501" i="14"/>
  <c r="H501" i="14" s="1"/>
  <c r="I501" i="14" s="1"/>
  <c r="G500" i="14"/>
  <c r="H500" i="14" s="1"/>
  <c r="I500" i="14" s="1"/>
  <c r="J500" i="14" s="1"/>
  <c r="G499" i="14"/>
  <c r="H499" i="14" s="1"/>
  <c r="G498" i="14"/>
  <c r="H498" i="14" s="1"/>
  <c r="I498" i="14" s="1"/>
  <c r="G497" i="14"/>
  <c r="H497" i="14" s="1"/>
  <c r="G496" i="14"/>
  <c r="H496" i="14" s="1"/>
  <c r="G495" i="14"/>
  <c r="H495" i="14" s="1"/>
  <c r="G494" i="14"/>
  <c r="H494" i="14" s="1"/>
  <c r="G493" i="14"/>
  <c r="H493" i="14" s="1"/>
  <c r="I493" i="14" s="1"/>
  <c r="G492" i="14"/>
  <c r="H492" i="14" s="1"/>
  <c r="G491" i="14"/>
  <c r="H491" i="14" s="1"/>
  <c r="I491" i="14" s="1"/>
  <c r="G490" i="14"/>
  <c r="H490" i="14" s="1"/>
  <c r="G489" i="14"/>
  <c r="H489" i="14" s="1"/>
  <c r="G488" i="14"/>
  <c r="H488" i="14" s="1"/>
  <c r="G487" i="14"/>
  <c r="H487" i="14" s="1"/>
  <c r="G486" i="14"/>
  <c r="H486" i="14" s="1"/>
  <c r="G485" i="14"/>
  <c r="H485" i="14" s="1"/>
  <c r="I485" i="14" s="1"/>
  <c r="G484" i="14"/>
  <c r="H484" i="14" s="1"/>
  <c r="I484" i="14" s="1"/>
  <c r="J484" i="14" s="1"/>
  <c r="G483" i="14"/>
  <c r="H483" i="14" s="1"/>
  <c r="I483" i="14" s="1"/>
  <c r="G482" i="14"/>
  <c r="H482" i="14" s="1"/>
  <c r="I482" i="14" s="1"/>
  <c r="G481" i="14"/>
  <c r="H481" i="14" s="1"/>
  <c r="G480" i="14"/>
  <c r="H480" i="14" s="1"/>
  <c r="G479" i="14"/>
  <c r="H479" i="14" s="1"/>
  <c r="G478" i="14"/>
  <c r="H478" i="14" s="1"/>
  <c r="G477" i="14"/>
  <c r="H477" i="14" s="1"/>
  <c r="I477" i="14" s="1"/>
  <c r="G476" i="14"/>
  <c r="H476" i="14" s="1"/>
  <c r="G475" i="14"/>
  <c r="H475" i="14" s="1"/>
  <c r="I475" i="14" s="1"/>
  <c r="G474" i="14"/>
  <c r="H474" i="14" s="1"/>
  <c r="I474" i="14" s="1"/>
  <c r="G473" i="14"/>
  <c r="H473" i="14" s="1"/>
  <c r="G472" i="14"/>
  <c r="H472" i="14" s="1"/>
  <c r="G471" i="14"/>
  <c r="H471" i="14" s="1"/>
  <c r="G470" i="14"/>
  <c r="H470" i="14" s="1"/>
  <c r="G469" i="14"/>
  <c r="H469" i="14" s="1"/>
  <c r="I469" i="14" s="1"/>
  <c r="G468" i="14"/>
  <c r="H468" i="14" s="1"/>
  <c r="I468" i="14" s="1"/>
  <c r="J468" i="14" s="1"/>
  <c r="G467" i="14"/>
  <c r="H467" i="14" s="1"/>
  <c r="G466" i="14"/>
  <c r="H466" i="14" s="1"/>
  <c r="I466" i="14" s="1"/>
  <c r="G465" i="14"/>
  <c r="H465" i="14" s="1"/>
  <c r="G464" i="14"/>
  <c r="H464" i="14" s="1"/>
  <c r="G463" i="14"/>
  <c r="H463" i="14" s="1"/>
  <c r="G462" i="14"/>
  <c r="H462" i="14" s="1"/>
  <c r="G461" i="14"/>
  <c r="H461" i="14" s="1"/>
  <c r="I461" i="14" s="1"/>
  <c r="G460" i="14"/>
  <c r="H460" i="14" s="1"/>
  <c r="I460" i="14" s="1"/>
  <c r="G459" i="14"/>
  <c r="H459" i="14" s="1"/>
  <c r="G458" i="14"/>
  <c r="H458" i="14" s="1"/>
  <c r="G457" i="14"/>
  <c r="H457" i="14" s="1"/>
  <c r="G456" i="14"/>
  <c r="H456" i="14" s="1"/>
  <c r="G455" i="14"/>
  <c r="H455" i="14" s="1"/>
  <c r="G454" i="14"/>
  <c r="H454" i="14" s="1"/>
  <c r="G453" i="14"/>
  <c r="H453" i="14" s="1"/>
  <c r="G452" i="14"/>
  <c r="H452" i="14" s="1"/>
  <c r="G451" i="14"/>
  <c r="H451" i="14" s="1"/>
  <c r="G450" i="14"/>
  <c r="H450" i="14" s="1"/>
  <c r="G449" i="14"/>
  <c r="H449" i="14" s="1"/>
  <c r="G448" i="14"/>
  <c r="H448" i="14" s="1"/>
  <c r="I448" i="14" s="1"/>
  <c r="G447" i="14"/>
  <c r="H447" i="14" s="1"/>
  <c r="I447" i="14" s="1"/>
  <c r="G446" i="14"/>
  <c r="H446" i="14" s="1"/>
  <c r="I446" i="14" s="1"/>
  <c r="G445" i="14"/>
  <c r="H445" i="14" s="1"/>
  <c r="G444" i="14"/>
  <c r="H444" i="14" s="1"/>
  <c r="G443" i="14"/>
  <c r="H443" i="14" s="1"/>
  <c r="I443" i="14" s="1"/>
  <c r="G442" i="14"/>
  <c r="H442" i="14" s="1"/>
  <c r="I442" i="14" s="1"/>
  <c r="G441" i="14"/>
  <c r="H441" i="14" s="1"/>
  <c r="G440" i="14"/>
  <c r="H440" i="14" s="1"/>
  <c r="G439" i="14"/>
  <c r="H439" i="14" s="1"/>
  <c r="I439" i="14" s="1"/>
  <c r="J439" i="14" s="1"/>
  <c r="G438" i="14"/>
  <c r="H438" i="14" s="1"/>
  <c r="I438" i="14" s="1"/>
  <c r="G437" i="14"/>
  <c r="H437" i="14" s="1"/>
  <c r="G436" i="14"/>
  <c r="H436" i="14" s="1"/>
  <c r="G435" i="14"/>
  <c r="H435" i="14" s="1"/>
  <c r="I435" i="14" s="1"/>
  <c r="G434" i="14"/>
  <c r="H434" i="14" s="1"/>
  <c r="G433" i="14"/>
  <c r="H433" i="14" s="1"/>
  <c r="G432" i="14"/>
  <c r="H432" i="14" s="1"/>
  <c r="G431" i="14"/>
  <c r="H431" i="14" s="1"/>
  <c r="G430" i="14"/>
  <c r="H430" i="14" s="1"/>
  <c r="G429" i="14"/>
  <c r="H429" i="14" s="1"/>
  <c r="G428" i="14"/>
  <c r="H428" i="14" s="1"/>
  <c r="I428" i="14" s="1"/>
  <c r="G427" i="14"/>
  <c r="H427" i="14" s="1"/>
  <c r="G426" i="14"/>
  <c r="H426" i="14" s="1"/>
  <c r="G425" i="14"/>
  <c r="H425" i="14" s="1"/>
  <c r="G424" i="14"/>
  <c r="H424" i="14" s="1"/>
  <c r="I424" i="14" s="1"/>
  <c r="G423" i="14"/>
  <c r="H423" i="14" s="1"/>
  <c r="I423" i="14" s="1"/>
  <c r="G422" i="14"/>
  <c r="H422" i="14" s="1"/>
  <c r="G421" i="14"/>
  <c r="H421" i="14" s="1"/>
  <c r="G420" i="14"/>
  <c r="H420" i="14" s="1"/>
  <c r="G419" i="14"/>
  <c r="H419" i="14" s="1"/>
  <c r="I419" i="14" s="1"/>
  <c r="G418" i="14"/>
  <c r="H418" i="14" s="1"/>
  <c r="G417" i="14"/>
  <c r="H417" i="14" s="1"/>
  <c r="G416" i="14"/>
  <c r="H416" i="14" s="1"/>
  <c r="G415" i="14"/>
  <c r="H415" i="14" s="1"/>
  <c r="I415" i="14" s="1"/>
  <c r="G414" i="14"/>
  <c r="H414" i="14" s="1"/>
  <c r="G413" i="14"/>
  <c r="H413" i="14" s="1"/>
  <c r="G412" i="14"/>
  <c r="H412" i="14" s="1"/>
  <c r="I412" i="14" s="1"/>
  <c r="G411" i="14"/>
  <c r="H411" i="14" s="1"/>
  <c r="G410" i="14"/>
  <c r="H410" i="14" s="1"/>
  <c r="I410" i="14" s="1"/>
  <c r="G409" i="14"/>
  <c r="H409" i="14" s="1"/>
  <c r="I409" i="14" s="1"/>
  <c r="G408" i="14"/>
  <c r="H408" i="14" s="1"/>
  <c r="I408" i="14" s="1"/>
  <c r="G407" i="14"/>
  <c r="H407" i="14" s="1"/>
  <c r="G406" i="14"/>
  <c r="H406" i="14" s="1"/>
  <c r="G405" i="14"/>
  <c r="H405" i="14" s="1"/>
  <c r="G404" i="14"/>
  <c r="H404" i="14" s="1"/>
  <c r="G403" i="14"/>
  <c r="H403" i="14" s="1"/>
  <c r="I403" i="14" s="1"/>
  <c r="G402" i="14"/>
  <c r="H402" i="14" s="1"/>
  <c r="I402" i="14" s="1"/>
  <c r="G401" i="14"/>
  <c r="H401" i="14" s="1"/>
  <c r="I401" i="14" s="1"/>
  <c r="G400" i="14"/>
  <c r="H400" i="14" s="1"/>
  <c r="G399" i="14"/>
  <c r="H399" i="14" s="1"/>
  <c r="G398" i="14"/>
  <c r="H398" i="14" s="1"/>
  <c r="I398" i="14" s="1"/>
  <c r="G397" i="14"/>
  <c r="H397" i="14" s="1"/>
  <c r="G396" i="14"/>
  <c r="H396" i="14" s="1"/>
  <c r="G395" i="14"/>
  <c r="H395" i="14" s="1"/>
  <c r="I395" i="14" s="1"/>
  <c r="G394" i="14"/>
  <c r="H394" i="14" s="1"/>
  <c r="I394" i="14" s="1"/>
  <c r="J394" i="14" s="1"/>
  <c r="G393" i="14"/>
  <c r="H393" i="14" s="1"/>
  <c r="G392" i="14"/>
  <c r="H392" i="14" s="1"/>
  <c r="I392" i="14" s="1"/>
  <c r="J392" i="14" s="1"/>
  <c r="G391" i="14"/>
  <c r="H391" i="14" s="1"/>
  <c r="I391" i="14" s="1"/>
  <c r="G390" i="14"/>
  <c r="H390" i="14" s="1"/>
  <c r="G389" i="14"/>
  <c r="H389" i="14" s="1"/>
  <c r="G388" i="14"/>
  <c r="H388" i="14" s="1"/>
  <c r="G387" i="14"/>
  <c r="H387" i="14" s="1"/>
  <c r="I387" i="14" s="1"/>
  <c r="J387" i="14" s="1"/>
  <c r="G386" i="14"/>
  <c r="H386" i="14" s="1"/>
  <c r="I386" i="14" s="1"/>
  <c r="J386" i="14" s="1"/>
  <c r="G385" i="14"/>
  <c r="H385" i="14" s="1"/>
  <c r="G384" i="14"/>
  <c r="H384" i="14" s="1"/>
  <c r="G383" i="14"/>
  <c r="H383" i="14" s="1"/>
  <c r="G382" i="14"/>
  <c r="H382" i="14" s="1"/>
  <c r="G381" i="14"/>
  <c r="H381" i="14" s="1"/>
  <c r="G380" i="14"/>
  <c r="H380" i="14" s="1"/>
  <c r="G379" i="14"/>
  <c r="H379" i="14" s="1"/>
  <c r="I379" i="14" s="1"/>
  <c r="J379" i="14" s="1"/>
  <c r="G378" i="14"/>
  <c r="H378" i="14" s="1"/>
  <c r="I378" i="14" s="1"/>
  <c r="J378" i="14" s="1"/>
  <c r="G377" i="14"/>
  <c r="H377" i="14" s="1"/>
  <c r="G376" i="14"/>
  <c r="H376" i="14" s="1"/>
  <c r="G375" i="14"/>
  <c r="H375" i="14" s="1"/>
  <c r="G374" i="14"/>
  <c r="H374" i="14" s="1"/>
  <c r="G373" i="14"/>
  <c r="H373" i="14" s="1"/>
  <c r="G372" i="14"/>
  <c r="H372" i="14" s="1"/>
  <c r="I372" i="14" s="1"/>
  <c r="G371" i="14"/>
  <c r="H371" i="14" s="1"/>
  <c r="I371" i="14" s="1"/>
  <c r="J371" i="14" s="1"/>
  <c r="G370" i="14"/>
  <c r="H370" i="14" s="1"/>
  <c r="I370" i="14" s="1"/>
  <c r="G369" i="14"/>
  <c r="H369" i="14" s="1"/>
  <c r="I369" i="14" s="1"/>
  <c r="G368" i="14"/>
  <c r="H368" i="14" s="1"/>
  <c r="G367" i="14"/>
  <c r="H367" i="14" s="1"/>
  <c r="I367" i="14" s="1"/>
  <c r="G366" i="14"/>
  <c r="H366" i="14" s="1"/>
  <c r="I366" i="14" s="1"/>
  <c r="G365" i="14"/>
  <c r="H365" i="14" s="1"/>
  <c r="G364" i="14"/>
  <c r="H364" i="14" s="1"/>
  <c r="I364" i="14" s="1"/>
  <c r="G363" i="14"/>
  <c r="H363" i="14" s="1"/>
  <c r="I363" i="14" s="1"/>
  <c r="J363" i="14" s="1"/>
  <c r="G362" i="14"/>
  <c r="H362" i="14" s="1"/>
  <c r="I362" i="14" s="1"/>
  <c r="G361" i="14"/>
  <c r="H361" i="14" s="1"/>
  <c r="I361" i="14" s="1"/>
  <c r="G360" i="14"/>
  <c r="H360" i="14" s="1"/>
  <c r="G359" i="14"/>
  <c r="H359" i="14" s="1"/>
  <c r="I359" i="14" s="1"/>
  <c r="G358" i="14"/>
  <c r="H358" i="14" s="1"/>
  <c r="I358" i="14" s="1"/>
  <c r="G357" i="14"/>
  <c r="H357" i="14" s="1"/>
  <c r="G356" i="14"/>
  <c r="H356" i="14" s="1"/>
  <c r="I356" i="14" s="1"/>
  <c r="G355" i="14"/>
  <c r="H355" i="14" s="1"/>
  <c r="I355" i="14" s="1"/>
  <c r="J355" i="14" s="1"/>
  <c r="G354" i="14"/>
  <c r="H354" i="14" s="1"/>
  <c r="I354" i="14" s="1"/>
  <c r="G353" i="14"/>
  <c r="H353" i="14" s="1"/>
  <c r="G352" i="14"/>
  <c r="H352" i="14" s="1"/>
  <c r="G351" i="14"/>
  <c r="H351" i="14" s="1"/>
  <c r="I351" i="14" s="1"/>
  <c r="G350" i="14"/>
  <c r="H350" i="14" s="1"/>
  <c r="I350" i="14" s="1"/>
  <c r="G349" i="14"/>
  <c r="H349" i="14" s="1"/>
  <c r="G348" i="14"/>
  <c r="H348" i="14" s="1"/>
  <c r="I348" i="14" s="1"/>
  <c r="G347" i="14"/>
  <c r="H347" i="14" s="1"/>
  <c r="I347" i="14" s="1"/>
  <c r="J347" i="14" s="1"/>
  <c r="G346" i="14"/>
  <c r="H346" i="14" s="1"/>
  <c r="I346" i="14" s="1"/>
  <c r="G345" i="14"/>
  <c r="H345" i="14" s="1"/>
  <c r="G344" i="14"/>
  <c r="H344" i="14" s="1"/>
  <c r="I344" i="14" s="1"/>
  <c r="G343" i="14"/>
  <c r="H343" i="14" s="1"/>
  <c r="I343" i="14" s="1"/>
  <c r="G342" i="14"/>
  <c r="H342" i="14" s="1"/>
  <c r="I342" i="14" s="1"/>
  <c r="G341" i="14"/>
  <c r="H341" i="14" s="1"/>
  <c r="G340" i="14"/>
  <c r="H340" i="14" s="1"/>
  <c r="G339" i="14"/>
  <c r="H339" i="14" s="1"/>
  <c r="G338" i="14"/>
  <c r="H338" i="14" s="1"/>
  <c r="G337" i="14"/>
  <c r="H337" i="14" s="1"/>
  <c r="G336" i="14"/>
  <c r="H336" i="14" s="1"/>
  <c r="G335" i="14"/>
  <c r="H335" i="14" s="1"/>
  <c r="G334" i="14"/>
  <c r="H334" i="14" s="1"/>
  <c r="I334" i="14" s="1"/>
  <c r="G333" i="14"/>
  <c r="H333" i="14" s="1"/>
  <c r="G332" i="14"/>
  <c r="H332" i="14" s="1"/>
  <c r="G331" i="14"/>
  <c r="H331" i="14" s="1"/>
  <c r="G330" i="14"/>
  <c r="H330" i="14" s="1"/>
  <c r="G329" i="14"/>
  <c r="H329" i="14" s="1"/>
  <c r="G328" i="14"/>
  <c r="H328" i="14" s="1"/>
  <c r="G327" i="14"/>
  <c r="H327" i="14" s="1"/>
  <c r="G326" i="14"/>
  <c r="H326" i="14" s="1"/>
  <c r="I326" i="14" s="1"/>
  <c r="G325" i="14"/>
  <c r="H325" i="14" s="1"/>
  <c r="G324" i="14"/>
  <c r="H324" i="14" s="1"/>
  <c r="G323" i="14"/>
  <c r="H323" i="14" s="1"/>
  <c r="G322" i="14"/>
  <c r="H322" i="14" s="1"/>
  <c r="I322" i="14" s="1"/>
  <c r="G321" i="14"/>
  <c r="H321" i="14" s="1"/>
  <c r="G320" i="14"/>
  <c r="H320" i="14" s="1"/>
  <c r="G319" i="14"/>
  <c r="H319" i="14" s="1"/>
  <c r="G318" i="14"/>
  <c r="H318" i="14" s="1"/>
  <c r="I318" i="14" s="1"/>
  <c r="G317" i="14"/>
  <c r="H317" i="14" s="1"/>
  <c r="G316" i="14"/>
  <c r="H316" i="14" s="1"/>
  <c r="G315" i="14"/>
  <c r="H315" i="14" s="1"/>
  <c r="G314" i="14"/>
  <c r="H314" i="14" s="1"/>
  <c r="G313" i="14"/>
  <c r="H313" i="14" s="1"/>
  <c r="G312" i="14"/>
  <c r="H312" i="14" s="1"/>
  <c r="G311" i="14"/>
  <c r="H311" i="14" s="1"/>
  <c r="G310" i="14"/>
  <c r="H310" i="14" s="1"/>
  <c r="G309" i="14"/>
  <c r="H309" i="14" s="1"/>
  <c r="G308" i="14"/>
  <c r="H308" i="14" s="1"/>
  <c r="G307" i="14"/>
  <c r="H307" i="14" s="1"/>
  <c r="G306" i="14"/>
  <c r="H306" i="14" s="1"/>
  <c r="G305" i="14"/>
  <c r="H305" i="14" s="1"/>
  <c r="G304" i="14"/>
  <c r="H304" i="14" s="1"/>
  <c r="G303" i="14"/>
  <c r="H303" i="14" s="1"/>
  <c r="G302" i="14"/>
  <c r="H302" i="14" s="1"/>
  <c r="G301" i="14"/>
  <c r="H301" i="14" s="1"/>
  <c r="G300" i="14"/>
  <c r="H300" i="14" s="1"/>
  <c r="G299" i="14"/>
  <c r="H299" i="14" s="1"/>
  <c r="G298" i="14"/>
  <c r="H298" i="14" s="1"/>
  <c r="G297" i="14"/>
  <c r="H297" i="14" s="1"/>
  <c r="G296" i="14"/>
  <c r="H296" i="14" s="1"/>
  <c r="G295" i="14"/>
  <c r="H295" i="14" s="1"/>
  <c r="G294" i="14"/>
  <c r="H294" i="14" s="1"/>
  <c r="G293" i="14"/>
  <c r="H293" i="14" s="1"/>
  <c r="G292" i="14"/>
  <c r="H292" i="14" s="1"/>
  <c r="G291" i="14"/>
  <c r="H291" i="14" s="1"/>
  <c r="G290" i="14"/>
  <c r="H290" i="14" s="1"/>
  <c r="G289" i="14"/>
  <c r="H289" i="14" s="1"/>
  <c r="G288" i="14"/>
  <c r="H288" i="14" s="1"/>
  <c r="G287" i="14"/>
  <c r="H287" i="14" s="1"/>
  <c r="G286" i="14"/>
  <c r="H286" i="14" s="1"/>
  <c r="G285" i="14"/>
  <c r="H285" i="14" s="1"/>
  <c r="G284" i="14"/>
  <c r="H284" i="14" s="1"/>
  <c r="G283" i="14"/>
  <c r="H283" i="14" s="1"/>
  <c r="G282" i="14"/>
  <c r="H282" i="14" s="1"/>
  <c r="G281" i="14"/>
  <c r="H281" i="14" s="1"/>
  <c r="G280" i="14"/>
  <c r="H280" i="14" s="1"/>
  <c r="G279" i="14"/>
  <c r="H279" i="14" s="1"/>
  <c r="G278" i="14"/>
  <c r="H278" i="14" s="1"/>
  <c r="G277" i="14"/>
  <c r="H277" i="14" s="1"/>
  <c r="G276" i="14"/>
  <c r="H276" i="14" s="1"/>
  <c r="G275" i="14"/>
  <c r="H275" i="14" s="1"/>
  <c r="G274" i="14"/>
  <c r="H274" i="14" s="1"/>
  <c r="G273" i="14"/>
  <c r="H273" i="14" s="1"/>
  <c r="G272" i="14"/>
  <c r="H272" i="14" s="1"/>
  <c r="G271" i="14"/>
  <c r="H271" i="14" s="1"/>
  <c r="G270" i="14"/>
  <c r="H270" i="14" s="1"/>
  <c r="G269" i="14"/>
  <c r="H269" i="14" s="1"/>
  <c r="G268" i="14"/>
  <c r="H268" i="14" s="1"/>
  <c r="G267" i="14"/>
  <c r="H267" i="14" s="1"/>
  <c r="G266" i="14"/>
  <c r="H266" i="14" s="1"/>
  <c r="G265" i="14"/>
  <c r="H265" i="14" s="1"/>
  <c r="G264" i="14"/>
  <c r="H264" i="14" s="1"/>
  <c r="G263" i="14"/>
  <c r="H263" i="14" s="1"/>
  <c r="G262" i="14"/>
  <c r="H262" i="14" s="1"/>
  <c r="G261" i="14"/>
  <c r="H261" i="14" s="1"/>
  <c r="G260" i="14"/>
  <c r="H260" i="14" s="1"/>
  <c r="G259" i="14"/>
  <c r="H259" i="14" s="1"/>
  <c r="G258" i="14"/>
  <c r="H258" i="14" s="1"/>
  <c r="G257" i="14"/>
  <c r="H257" i="14" s="1"/>
  <c r="G256" i="14"/>
  <c r="H256" i="14" s="1"/>
  <c r="G255" i="14"/>
  <c r="H255" i="14" s="1"/>
  <c r="G254" i="14"/>
  <c r="H254" i="14" s="1"/>
  <c r="G253" i="14"/>
  <c r="H253" i="14" s="1"/>
  <c r="G252" i="14"/>
  <c r="H252" i="14" s="1"/>
  <c r="G251" i="14"/>
  <c r="H251" i="14" s="1"/>
  <c r="G250" i="14"/>
  <c r="H250" i="14" s="1"/>
  <c r="G249" i="14"/>
  <c r="H249" i="14" s="1"/>
  <c r="G248" i="14"/>
  <c r="H248" i="14" s="1"/>
  <c r="G247" i="14"/>
  <c r="H247" i="14" s="1"/>
  <c r="G246" i="14"/>
  <c r="H246" i="14" s="1"/>
  <c r="G245" i="14"/>
  <c r="H245" i="14" s="1"/>
  <c r="G244" i="14"/>
  <c r="H244" i="14" s="1"/>
  <c r="G243" i="14"/>
  <c r="H243" i="14" s="1"/>
  <c r="G242" i="14"/>
  <c r="H242" i="14" s="1"/>
  <c r="G241" i="14"/>
  <c r="H241" i="14" s="1"/>
  <c r="G240" i="14"/>
  <c r="H240" i="14" s="1"/>
  <c r="G239" i="14"/>
  <c r="H239" i="14" s="1"/>
  <c r="G238" i="14"/>
  <c r="H238" i="14" s="1"/>
  <c r="G237" i="14"/>
  <c r="H237" i="14" s="1"/>
  <c r="G236" i="14"/>
  <c r="H236" i="14" s="1"/>
  <c r="G235" i="14"/>
  <c r="H235" i="14" s="1"/>
  <c r="G234" i="14"/>
  <c r="H234" i="14" s="1"/>
  <c r="G233" i="14"/>
  <c r="H233" i="14" s="1"/>
  <c r="G232" i="14"/>
  <c r="H232" i="14" s="1"/>
  <c r="G231" i="14"/>
  <c r="H231" i="14" s="1"/>
  <c r="G230" i="14"/>
  <c r="H230" i="14" s="1"/>
  <c r="G229" i="14"/>
  <c r="H229" i="14" s="1"/>
  <c r="G228" i="14"/>
  <c r="H228" i="14" s="1"/>
  <c r="G227" i="14"/>
  <c r="H227" i="14" s="1"/>
  <c r="G226" i="14"/>
  <c r="H226" i="14" s="1"/>
  <c r="G225" i="14"/>
  <c r="H225" i="14" s="1"/>
  <c r="G224" i="14"/>
  <c r="H224" i="14" s="1"/>
  <c r="G223" i="14"/>
  <c r="H223" i="14" s="1"/>
  <c r="G222" i="14"/>
  <c r="H222" i="14" s="1"/>
  <c r="G221" i="14"/>
  <c r="H221" i="14" s="1"/>
  <c r="G220" i="14"/>
  <c r="H220" i="14" s="1"/>
  <c r="G219" i="14"/>
  <c r="H219" i="14" s="1"/>
  <c r="G218" i="14"/>
  <c r="H218" i="14" s="1"/>
  <c r="G217" i="14"/>
  <c r="H217" i="14" s="1"/>
  <c r="G216" i="14"/>
  <c r="H216" i="14" s="1"/>
  <c r="G215" i="14"/>
  <c r="H215" i="14" s="1"/>
  <c r="G214" i="14"/>
  <c r="H214" i="14" s="1"/>
  <c r="G213" i="14"/>
  <c r="H213" i="14" s="1"/>
  <c r="G212" i="14"/>
  <c r="H212" i="14" s="1"/>
  <c r="G211" i="14"/>
  <c r="H211" i="14" s="1"/>
  <c r="G210" i="14"/>
  <c r="H210" i="14" s="1"/>
  <c r="G209" i="14"/>
  <c r="H209" i="14" s="1"/>
  <c r="G208" i="14"/>
  <c r="H208" i="14" s="1"/>
  <c r="G207" i="14"/>
  <c r="H207" i="14" s="1"/>
  <c r="G206" i="14"/>
  <c r="H206" i="14" s="1"/>
  <c r="G205" i="14"/>
  <c r="H205" i="14" s="1"/>
  <c r="G204" i="14"/>
  <c r="H204" i="14" s="1"/>
  <c r="G203" i="14"/>
  <c r="H203" i="14" s="1"/>
  <c r="G202" i="14"/>
  <c r="H202" i="14" s="1"/>
  <c r="G201" i="14"/>
  <c r="H201" i="14" s="1"/>
  <c r="G200" i="14"/>
  <c r="H200" i="14" s="1"/>
  <c r="G199" i="14"/>
  <c r="H199" i="14" s="1"/>
  <c r="G198" i="14"/>
  <c r="H198" i="14" s="1"/>
  <c r="G197" i="14"/>
  <c r="H197" i="14" s="1"/>
  <c r="G196" i="14"/>
  <c r="H196" i="14" s="1"/>
  <c r="G195" i="14"/>
  <c r="H195" i="14" s="1"/>
  <c r="G194" i="14"/>
  <c r="H194" i="14" s="1"/>
  <c r="G193" i="14"/>
  <c r="H193" i="14" s="1"/>
  <c r="G192" i="14"/>
  <c r="H192" i="14" s="1"/>
  <c r="G191" i="14"/>
  <c r="H191" i="14" s="1"/>
  <c r="G190" i="14"/>
  <c r="H190" i="14" s="1"/>
  <c r="G189" i="14"/>
  <c r="H189" i="14" s="1"/>
  <c r="G188" i="14"/>
  <c r="H188" i="14" s="1"/>
  <c r="G187" i="14"/>
  <c r="H187" i="14" s="1"/>
  <c r="G186" i="14"/>
  <c r="H186" i="14" s="1"/>
  <c r="G185" i="14"/>
  <c r="H185" i="14" s="1"/>
  <c r="G184" i="14"/>
  <c r="H184" i="14" s="1"/>
  <c r="G183" i="14"/>
  <c r="H183" i="14" s="1"/>
  <c r="G182" i="14"/>
  <c r="H182" i="14" s="1"/>
  <c r="G181" i="14"/>
  <c r="H181" i="14" s="1"/>
  <c r="G180" i="14"/>
  <c r="H180" i="14" s="1"/>
  <c r="G179" i="14"/>
  <c r="H179" i="14" s="1"/>
  <c r="G178" i="14"/>
  <c r="H178" i="14" s="1"/>
  <c r="G177" i="14"/>
  <c r="H177" i="14" s="1"/>
  <c r="G176" i="14"/>
  <c r="H176" i="14" s="1"/>
  <c r="G175" i="14"/>
  <c r="H175" i="14" s="1"/>
  <c r="G174" i="14"/>
  <c r="H174" i="14" s="1"/>
  <c r="G173" i="14"/>
  <c r="H173" i="14" s="1"/>
  <c r="G172" i="14"/>
  <c r="H172" i="14" s="1"/>
  <c r="G171" i="14"/>
  <c r="H171" i="14" s="1"/>
  <c r="G170" i="14"/>
  <c r="H170" i="14" s="1"/>
  <c r="G169" i="14"/>
  <c r="H169" i="14" s="1"/>
  <c r="G168" i="14"/>
  <c r="H168" i="14" s="1"/>
  <c r="G167" i="14"/>
  <c r="H167" i="14" s="1"/>
  <c r="G166" i="14"/>
  <c r="H166" i="14" s="1"/>
  <c r="G165" i="14"/>
  <c r="H165" i="14" s="1"/>
  <c r="G164" i="14"/>
  <c r="H164" i="14" s="1"/>
  <c r="G163" i="14"/>
  <c r="H163" i="14" s="1"/>
  <c r="G162" i="14"/>
  <c r="H162" i="14" s="1"/>
  <c r="G161" i="14"/>
  <c r="H161" i="14" s="1"/>
  <c r="G160" i="14"/>
  <c r="H160" i="14" s="1"/>
  <c r="G159" i="14"/>
  <c r="H159" i="14" s="1"/>
  <c r="G158" i="14"/>
  <c r="H158" i="14" s="1"/>
  <c r="G157" i="14"/>
  <c r="H157" i="14" s="1"/>
  <c r="G156" i="14"/>
  <c r="H156" i="14" s="1"/>
  <c r="G155" i="14"/>
  <c r="H155" i="14" s="1"/>
  <c r="G154" i="14"/>
  <c r="H154" i="14" s="1"/>
  <c r="G153" i="14"/>
  <c r="H153" i="14" s="1"/>
  <c r="G152" i="14"/>
  <c r="H152" i="14" s="1"/>
  <c r="G151" i="14"/>
  <c r="H151" i="14" s="1"/>
  <c r="G150" i="14"/>
  <c r="H150" i="14" s="1"/>
  <c r="G149" i="14"/>
  <c r="H149" i="14" s="1"/>
  <c r="G148" i="14"/>
  <c r="H148" i="14" s="1"/>
  <c r="G147" i="14"/>
  <c r="H147" i="14" s="1"/>
  <c r="H146" i="14"/>
  <c r="G145" i="14"/>
  <c r="H145" i="14" s="1"/>
  <c r="G144" i="14"/>
  <c r="H144" i="14" s="1"/>
  <c r="G143" i="14"/>
  <c r="H143" i="14" s="1"/>
  <c r="H142" i="14"/>
  <c r="G141" i="14"/>
  <c r="H141" i="14" s="1"/>
  <c r="G140" i="14"/>
  <c r="H140" i="14" s="1"/>
  <c r="G139" i="14"/>
  <c r="H139" i="14" s="1"/>
  <c r="G138" i="14"/>
  <c r="H138" i="14" s="1"/>
  <c r="G137" i="14"/>
  <c r="H137" i="14" s="1"/>
  <c r="G136" i="14"/>
  <c r="H136" i="14" s="1"/>
  <c r="G135" i="14"/>
  <c r="H135" i="14" s="1"/>
  <c r="G134" i="14"/>
  <c r="H134" i="14" s="1"/>
  <c r="G133" i="14"/>
  <c r="H133" i="14" s="1"/>
  <c r="H132" i="14"/>
  <c r="G131" i="14"/>
  <c r="H131" i="14" s="1"/>
  <c r="G130" i="14"/>
  <c r="H130" i="14" s="1"/>
  <c r="G129" i="14"/>
  <c r="H129" i="14" s="1"/>
  <c r="G128" i="14"/>
  <c r="H128" i="14" s="1"/>
  <c r="G127" i="14"/>
  <c r="H127" i="14" s="1"/>
  <c r="G126" i="14"/>
  <c r="H126" i="14" s="1"/>
  <c r="G125" i="14"/>
  <c r="H125" i="14" s="1"/>
  <c r="G124" i="14"/>
  <c r="H124" i="14" s="1"/>
  <c r="G123" i="14"/>
  <c r="H123" i="14" s="1"/>
  <c r="G122" i="14"/>
  <c r="H122" i="14" s="1"/>
  <c r="G121" i="14"/>
  <c r="H121" i="14" s="1"/>
  <c r="G120" i="14"/>
  <c r="H120" i="14" s="1"/>
  <c r="G119" i="14"/>
  <c r="H119" i="14" s="1"/>
  <c r="H118" i="14"/>
  <c r="G117" i="14"/>
  <c r="H117" i="14" s="1"/>
  <c r="G116" i="14"/>
  <c r="H116" i="14" s="1"/>
  <c r="G115" i="14"/>
  <c r="H115" i="14" s="1"/>
  <c r="G114" i="14"/>
  <c r="H114" i="14" s="1"/>
  <c r="G113" i="14"/>
  <c r="H113" i="14" s="1"/>
  <c r="G112" i="14"/>
  <c r="H112" i="14" s="1"/>
  <c r="G111" i="14"/>
  <c r="H111" i="14" s="1"/>
  <c r="G110" i="14"/>
  <c r="H110" i="14" s="1"/>
  <c r="G109" i="14"/>
  <c r="H109" i="14" s="1"/>
  <c r="G108" i="14"/>
  <c r="H108" i="14" s="1"/>
  <c r="G107" i="14"/>
  <c r="H107" i="14" s="1"/>
  <c r="G106" i="14"/>
  <c r="H106" i="14" s="1"/>
  <c r="G105" i="14"/>
  <c r="H105" i="14" s="1"/>
  <c r="G104" i="14"/>
  <c r="H104" i="14" s="1"/>
  <c r="G103" i="14"/>
  <c r="H103" i="14" s="1"/>
  <c r="G102" i="14"/>
  <c r="H102" i="14" s="1"/>
  <c r="G101" i="14"/>
  <c r="H101" i="14" s="1"/>
  <c r="G100" i="14"/>
  <c r="H100" i="14" s="1"/>
  <c r="G99" i="14"/>
  <c r="H99" i="14" s="1"/>
  <c r="G98" i="14"/>
  <c r="H98" i="14" s="1"/>
  <c r="G97" i="14"/>
  <c r="H97" i="14" s="1"/>
  <c r="G96" i="14"/>
  <c r="H96" i="14" s="1"/>
  <c r="G95" i="14"/>
  <c r="H95" i="14" s="1"/>
  <c r="G94" i="14"/>
  <c r="H94" i="14" s="1"/>
  <c r="G93" i="14"/>
  <c r="H93" i="14" s="1"/>
  <c r="G92" i="14"/>
  <c r="H92" i="14" s="1"/>
  <c r="G91" i="14"/>
  <c r="H91" i="14" s="1"/>
  <c r="G90" i="14"/>
  <c r="H90" i="14" s="1"/>
  <c r="G89" i="14"/>
  <c r="H89" i="14" s="1"/>
  <c r="G87" i="14"/>
  <c r="H87" i="14" s="1"/>
  <c r="G86" i="14"/>
  <c r="H86" i="14" s="1"/>
  <c r="G85" i="14"/>
  <c r="H85" i="14" s="1"/>
  <c r="G84" i="14"/>
  <c r="H84" i="14" s="1"/>
  <c r="G83" i="14"/>
  <c r="H83" i="14" s="1"/>
  <c r="G82" i="14"/>
  <c r="H82" i="14" s="1"/>
  <c r="G81" i="14"/>
  <c r="H81" i="14" s="1"/>
  <c r="G80" i="14"/>
  <c r="H80" i="14" s="1"/>
  <c r="G79" i="14"/>
  <c r="H79" i="14" s="1"/>
  <c r="G78" i="14"/>
  <c r="H78" i="14" s="1"/>
  <c r="H77" i="14"/>
  <c r="G76" i="14"/>
  <c r="H76" i="14" s="1"/>
  <c r="G75" i="14"/>
  <c r="H75" i="14" s="1"/>
  <c r="G74" i="14"/>
  <c r="H74" i="14" s="1"/>
  <c r="G73" i="14"/>
  <c r="H73" i="14" s="1"/>
  <c r="G72" i="14"/>
  <c r="H72" i="14" s="1"/>
  <c r="G71" i="14"/>
  <c r="H71" i="14" s="1"/>
  <c r="G70" i="14"/>
  <c r="H70" i="14" s="1"/>
  <c r="G69" i="14"/>
  <c r="H69" i="14" s="1"/>
  <c r="G68" i="14"/>
  <c r="H68" i="14" s="1"/>
  <c r="G67" i="14"/>
  <c r="H67" i="14" s="1"/>
  <c r="G66" i="14"/>
  <c r="H66" i="14" s="1"/>
  <c r="G65" i="14"/>
  <c r="H65" i="14" s="1"/>
  <c r="G64" i="14"/>
  <c r="H64" i="14" s="1"/>
  <c r="G63" i="14"/>
  <c r="H63" i="14" s="1"/>
  <c r="G62" i="14"/>
  <c r="H62" i="14" s="1"/>
  <c r="J62" i="14" s="1"/>
  <c r="G61" i="14"/>
  <c r="H61" i="14" s="1"/>
  <c r="G60" i="14"/>
  <c r="H60" i="14" s="1"/>
  <c r="H59" i="14"/>
  <c r="G51" i="14"/>
  <c r="H51" i="14" s="1"/>
  <c r="J51" i="14" s="1"/>
  <c r="G50" i="14"/>
  <c r="H50" i="14" s="1"/>
  <c r="G49" i="14"/>
  <c r="H49" i="14" s="1"/>
  <c r="J49" i="14" s="1"/>
  <c r="G48" i="14"/>
  <c r="H48" i="14" s="1"/>
  <c r="G47" i="14"/>
  <c r="H47" i="14" s="1"/>
  <c r="J47" i="14" s="1"/>
  <c r="G46" i="14"/>
  <c r="H46" i="14" s="1"/>
  <c r="G45" i="14"/>
  <c r="H45" i="14" s="1"/>
  <c r="J45" i="14" s="1"/>
  <c r="G44" i="14"/>
  <c r="H44" i="14" s="1"/>
  <c r="G42" i="14"/>
  <c r="H42" i="14" s="1"/>
  <c r="J42" i="14" s="1"/>
  <c r="G41" i="14"/>
  <c r="H41" i="14" s="1"/>
  <c r="G40" i="14"/>
  <c r="H40" i="14" s="1"/>
  <c r="J40" i="14" s="1"/>
  <c r="G39" i="14"/>
  <c r="H39" i="14" s="1"/>
  <c r="G38" i="14"/>
  <c r="H38" i="14" s="1"/>
  <c r="J38" i="14" s="1"/>
  <c r="G37" i="14"/>
  <c r="H37" i="14" s="1"/>
  <c r="G36" i="14"/>
  <c r="H36" i="14" s="1"/>
  <c r="J36" i="14" s="1"/>
  <c r="G35" i="14"/>
  <c r="H35" i="14" s="1"/>
  <c r="G34" i="14"/>
  <c r="H34" i="14" s="1"/>
  <c r="J34" i="14" s="1"/>
  <c r="G33" i="14"/>
  <c r="H33" i="14" s="1"/>
  <c r="G32" i="14"/>
  <c r="H32" i="14" s="1"/>
  <c r="J32" i="14" s="1"/>
  <c r="G31" i="14"/>
  <c r="H31" i="14" s="1"/>
  <c r="G30" i="14"/>
  <c r="H30" i="14" s="1"/>
  <c r="I30" i="14" s="1"/>
  <c r="J30" i="14" s="1"/>
  <c r="G29" i="14"/>
  <c r="H29" i="14" s="1"/>
  <c r="G28" i="14"/>
  <c r="H28" i="14" s="1"/>
  <c r="J28" i="14" s="1"/>
  <c r="G27" i="14"/>
  <c r="H27" i="14" s="1"/>
  <c r="G26" i="14"/>
  <c r="H26" i="14" s="1"/>
  <c r="J26" i="14" s="1"/>
  <c r="G25" i="14"/>
  <c r="H25" i="14" s="1"/>
  <c r="G24" i="14"/>
  <c r="H24" i="14" s="1"/>
  <c r="J24" i="14" s="1"/>
  <c r="G23" i="14"/>
  <c r="H23" i="14" s="1"/>
  <c r="G22" i="14"/>
  <c r="H22" i="14" s="1"/>
  <c r="G21" i="14"/>
  <c r="H21" i="14" s="1"/>
  <c r="G20" i="14"/>
  <c r="H20" i="14" s="1"/>
  <c r="G19" i="14"/>
  <c r="H19" i="14" s="1"/>
  <c r="G18" i="14"/>
  <c r="H18" i="14" s="1"/>
  <c r="G17" i="14"/>
  <c r="H17" i="14" s="1"/>
  <c r="G16" i="14"/>
  <c r="H16" i="14" s="1"/>
  <c r="H15" i="14"/>
  <c r="J15" i="14" s="1"/>
  <c r="H14" i="14"/>
  <c r="J14" i="14" s="1"/>
  <c r="H13" i="14"/>
  <c r="J13" i="14" s="1"/>
  <c r="H12" i="14"/>
  <c r="J12" i="14" s="1"/>
  <c r="G11" i="14"/>
  <c r="H11" i="14" s="1"/>
  <c r="G10" i="14"/>
  <c r="H10" i="14" s="1"/>
  <c r="G9" i="14"/>
  <c r="H9" i="14" s="1"/>
  <c r="G8" i="14"/>
  <c r="H8" i="14" s="1"/>
  <c r="G7" i="14"/>
  <c r="H7" i="14" s="1"/>
  <c r="G6" i="14"/>
  <c r="H6" i="14" s="1"/>
  <c r="G5" i="14"/>
  <c r="H5" i="14" s="1"/>
  <c r="G4" i="14"/>
  <c r="H4" i="14" s="1"/>
  <c r="G3" i="14"/>
  <c r="H3" i="14" s="1"/>
  <c r="G2" i="14"/>
  <c r="H2" i="14" s="1"/>
  <c r="E88" i="12"/>
  <c r="F88" i="12" s="1"/>
  <c r="E87" i="12"/>
  <c r="G70" i="13"/>
  <c r="H70" i="13" s="1"/>
  <c r="G71" i="13"/>
  <c r="H71" i="13" s="1"/>
  <c r="G72" i="13"/>
  <c r="H72" i="13" s="1"/>
  <c r="I72" i="13" s="1"/>
  <c r="G73" i="13"/>
  <c r="H73" i="13" s="1"/>
  <c r="G74" i="13"/>
  <c r="H74" i="13" s="1"/>
  <c r="G75" i="13"/>
  <c r="H75" i="13" s="1"/>
  <c r="G76" i="13"/>
  <c r="H76" i="13" s="1"/>
  <c r="G77" i="13"/>
  <c r="H77" i="13" s="1"/>
  <c r="G78" i="13"/>
  <c r="H78" i="13" s="1"/>
  <c r="G79" i="13"/>
  <c r="H79" i="13" s="1"/>
  <c r="G80" i="13"/>
  <c r="H80" i="13" s="1"/>
  <c r="G81" i="13"/>
  <c r="H81" i="13" s="1"/>
  <c r="G82" i="13"/>
  <c r="H82" i="13" s="1"/>
  <c r="G83" i="13"/>
  <c r="H83" i="13" s="1"/>
  <c r="G84" i="13"/>
  <c r="H84" i="13" s="1"/>
  <c r="G85" i="13"/>
  <c r="H85" i="13" s="1"/>
  <c r="G86" i="13"/>
  <c r="H86" i="13" s="1"/>
  <c r="G87" i="13"/>
  <c r="H87" i="13" s="1"/>
  <c r="G88" i="13"/>
  <c r="H88" i="13" s="1"/>
  <c r="I88" i="13" s="1"/>
  <c r="G89" i="13"/>
  <c r="H89" i="13" s="1"/>
  <c r="G90" i="13"/>
  <c r="H90" i="13" s="1"/>
  <c r="G91" i="13"/>
  <c r="H91" i="13" s="1"/>
  <c r="G92" i="13"/>
  <c r="H92" i="13" s="1"/>
  <c r="G93" i="13"/>
  <c r="H93" i="13" s="1"/>
  <c r="G94" i="13"/>
  <c r="H94" i="13" s="1"/>
  <c r="G95" i="13"/>
  <c r="H95" i="13" s="1"/>
  <c r="G96" i="13"/>
  <c r="H96" i="13" s="1"/>
  <c r="G97" i="13"/>
  <c r="H97" i="13" s="1"/>
  <c r="G98" i="13"/>
  <c r="H98" i="13" s="1"/>
  <c r="G99" i="13"/>
  <c r="H99" i="13" s="1"/>
  <c r="G100" i="13"/>
  <c r="H100" i="13" s="1"/>
  <c r="G101" i="13"/>
  <c r="H101" i="13" s="1"/>
  <c r="G102" i="13"/>
  <c r="H102" i="13" s="1"/>
  <c r="G103" i="13"/>
  <c r="H103" i="13" s="1"/>
  <c r="G104" i="13"/>
  <c r="H104" i="13" s="1"/>
  <c r="G105" i="13"/>
  <c r="H105" i="13" s="1"/>
  <c r="G106" i="13"/>
  <c r="H106" i="13" s="1"/>
  <c r="G107" i="13"/>
  <c r="H107" i="13" s="1"/>
  <c r="G108" i="13"/>
  <c r="H108" i="13" s="1"/>
  <c r="G109" i="13"/>
  <c r="H109" i="13" s="1"/>
  <c r="G110" i="13"/>
  <c r="H110" i="13" s="1"/>
  <c r="G111" i="13"/>
  <c r="H111" i="13" s="1"/>
  <c r="G112" i="13"/>
  <c r="H112" i="13" s="1"/>
  <c r="G113" i="13"/>
  <c r="H113" i="13" s="1"/>
  <c r="G114" i="13"/>
  <c r="H114" i="13" s="1"/>
  <c r="G115" i="13"/>
  <c r="H115" i="13" s="1"/>
  <c r="G116" i="13"/>
  <c r="H116" i="13" s="1"/>
  <c r="G117" i="13"/>
  <c r="H117" i="13" s="1"/>
  <c r="G118" i="13"/>
  <c r="H118" i="13" s="1"/>
  <c r="G119" i="13"/>
  <c r="H119" i="13" s="1"/>
  <c r="G120" i="13"/>
  <c r="H120" i="13" s="1"/>
  <c r="G121" i="13"/>
  <c r="H121" i="13" s="1"/>
  <c r="G122" i="13"/>
  <c r="H122" i="13" s="1"/>
  <c r="G123" i="13"/>
  <c r="H123" i="13" s="1"/>
  <c r="G124" i="13"/>
  <c r="H124" i="13" s="1"/>
  <c r="G125" i="13"/>
  <c r="H125" i="13" s="1"/>
  <c r="G126" i="13"/>
  <c r="H126" i="13" s="1"/>
  <c r="G127" i="13"/>
  <c r="H127" i="13" s="1"/>
  <c r="G128" i="13"/>
  <c r="H128" i="13" s="1"/>
  <c r="G129" i="13"/>
  <c r="H129" i="13" s="1"/>
  <c r="G130" i="13"/>
  <c r="H130" i="13" s="1"/>
  <c r="G131" i="13"/>
  <c r="H131" i="13" s="1"/>
  <c r="G132" i="13"/>
  <c r="H132" i="13" s="1"/>
  <c r="I132" i="13" s="1"/>
  <c r="G133" i="13"/>
  <c r="H133" i="13" s="1"/>
  <c r="G134" i="13"/>
  <c r="H134" i="13" s="1"/>
  <c r="G135" i="13"/>
  <c r="H135" i="13" s="1"/>
  <c r="G136" i="13"/>
  <c r="H136" i="13" s="1"/>
  <c r="G137" i="13"/>
  <c r="H137" i="13" s="1"/>
  <c r="G138" i="13"/>
  <c r="H138" i="13" s="1"/>
  <c r="G139" i="13"/>
  <c r="H139" i="13" s="1"/>
  <c r="G140" i="13"/>
  <c r="H140" i="13" s="1"/>
  <c r="G141" i="13"/>
  <c r="H141" i="13" s="1"/>
  <c r="G142" i="13"/>
  <c r="H142" i="13" s="1"/>
  <c r="G143" i="13"/>
  <c r="H143" i="13" s="1"/>
  <c r="G144" i="13"/>
  <c r="H144" i="13" s="1"/>
  <c r="I144" i="13" s="1"/>
  <c r="G145" i="13"/>
  <c r="H145" i="13" s="1"/>
  <c r="G146" i="13"/>
  <c r="H146" i="13" s="1"/>
  <c r="G147" i="13"/>
  <c r="H147" i="13" s="1"/>
  <c r="G148" i="13"/>
  <c r="H148" i="13" s="1"/>
  <c r="G149" i="13"/>
  <c r="H149" i="13" s="1"/>
  <c r="G150" i="13"/>
  <c r="H150" i="13" s="1"/>
  <c r="G151" i="13"/>
  <c r="H151" i="13" s="1"/>
  <c r="G152" i="13"/>
  <c r="H152" i="13" s="1"/>
  <c r="G153" i="13"/>
  <c r="H153" i="13" s="1"/>
  <c r="G154" i="13"/>
  <c r="H154" i="13" s="1"/>
  <c r="G155" i="13"/>
  <c r="H155" i="13" s="1"/>
  <c r="G156" i="13"/>
  <c r="H156" i="13" s="1"/>
  <c r="G157" i="13"/>
  <c r="H157" i="13" s="1"/>
  <c r="G158" i="13"/>
  <c r="H158" i="13" s="1"/>
  <c r="G159" i="13"/>
  <c r="H159" i="13" s="1"/>
  <c r="G160" i="13"/>
  <c r="H160" i="13" s="1"/>
  <c r="G161" i="13"/>
  <c r="H161" i="13" s="1"/>
  <c r="G162" i="13"/>
  <c r="H162" i="13" s="1"/>
  <c r="G163" i="13"/>
  <c r="H163" i="13" s="1"/>
  <c r="G164" i="13"/>
  <c r="H164" i="13" s="1"/>
  <c r="G165" i="13"/>
  <c r="H165" i="13" s="1"/>
  <c r="G166" i="13"/>
  <c r="H166" i="13" s="1"/>
  <c r="G167" i="13"/>
  <c r="H167" i="13" s="1"/>
  <c r="G168" i="13"/>
  <c r="H168" i="13" s="1"/>
  <c r="G169" i="13"/>
  <c r="H169" i="13" s="1"/>
  <c r="G170" i="13"/>
  <c r="H170" i="13" s="1"/>
  <c r="G171" i="13"/>
  <c r="H171" i="13" s="1"/>
  <c r="G172" i="13"/>
  <c r="H172" i="13" s="1"/>
  <c r="I172" i="13" s="1"/>
  <c r="G173" i="13"/>
  <c r="H173" i="13" s="1"/>
  <c r="G174" i="13"/>
  <c r="H174" i="13" s="1"/>
  <c r="G175" i="13"/>
  <c r="H175" i="13" s="1"/>
  <c r="G176" i="13"/>
  <c r="H176" i="13" s="1"/>
  <c r="G177" i="13"/>
  <c r="H177" i="13" s="1"/>
  <c r="G178" i="13"/>
  <c r="H178" i="13" s="1"/>
  <c r="G179" i="13"/>
  <c r="H179" i="13" s="1"/>
  <c r="G180" i="13"/>
  <c r="H180" i="13" s="1"/>
  <c r="G181" i="13"/>
  <c r="H181" i="13" s="1"/>
  <c r="G182" i="13"/>
  <c r="H182" i="13" s="1"/>
  <c r="G183" i="13"/>
  <c r="H183" i="13" s="1"/>
  <c r="G184" i="13"/>
  <c r="H184" i="13" s="1"/>
  <c r="G185" i="13"/>
  <c r="H185" i="13" s="1"/>
  <c r="G186" i="13"/>
  <c r="H186" i="13" s="1"/>
  <c r="G187" i="13"/>
  <c r="H187" i="13" s="1"/>
  <c r="G188" i="13"/>
  <c r="H188" i="13" s="1"/>
  <c r="G189" i="13"/>
  <c r="H189" i="13" s="1"/>
  <c r="G190" i="13"/>
  <c r="H190" i="13" s="1"/>
  <c r="G191" i="13"/>
  <c r="H191" i="13" s="1"/>
  <c r="G192" i="13"/>
  <c r="H192" i="13" s="1"/>
  <c r="G193" i="13"/>
  <c r="H193" i="13" s="1"/>
  <c r="G194" i="13"/>
  <c r="H194" i="13" s="1"/>
  <c r="G195" i="13"/>
  <c r="H195" i="13" s="1"/>
  <c r="G196" i="13"/>
  <c r="H196" i="13" s="1"/>
  <c r="G197" i="13"/>
  <c r="H197" i="13" s="1"/>
  <c r="G198" i="13"/>
  <c r="H198" i="13" s="1"/>
  <c r="G199" i="13"/>
  <c r="H199" i="13" s="1"/>
  <c r="G200" i="13"/>
  <c r="H200" i="13" s="1"/>
  <c r="G201" i="13"/>
  <c r="H201" i="13" s="1"/>
  <c r="G202" i="13"/>
  <c r="H202" i="13" s="1"/>
  <c r="G203" i="13"/>
  <c r="H203" i="13" s="1"/>
  <c r="G204" i="13"/>
  <c r="H204" i="13" s="1"/>
  <c r="G205" i="13"/>
  <c r="H205" i="13" s="1"/>
  <c r="G206" i="13"/>
  <c r="H206" i="13" s="1"/>
  <c r="G207" i="13"/>
  <c r="H207" i="13" s="1"/>
  <c r="G208" i="13"/>
  <c r="H208" i="13" s="1"/>
  <c r="G209" i="13"/>
  <c r="H209" i="13" s="1"/>
  <c r="G210" i="13"/>
  <c r="H210" i="13" s="1"/>
  <c r="G211" i="13"/>
  <c r="H211" i="13" s="1"/>
  <c r="G212" i="13"/>
  <c r="H212" i="13" s="1"/>
  <c r="I212" i="13" s="1"/>
  <c r="G213" i="13"/>
  <c r="H213" i="13" s="1"/>
  <c r="G214" i="13"/>
  <c r="H214" i="13" s="1"/>
  <c r="G215" i="13"/>
  <c r="H215" i="13" s="1"/>
  <c r="G216" i="13"/>
  <c r="H216" i="13" s="1"/>
  <c r="G217" i="13"/>
  <c r="H217" i="13" s="1"/>
  <c r="G218" i="13"/>
  <c r="H218" i="13" s="1"/>
  <c r="G219" i="13"/>
  <c r="H219" i="13" s="1"/>
  <c r="G220" i="13"/>
  <c r="H220" i="13" s="1"/>
  <c r="G221" i="13"/>
  <c r="H221" i="13" s="1"/>
  <c r="G222" i="13"/>
  <c r="H222" i="13" s="1"/>
  <c r="G223" i="13"/>
  <c r="H223" i="13" s="1"/>
  <c r="G224" i="13"/>
  <c r="H224" i="13" s="1"/>
  <c r="G225" i="13"/>
  <c r="H225" i="13" s="1"/>
  <c r="G226" i="13"/>
  <c r="H226" i="13" s="1"/>
  <c r="G227" i="13"/>
  <c r="H227" i="13" s="1"/>
  <c r="G228" i="13"/>
  <c r="H228" i="13" s="1"/>
  <c r="G229" i="13"/>
  <c r="H229" i="13" s="1"/>
  <c r="G230" i="13"/>
  <c r="H230" i="13" s="1"/>
  <c r="G231" i="13"/>
  <c r="H231" i="13" s="1"/>
  <c r="G232" i="13"/>
  <c r="H232" i="13" s="1"/>
  <c r="G233" i="13"/>
  <c r="H233" i="13" s="1"/>
  <c r="G234" i="13"/>
  <c r="H234" i="13" s="1"/>
  <c r="G235" i="13"/>
  <c r="H235" i="13" s="1"/>
  <c r="G236" i="13"/>
  <c r="H236" i="13" s="1"/>
  <c r="G237" i="13"/>
  <c r="H237" i="13" s="1"/>
  <c r="G238" i="13"/>
  <c r="H238" i="13" s="1"/>
  <c r="G239" i="13"/>
  <c r="H239" i="13" s="1"/>
  <c r="G240" i="13"/>
  <c r="H240" i="13" s="1"/>
  <c r="G241" i="13"/>
  <c r="H241" i="13" s="1"/>
  <c r="G242" i="13"/>
  <c r="H242" i="13" s="1"/>
  <c r="G243" i="13"/>
  <c r="H243" i="13" s="1"/>
  <c r="G244" i="13"/>
  <c r="H244" i="13" s="1"/>
  <c r="G245" i="13"/>
  <c r="H245" i="13" s="1"/>
  <c r="G246" i="13"/>
  <c r="H246" i="13" s="1"/>
  <c r="G247" i="13"/>
  <c r="H247" i="13" s="1"/>
  <c r="G248" i="13"/>
  <c r="H248" i="13" s="1"/>
  <c r="G249" i="13"/>
  <c r="H249" i="13" s="1"/>
  <c r="G250" i="13"/>
  <c r="H250" i="13" s="1"/>
  <c r="G251" i="13"/>
  <c r="H251" i="13" s="1"/>
  <c r="I251" i="13" s="1"/>
  <c r="G252" i="13"/>
  <c r="H252" i="13" s="1"/>
  <c r="I252" i="13" s="1"/>
  <c r="G253" i="13"/>
  <c r="H253" i="13" s="1"/>
  <c r="G254" i="13"/>
  <c r="H254" i="13" s="1"/>
  <c r="G255" i="13"/>
  <c r="H255" i="13" s="1"/>
  <c r="G256" i="13"/>
  <c r="H256" i="13" s="1"/>
  <c r="G257" i="13"/>
  <c r="H257" i="13" s="1"/>
  <c r="G258" i="13"/>
  <c r="H258" i="13" s="1"/>
  <c r="G259" i="13"/>
  <c r="H259" i="13" s="1"/>
  <c r="G260" i="13"/>
  <c r="H260" i="13" s="1"/>
  <c r="G261" i="13"/>
  <c r="H261" i="13" s="1"/>
  <c r="G262" i="13"/>
  <c r="H262" i="13" s="1"/>
  <c r="G263" i="13"/>
  <c r="H263" i="13" s="1"/>
  <c r="G264" i="13"/>
  <c r="H264" i="13" s="1"/>
  <c r="G265" i="13"/>
  <c r="H265" i="13" s="1"/>
  <c r="G266" i="13"/>
  <c r="H266" i="13" s="1"/>
  <c r="G267" i="13"/>
  <c r="H267" i="13" s="1"/>
  <c r="G268" i="13"/>
  <c r="H268" i="13" s="1"/>
  <c r="G269" i="13"/>
  <c r="H269" i="13" s="1"/>
  <c r="G270" i="13"/>
  <c r="H270" i="13" s="1"/>
  <c r="G271" i="13"/>
  <c r="H271" i="13" s="1"/>
  <c r="G272" i="13"/>
  <c r="H272" i="13" s="1"/>
  <c r="G273" i="13"/>
  <c r="H273" i="13" s="1"/>
  <c r="G274" i="13"/>
  <c r="H274" i="13" s="1"/>
  <c r="G275" i="13"/>
  <c r="H275" i="13" s="1"/>
  <c r="G276" i="13"/>
  <c r="H276" i="13" s="1"/>
  <c r="G277" i="13"/>
  <c r="H277" i="13" s="1"/>
  <c r="G278" i="13"/>
  <c r="H278" i="13" s="1"/>
  <c r="G279" i="13"/>
  <c r="H279" i="13" s="1"/>
  <c r="G280" i="13"/>
  <c r="H280" i="13" s="1"/>
  <c r="G281" i="13"/>
  <c r="H281" i="13" s="1"/>
  <c r="G282" i="13"/>
  <c r="H282" i="13" s="1"/>
  <c r="G283" i="13"/>
  <c r="H283" i="13" s="1"/>
  <c r="G284" i="13"/>
  <c r="H284" i="13" s="1"/>
  <c r="G285" i="13"/>
  <c r="H285" i="13" s="1"/>
  <c r="G286" i="13"/>
  <c r="H286" i="13" s="1"/>
  <c r="G287" i="13"/>
  <c r="H287" i="13" s="1"/>
  <c r="G288" i="13"/>
  <c r="H288" i="13" s="1"/>
  <c r="G289" i="13"/>
  <c r="H289" i="13" s="1"/>
  <c r="G290" i="13"/>
  <c r="H290" i="13" s="1"/>
  <c r="G291" i="13"/>
  <c r="H291" i="13" s="1"/>
  <c r="G292" i="13"/>
  <c r="H292" i="13" s="1"/>
  <c r="G293" i="13"/>
  <c r="H293" i="13" s="1"/>
  <c r="G294" i="13"/>
  <c r="H294" i="13" s="1"/>
  <c r="G295" i="13"/>
  <c r="H295" i="13" s="1"/>
  <c r="G296" i="13"/>
  <c r="H296" i="13" s="1"/>
  <c r="G297" i="13"/>
  <c r="H297" i="13" s="1"/>
  <c r="G298" i="13"/>
  <c r="H298" i="13" s="1"/>
  <c r="G299" i="13"/>
  <c r="H299" i="13" s="1"/>
  <c r="G300" i="13"/>
  <c r="H300" i="13" s="1"/>
  <c r="G301" i="13"/>
  <c r="H301" i="13" s="1"/>
  <c r="G302" i="13"/>
  <c r="H302" i="13" s="1"/>
  <c r="G303" i="13"/>
  <c r="H303" i="13" s="1"/>
  <c r="G304" i="13"/>
  <c r="H304" i="13" s="1"/>
  <c r="G305" i="13"/>
  <c r="H305" i="13" s="1"/>
  <c r="G306" i="13"/>
  <c r="H306" i="13" s="1"/>
  <c r="G307" i="13"/>
  <c r="H307" i="13" s="1"/>
  <c r="G308" i="13"/>
  <c r="H308" i="13" s="1"/>
  <c r="G309" i="13"/>
  <c r="H309" i="13" s="1"/>
  <c r="G310" i="13"/>
  <c r="H310" i="13" s="1"/>
  <c r="G311" i="13"/>
  <c r="H311" i="13" s="1"/>
  <c r="G312" i="13"/>
  <c r="H312" i="13" s="1"/>
  <c r="G313" i="13"/>
  <c r="H313" i="13" s="1"/>
  <c r="G314" i="13"/>
  <c r="H314" i="13" s="1"/>
  <c r="G315" i="13"/>
  <c r="H315" i="13" s="1"/>
  <c r="I315" i="13" s="1"/>
  <c r="G316" i="13"/>
  <c r="H316" i="13" s="1"/>
  <c r="G317" i="13"/>
  <c r="H317" i="13" s="1"/>
  <c r="G318" i="13"/>
  <c r="H318" i="13" s="1"/>
  <c r="G319" i="13"/>
  <c r="H319" i="13" s="1"/>
  <c r="G320" i="13"/>
  <c r="H320" i="13" s="1"/>
  <c r="G321" i="13"/>
  <c r="H321" i="13" s="1"/>
  <c r="G322" i="13"/>
  <c r="H322" i="13" s="1"/>
  <c r="G323" i="13"/>
  <c r="H323" i="13" s="1"/>
  <c r="G324" i="13"/>
  <c r="H324" i="13" s="1"/>
  <c r="G325" i="13"/>
  <c r="H325" i="13" s="1"/>
  <c r="G326" i="13"/>
  <c r="H326" i="13" s="1"/>
  <c r="G327" i="13"/>
  <c r="H327" i="13" s="1"/>
  <c r="G328" i="13"/>
  <c r="H328" i="13" s="1"/>
  <c r="G329" i="13"/>
  <c r="H329" i="13" s="1"/>
  <c r="G330" i="13"/>
  <c r="H330" i="13" s="1"/>
  <c r="G331" i="13"/>
  <c r="H331" i="13" s="1"/>
  <c r="G332" i="13"/>
  <c r="H332" i="13" s="1"/>
  <c r="G333" i="13"/>
  <c r="H333" i="13" s="1"/>
  <c r="G334" i="13"/>
  <c r="H334" i="13" s="1"/>
  <c r="G335" i="13"/>
  <c r="H335" i="13" s="1"/>
  <c r="I335" i="13" s="1"/>
  <c r="G336" i="13"/>
  <c r="H336" i="13" s="1"/>
  <c r="G337" i="13"/>
  <c r="H337" i="13" s="1"/>
  <c r="G338" i="13"/>
  <c r="H338" i="13" s="1"/>
  <c r="G339" i="13"/>
  <c r="H339" i="13" s="1"/>
  <c r="G340" i="13"/>
  <c r="H340" i="13" s="1"/>
  <c r="G341" i="13"/>
  <c r="H341" i="13" s="1"/>
  <c r="G342" i="13"/>
  <c r="H342" i="13" s="1"/>
  <c r="G343" i="13"/>
  <c r="H343" i="13" s="1"/>
  <c r="G344" i="13"/>
  <c r="H344" i="13" s="1"/>
  <c r="G345" i="13"/>
  <c r="H345" i="13" s="1"/>
  <c r="G346" i="13"/>
  <c r="H346" i="13" s="1"/>
  <c r="G347" i="13"/>
  <c r="H347" i="13" s="1"/>
  <c r="G348" i="13"/>
  <c r="H348" i="13" s="1"/>
  <c r="G349" i="13"/>
  <c r="H349" i="13" s="1"/>
  <c r="G350" i="13"/>
  <c r="H350" i="13" s="1"/>
  <c r="G351" i="13"/>
  <c r="H351" i="13" s="1"/>
  <c r="G352" i="13"/>
  <c r="H352" i="13" s="1"/>
  <c r="G353" i="13"/>
  <c r="H353" i="13" s="1"/>
  <c r="G354" i="13"/>
  <c r="H354" i="13" s="1"/>
  <c r="G355" i="13"/>
  <c r="H355" i="13" s="1"/>
  <c r="G356" i="13"/>
  <c r="H356" i="13" s="1"/>
  <c r="G357" i="13"/>
  <c r="H357" i="13" s="1"/>
  <c r="G358" i="13"/>
  <c r="H358" i="13" s="1"/>
  <c r="G359" i="13"/>
  <c r="H359" i="13" s="1"/>
  <c r="G360" i="13"/>
  <c r="H360" i="13" s="1"/>
  <c r="G361" i="13"/>
  <c r="H361" i="13" s="1"/>
  <c r="G362" i="13"/>
  <c r="H362" i="13" s="1"/>
  <c r="G363" i="13"/>
  <c r="H363" i="13" s="1"/>
  <c r="G364" i="13"/>
  <c r="H364" i="13" s="1"/>
  <c r="G365" i="13"/>
  <c r="H365" i="13" s="1"/>
  <c r="G366" i="13"/>
  <c r="H366" i="13" s="1"/>
  <c r="G367" i="13"/>
  <c r="H367" i="13" s="1"/>
  <c r="G368" i="13"/>
  <c r="H368" i="13" s="1"/>
  <c r="G369" i="13"/>
  <c r="H369" i="13" s="1"/>
  <c r="G370" i="13"/>
  <c r="H370" i="13" s="1"/>
  <c r="G371" i="13"/>
  <c r="H371" i="13" s="1"/>
  <c r="G372" i="13"/>
  <c r="H372" i="13" s="1"/>
  <c r="G373" i="13"/>
  <c r="H373" i="13" s="1"/>
  <c r="G374" i="13"/>
  <c r="H374" i="13" s="1"/>
  <c r="G375" i="13"/>
  <c r="H375" i="13" s="1"/>
  <c r="I375" i="13" s="1"/>
  <c r="G376" i="13"/>
  <c r="H376" i="13" s="1"/>
  <c r="G377" i="13"/>
  <c r="H377" i="13" s="1"/>
  <c r="G378" i="13"/>
  <c r="H378" i="13" s="1"/>
  <c r="G379" i="13"/>
  <c r="H379" i="13" s="1"/>
  <c r="G380" i="13"/>
  <c r="H380" i="13" s="1"/>
  <c r="G381" i="13"/>
  <c r="H381" i="13" s="1"/>
  <c r="G382" i="13"/>
  <c r="H382" i="13" s="1"/>
  <c r="G383" i="13"/>
  <c r="H383" i="13" s="1"/>
  <c r="G384" i="13"/>
  <c r="H384" i="13" s="1"/>
  <c r="G385" i="13"/>
  <c r="H385" i="13" s="1"/>
  <c r="G386" i="13"/>
  <c r="H386" i="13" s="1"/>
  <c r="G387" i="13"/>
  <c r="H387" i="13" s="1"/>
  <c r="G388" i="13"/>
  <c r="H388" i="13" s="1"/>
  <c r="G389" i="13"/>
  <c r="H389" i="13" s="1"/>
  <c r="G390" i="13"/>
  <c r="H390" i="13" s="1"/>
  <c r="G391" i="13"/>
  <c r="H391" i="13" s="1"/>
  <c r="G392" i="13"/>
  <c r="H392" i="13" s="1"/>
  <c r="G393" i="13"/>
  <c r="H393" i="13" s="1"/>
  <c r="G394" i="13"/>
  <c r="H394" i="13" s="1"/>
  <c r="G395" i="13"/>
  <c r="H395" i="13" s="1"/>
  <c r="G396" i="13"/>
  <c r="H396" i="13" s="1"/>
  <c r="G397" i="13"/>
  <c r="H397" i="13" s="1"/>
  <c r="G398" i="13"/>
  <c r="H398" i="13" s="1"/>
  <c r="G399" i="13"/>
  <c r="H399" i="13" s="1"/>
  <c r="G400" i="13"/>
  <c r="H400" i="13" s="1"/>
  <c r="G401" i="13"/>
  <c r="H401" i="13" s="1"/>
  <c r="G402" i="13"/>
  <c r="H402" i="13" s="1"/>
  <c r="G403" i="13"/>
  <c r="H403" i="13" s="1"/>
  <c r="G404" i="13"/>
  <c r="H404" i="13" s="1"/>
  <c r="G405" i="13"/>
  <c r="H405" i="13" s="1"/>
  <c r="G406" i="13"/>
  <c r="H406" i="13" s="1"/>
  <c r="G407" i="13"/>
  <c r="H407" i="13" s="1"/>
  <c r="G408" i="13"/>
  <c r="H408" i="13" s="1"/>
  <c r="G409" i="13"/>
  <c r="H409" i="13" s="1"/>
  <c r="G410" i="13"/>
  <c r="H410" i="13" s="1"/>
  <c r="G411" i="13"/>
  <c r="H411" i="13" s="1"/>
  <c r="G412" i="13"/>
  <c r="H412" i="13" s="1"/>
  <c r="G413" i="13"/>
  <c r="H413" i="13" s="1"/>
  <c r="G414" i="13"/>
  <c r="H414" i="13" s="1"/>
  <c r="I414" i="13" s="1"/>
  <c r="G415" i="13"/>
  <c r="H415" i="13" s="1"/>
  <c r="G416" i="13"/>
  <c r="H416" i="13" s="1"/>
  <c r="G417" i="13"/>
  <c r="H417" i="13" s="1"/>
  <c r="G418" i="13"/>
  <c r="H418" i="13" s="1"/>
  <c r="G419" i="13"/>
  <c r="H419" i="13" s="1"/>
  <c r="G420" i="13"/>
  <c r="H420" i="13" s="1"/>
  <c r="G421" i="13"/>
  <c r="H421" i="13" s="1"/>
  <c r="G422" i="13"/>
  <c r="H422" i="13" s="1"/>
  <c r="G423" i="13"/>
  <c r="H423" i="13" s="1"/>
  <c r="G424" i="13"/>
  <c r="H424" i="13" s="1"/>
  <c r="G425" i="13"/>
  <c r="H425" i="13" s="1"/>
  <c r="G426" i="13"/>
  <c r="H426" i="13" s="1"/>
  <c r="G427" i="13"/>
  <c r="H427" i="13" s="1"/>
  <c r="G428" i="13"/>
  <c r="H428" i="13" s="1"/>
  <c r="G429" i="13"/>
  <c r="H429" i="13" s="1"/>
  <c r="G430" i="13"/>
  <c r="H430" i="13" s="1"/>
  <c r="G431" i="13"/>
  <c r="H431" i="13" s="1"/>
  <c r="G432" i="13"/>
  <c r="H432" i="13" s="1"/>
  <c r="G433" i="13"/>
  <c r="H433" i="13" s="1"/>
  <c r="G434" i="13"/>
  <c r="H434" i="13" s="1"/>
  <c r="G435" i="13"/>
  <c r="H435" i="13" s="1"/>
  <c r="G436" i="13"/>
  <c r="H436" i="13" s="1"/>
  <c r="G437" i="13"/>
  <c r="H437" i="13" s="1"/>
  <c r="G438" i="13"/>
  <c r="H438" i="13" s="1"/>
  <c r="G439" i="13"/>
  <c r="H439" i="13" s="1"/>
  <c r="G440" i="13"/>
  <c r="H440" i="13" s="1"/>
  <c r="G441" i="13"/>
  <c r="G442" i="13"/>
  <c r="H442" i="13" s="1"/>
  <c r="G443" i="13"/>
  <c r="H443" i="13" s="1"/>
  <c r="G444" i="13"/>
  <c r="H444" i="13" s="1"/>
  <c r="G445" i="13"/>
  <c r="H445" i="13" s="1"/>
  <c r="G446" i="13"/>
  <c r="H446" i="13" s="1"/>
  <c r="G447" i="13"/>
  <c r="H447" i="13" s="1"/>
  <c r="G448" i="13"/>
  <c r="H448" i="13" s="1"/>
  <c r="G449" i="13"/>
  <c r="H449" i="13" s="1"/>
  <c r="G450" i="13"/>
  <c r="H450" i="13" s="1"/>
  <c r="G451" i="13"/>
  <c r="H451" i="13" s="1"/>
  <c r="G452" i="13"/>
  <c r="H452" i="13" s="1"/>
  <c r="G453" i="13"/>
  <c r="H453" i="13" s="1"/>
  <c r="G454" i="13"/>
  <c r="H454" i="13" s="1"/>
  <c r="I454" i="13" s="1"/>
  <c r="G455" i="13"/>
  <c r="H455" i="13" s="1"/>
  <c r="G456" i="13"/>
  <c r="H456" i="13" s="1"/>
  <c r="G457" i="13"/>
  <c r="H457" i="13" s="1"/>
  <c r="G458" i="13"/>
  <c r="H458" i="13" s="1"/>
  <c r="G459" i="13"/>
  <c r="H459" i="13" s="1"/>
  <c r="G460" i="13"/>
  <c r="H460" i="13" s="1"/>
  <c r="G461" i="13"/>
  <c r="H461" i="13" s="1"/>
  <c r="G462" i="13"/>
  <c r="H462" i="13" s="1"/>
  <c r="G463" i="13"/>
  <c r="H463" i="13" s="1"/>
  <c r="G464" i="13"/>
  <c r="H464" i="13" s="1"/>
  <c r="G465" i="13"/>
  <c r="H465" i="13" s="1"/>
  <c r="G466" i="13"/>
  <c r="H466" i="13" s="1"/>
  <c r="G467" i="13"/>
  <c r="H467" i="13" s="1"/>
  <c r="G468" i="13"/>
  <c r="H468" i="13" s="1"/>
  <c r="G469" i="13"/>
  <c r="H469" i="13" s="1"/>
  <c r="G470" i="13"/>
  <c r="H470" i="13" s="1"/>
  <c r="G471" i="13"/>
  <c r="H471" i="13" s="1"/>
  <c r="G472" i="13"/>
  <c r="H472" i="13" s="1"/>
  <c r="G473" i="13"/>
  <c r="H473" i="13" s="1"/>
  <c r="G474" i="13"/>
  <c r="H474" i="13" s="1"/>
  <c r="G475" i="13"/>
  <c r="H475" i="13" s="1"/>
  <c r="G476" i="13"/>
  <c r="H476" i="13" s="1"/>
  <c r="G477" i="13"/>
  <c r="H477" i="13" s="1"/>
  <c r="G478" i="13"/>
  <c r="H478" i="13" s="1"/>
  <c r="G479" i="13"/>
  <c r="H479" i="13" s="1"/>
  <c r="G480" i="13"/>
  <c r="H480" i="13" s="1"/>
  <c r="G481" i="13"/>
  <c r="H481" i="13" s="1"/>
  <c r="G482" i="13"/>
  <c r="H482" i="13" s="1"/>
  <c r="G485" i="13"/>
  <c r="H485" i="13" s="1"/>
  <c r="G486" i="13"/>
  <c r="H486" i="13" s="1"/>
  <c r="G487" i="13"/>
  <c r="H487" i="13" s="1"/>
  <c r="G488" i="13"/>
  <c r="H488" i="13" s="1"/>
  <c r="G489" i="13"/>
  <c r="H489" i="13" s="1"/>
  <c r="G490" i="13"/>
  <c r="H490" i="13" s="1"/>
  <c r="G491" i="13"/>
  <c r="H491" i="13" s="1"/>
  <c r="G492" i="13"/>
  <c r="H492" i="13" s="1"/>
  <c r="G493" i="13"/>
  <c r="H493" i="13" s="1"/>
  <c r="G494" i="13"/>
  <c r="H494" i="13" s="1"/>
  <c r="G495" i="13"/>
  <c r="H495" i="13" s="1"/>
  <c r="G496" i="13"/>
  <c r="H496" i="13" s="1"/>
  <c r="G497" i="13"/>
  <c r="H497" i="13" s="1"/>
  <c r="G498" i="13"/>
  <c r="H498" i="13" s="1"/>
  <c r="G499" i="13"/>
  <c r="H499" i="13" s="1"/>
  <c r="G500" i="13"/>
  <c r="H500" i="13" s="1"/>
  <c r="G501" i="13"/>
  <c r="H501" i="13" s="1"/>
  <c r="G502" i="13"/>
  <c r="H502" i="13" s="1"/>
  <c r="G503" i="13"/>
  <c r="H503" i="13" s="1"/>
  <c r="G504" i="13"/>
  <c r="H504" i="13" s="1"/>
  <c r="G505" i="13"/>
  <c r="H505" i="13" s="1"/>
  <c r="G506" i="13"/>
  <c r="H506" i="13" s="1"/>
  <c r="G507" i="13"/>
  <c r="H507" i="13" s="1"/>
  <c r="G508" i="13"/>
  <c r="H508" i="13" s="1"/>
  <c r="G509" i="13"/>
  <c r="H509" i="13" s="1"/>
  <c r="G510" i="13"/>
  <c r="H510" i="13" s="1"/>
  <c r="G511" i="13"/>
  <c r="H511" i="13" s="1"/>
  <c r="G512" i="13"/>
  <c r="H512" i="13" s="1"/>
  <c r="G513" i="13"/>
  <c r="H513" i="13" s="1"/>
  <c r="G514" i="13"/>
  <c r="H514" i="13" s="1"/>
  <c r="G515" i="13"/>
  <c r="H515" i="13" s="1"/>
  <c r="G516" i="13"/>
  <c r="H516" i="13" s="1"/>
  <c r="G517" i="13"/>
  <c r="H517" i="13" s="1"/>
  <c r="G518" i="13"/>
  <c r="H518" i="13" s="1"/>
  <c r="G519" i="13"/>
  <c r="H519" i="13" s="1"/>
  <c r="G520" i="13"/>
  <c r="H520" i="13" s="1"/>
  <c r="G521" i="13"/>
  <c r="H521" i="13" s="1"/>
  <c r="G522" i="13"/>
  <c r="H522" i="13" s="1"/>
  <c r="G523" i="13"/>
  <c r="H523" i="13" s="1"/>
  <c r="G524" i="13"/>
  <c r="H524" i="13" s="1"/>
  <c r="G525" i="13"/>
  <c r="H525" i="13" s="1"/>
  <c r="G526" i="13"/>
  <c r="H526" i="13" s="1"/>
  <c r="G527" i="13"/>
  <c r="H527" i="13" s="1"/>
  <c r="G528" i="13"/>
  <c r="H528" i="13" s="1"/>
  <c r="G529" i="13"/>
  <c r="H529" i="13" s="1"/>
  <c r="G530" i="13"/>
  <c r="H530" i="13" s="1"/>
  <c r="G531" i="13"/>
  <c r="H531" i="13" s="1"/>
  <c r="G532" i="13"/>
  <c r="H532" i="13" s="1"/>
  <c r="G533" i="13"/>
  <c r="H533" i="13" s="1"/>
  <c r="G534" i="13"/>
  <c r="H534" i="13" s="1"/>
  <c r="G535" i="13"/>
  <c r="H535" i="13" s="1"/>
  <c r="G536" i="13"/>
  <c r="H536" i="13" s="1"/>
  <c r="G537" i="13"/>
  <c r="H537" i="13" s="1"/>
  <c r="G538" i="13"/>
  <c r="H538" i="13" s="1"/>
  <c r="G539" i="13"/>
  <c r="H539" i="13" s="1"/>
  <c r="G540" i="13"/>
  <c r="H540" i="13" s="1"/>
  <c r="G541" i="13"/>
  <c r="H541" i="13" s="1"/>
  <c r="G542" i="13"/>
  <c r="H542" i="13" s="1"/>
  <c r="G543" i="13"/>
  <c r="H543" i="13" s="1"/>
  <c r="G544" i="13"/>
  <c r="H544" i="13" s="1"/>
  <c r="G545" i="13"/>
  <c r="H545" i="13" s="1"/>
  <c r="G546" i="13"/>
  <c r="H546" i="13" s="1"/>
  <c r="G547" i="13"/>
  <c r="H547" i="13" s="1"/>
  <c r="G548" i="13"/>
  <c r="H548" i="13" s="1"/>
  <c r="G549" i="13"/>
  <c r="H549" i="13" s="1"/>
  <c r="G550" i="13"/>
  <c r="H550" i="13" s="1"/>
  <c r="G551" i="13"/>
  <c r="H551" i="13" s="1"/>
  <c r="G552" i="13"/>
  <c r="H552" i="13" s="1"/>
  <c r="G553" i="13"/>
  <c r="H553" i="13" s="1"/>
  <c r="G554" i="13"/>
  <c r="H554" i="13" s="1"/>
  <c r="G555" i="13"/>
  <c r="H555" i="13" s="1"/>
  <c r="G556" i="13"/>
  <c r="H556" i="13" s="1"/>
  <c r="G557" i="13"/>
  <c r="H557" i="13" s="1"/>
  <c r="G558" i="13"/>
  <c r="H558" i="13" s="1"/>
  <c r="G559" i="13"/>
  <c r="H559" i="13" s="1"/>
  <c r="G560" i="13"/>
  <c r="H560" i="13" s="1"/>
  <c r="G561" i="13"/>
  <c r="H561" i="13" s="1"/>
  <c r="G562" i="13"/>
  <c r="H562" i="13" s="1"/>
  <c r="G563" i="13"/>
  <c r="H563" i="13" s="1"/>
  <c r="G564" i="13"/>
  <c r="H564" i="13" s="1"/>
  <c r="G565" i="13"/>
  <c r="H565" i="13" s="1"/>
  <c r="G566" i="13"/>
  <c r="H566" i="13" s="1"/>
  <c r="G567" i="13"/>
  <c r="H567" i="13" s="1"/>
  <c r="G568" i="13"/>
  <c r="H568" i="13" s="1"/>
  <c r="G569" i="13"/>
  <c r="H569" i="13" s="1"/>
  <c r="G570" i="13"/>
  <c r="H570" i="13" s="1"/>
  <c r="G571" i="13"/>
  <c r="H571" i="13" s="1"/>
  <c r="G572" i="13"/>
  <c r="H572" i="13" s="1"/>
  <c r="G573" i="13"/>
  <c r="H573" i="13" s="1"/>
  <c r="G574" i="13"/>
  <c r="H574" i="13" s="1"/>
  <c r="G575" i="13"/>
  <c r="H575" i="13" s="1"/>
  <c r="G576" i="13"/>
  <c r="H576" i="13" s="1"/>
  <c r="G577" i="13"/>
  <c r="H577" i="13" s="1"/>
  <c r="G578" i="13"/>
  <c r="H578" i="13" s="1"/>
  <c r="G579" i="13"/>
  <c r="H579" i="13" s="1"/>
  <c r="G580" i="13"/>
  <c r="H580" i="13" s="1"/>
  <c r="G581" i="13"/>
  <c r="H581" i="13" s="1"/>
  <c r="G582" i="13"/>
  <c r="H582" i="13" s="1"/>
  <c r="G583" i="13"/>
  <c r="H583" i="13" s="1"/>
  <c r="G584" i="13"/>
  <c r="H584" i="13" s="1"/>
  <c r="G585" i="13"/>
  <c r="H585" i="13" s="1"/>
  <c r="G586" i="13"/>
  <c r="H586" i="13" s="1"/>
  <c r="G587" i="13"/>
  <c r="H587" i="13" s="1"/>
  <c r="G588" i="13"/>
  <c r="H588" i="13" s="1"/>
  <c r="G589" i="13"/>
  <c r="H589" i="13" s="1"/>
  <c r="G590" i="13"/>
  <c r="H590" i="13" s="1"/>
  <c r="G591" i="13"/>
  <c r="H591" i="13" s="1"/>
  <c r="G592" i="13"/>
  <c r="H592" i="13" s="1"/>
  <c r="G593" i="13"/>
  <c r="H593" i="13" s="1"/>
  <c r="G594" i="13"/>
  <c r="H594" i="13" s="1"/>
  <c r="G595" i="13"/>
  <c r="H595" i="13" s="1"/>
  <c r="G596" i="13"/>
  <c r="H596" i="13" s="1"/>
  <c r="G597" i="13"/>
  <c r="H597" i="13" s="1"/>
  <c r="G598" i="13"/>
  <c r="H598" i="13" s="1"/>
  <c r="G599" i="13"/>
  <c r="H599" i="13" s="1"/>
  <c r="G600" i="13"/>
  <c r="H600" i="13" s="1"/>
  <c r="G601" i="13"/>
  <c r="H601" i="13" s="1"/>
  <c r="G602" i="13"/>
  <c r="H602" i="13" s="1"/>
  <c r="G603" i="13"/>
  <c r="H603" i="13" s="1"/>
  <c r="G604" i="13"/>
  <c r="H604" i="13" s="1"/>
  <c r="G605" i="13"/>
  <c r="H605" i="13" s="1"/>
  <c r="G606" i="13"/>
  <c r="H606" i="13" s="1"/>
  <c r="G607" i="13"/>
  <c r="H607" i="13" s="1"/>
  <c r="G608" i="13"/>
  <c r="H608" i="13" s="1"/>
  <c r="G609" i="13"/>
  <c r="H609" i="13" s="1"/>
  <c r="G610" i="13"/>
  <c r="H610" i="13" s="1"/>
  <c r="G611" i="13"/>
  <c r="H611" i="13" s="1"/>
  <c r="G612" i="13"/>
  <c r="H612" i="13" s="1"/>
  <c r="G613" i="13"/>
  <c r="H613" i="13" s="1"/>
  <c r="G614" i="13"/>
  <c r="H614" i="13" s="1"/>
  <c r="G615" i="13"/>
  <c r="H615" i="13" s="1"/>
  <c r="G616" i="13"/>
  <c r="H616" i="13" s="1"/>
  <c r="G617" i="13"/>
  <c r="H617" i="13" s="1"/>
  <c r="G618" i="13"/>
  <c r="H618" i="13" s="1"/>
  <c r="G619" i="13"/>
  <c r="H619" i="13" s="1"/>
  <c r="G620" i="13"/>
  <c r="H620" i="13" s="1"/>
  <c r="G621" i="13"/>
  <c r="H621" i="13" s="1"/>
  <c r="G622" i="13"/>
  <c r="H622" i="13" s="1"/>
  <c r="G623" i="13"/>
  <c r="H623" i="13" s="1"/>
  <c r="G624" i="13"/>
  <c r="H624" i="13" s="1"/>
  <c r="G625" i="13"/>
  <c r="H625" i="13" s="1"/>
  <c r="G626" i="13"/>
  <c r="H626" i="13" s="1"/>
  <c r="G627" i="13"/>
  <c r="H627" i="13" s="1"/>
  <c r="G628" i="13"/>
  <c r="H628" i="13" s="1"/>
  <c r="G629" i="13"/>
  <c r="H629" i="13" s="1"/>
  <c r="G630" i="13"/>
  <c r="H630" i="13" s="1"/>
  <c r="G631" i="13"/>
  <c r="H631" i="13" s="1"/>
  <c r="G632" i="13"/>
  <c r="H632" i="13" s="1"/>
  <c r="G633" i="13"/>
  <c r="H633" i="13" s="1"/>
  <c r="G634" i="13"/>
  <c r="H634" i="13" s="1"/>
  <c r="G635" i="13"/>
  <c r="H635" i="13" s="1"/>
  <c r="G636" i="13"/>
  <c r="H636" i="13" s="1"/>
  <c r="G637" i="13"/>
  <c r="H637" i="13" s="1"/>
  <c r="G638" i="13"/>
  <c r="H638" i="13" s="1"/>
  <c r="G639" i="13"/>
  <c r="H639" i="13" s="1"/>
  <c r="G640" i="13"/>
  <c r="H640" i="13" s="1"/>
  <c r="G641" i="13"/>
  <c r="H641" i="13" s="1"/>
  <c r="G642" i="13"/>
  <c r="H642" i="13" s="1"/>
  <c r="G643" i="13"/>
  <c r="H643" i="13" s="1"/>
  <c r="G644" i="13"/>
  <c r="H644" i="13" s="1"/>
  <c r="G645" i="13"/>
  <c r="H645" i="13" s="1"/>
  <c r="G646" i="13"/>
  <c r="H646" i="13" s="1"/>
  <c r="G647" i="13"/>
  <c r="H647" i="13" s="1"/>
  <c r="G648" i="13"/>
  <c r="H648" i="13" s="1"/>
  <c r="G649" i="13"/>
  <c r="H649" i="13" s="1"/>
  <c r="G650" i="13"/>
  <c r="H650" i="13" s="1"/>
  <c r="G651" i="13"/>
  <c r="H651" i="13" s="1"/>
  <c r="G652" i="13"/>
  <c r="H652" i="13" s="1"/>
  <c r="G653" i="13"/>
  <c r="H653" i="13" s="1"/>
  <c r="G654" i="13"/>
  <c r="H654" i="13" s="1"/>
  <c r="G655" i="13"/>
  <c r="H655" i="13" s="1"/>
  <c r="G656" i="13"/>
  <c r="H656" i="13" s="1"/>
  <c r="G657" i="13"/>
  <c r="H657" i="13" s="1"/>
  <c r="G658" i="13"/>
  <c r="H658" i="13" s="1"/>
  <c r="G659" i="13"/>
  <c r="H659" i="13" s="1"/>
  <c r="G660" i="13"/>
  <c r="H660" i="13" s="1"/>
  <c r="G661" i="13"/>
  <c r="H661" i="13" s="1"/>
  <c r="G662" i="13"/>
  <c r="H662" i="13" s="1"/>
  <c r="G663" i="13"/>
  <c r="H663" i="13" s="1"/>
  <c r="G664" i="13"/>
  <c r="H664" i="13" s="1"/>
  <c r="G665" i="13"/>
  <c r="H665" i="13" s="1"/>
  <c r="G666" i="13"/>
  <c r="H666" i="13" s="1"/>
  <c r="G667" i="13"/>
  <c r="H667" i="13" s="1"/>
  <c r="G668" i="13"/>
  <c r="H668" i="13" s="1"/>
  <c r="G669" i="13"/>
  <c r="H669" i="13" s="1"/>
  <c r="G670" i="13"/>
  <c r="H670" i="13" s="1"/>
  <c r="G671" i="13"/>
  <c r="H671" i="13" s="1"/>
  <c r="G672" i="13"/>
  <c r="H672" i="13" s="1"/>
  <c r="G673" i="13"/>
  <c r="H673" i="13" s="1"/>
  <c r="G674" i="13"/>
  <c r="H674" i="13" s="1"/>
  <c r="G675" i="13"/>
  <c r="H675" i="13" s="1"/>
  <c r="G676" i="13"/>
  <c r="H676" i="13" s="1"/>
  <c r="G677" i="13"/>
  <c r="H677" i="13" s="1"/>
  <c r="G678" i="13"/>
  <c r="H678" i="13" s="1"/>
  <c r="G679" i="13"/>
  <c r="H679" i="13" s="1"/>
  <c r="G680" i="13"/>
  <c r="H680" i="13" s="1"/>
  <c r="G681" i="13"/>
  <c r="H681" i="13" s="1"/>
  <c r="G682" i="13"/>
  <c r="H682" i="13" s="1"/>
  <c r="G683" i="13"/>
  <c r="H683" i="13" s="1"/>
  <c r="G684" i="13"/>
  <c r="H684" i="13" s="1"/>
  <c r="G685" i="13"/>
  <c r="H685" i="13" s="1"/>
  <c r="G686" i="13"/>
  <c r="H686" i="13" s="1"/>
  <c r="G687" i="13"/>
  <c r="H687" i="13" s="1"/>
  <c r="G688" i="13"/>
  <c r="H688" i="13" s="1"/>
  <c r="G689" i="13"/>
  <c r="H689" i="13" s="1"/>
  <c r="G690" i="13"/>
  <c r="H690" i="13" s="1"/>
  <c r="G691" i="13"/>
  <c r="H691" i="13" s="1"/>
  <c r="G692" i="13"/>
  <c r="H692" i="13" s="1"/>
  <c r="G693" i="13"/>
  <c r="H693" i="13" s="1"/>
  <c r="G694" i="13"/>
  <c r="H694" i="13" s="1"/>
  <c r="G695" i="13"/>
  <c r="H695" i="13" s="1"/>
  <c r="G696" i="13"/>
  <c r="H696" i="13" s="1"/>
  <c r="G697" i="13"/>
  <c r="H697" i="13" s="1"/>
  <c r="G698" i="13"/>
  <c r="H698" i="13" s="1"/>
  <c r="G699" i="13"/>
  <c r="H699" i="13" s="1"/>
  <c r="G700" i="13"/>
  <c r="H700" i="13" s="1"/>
  <c r="G701" i="13"/>
  <c r="H701" i="13" s="1"/>
  <c r="G702" i="13"/>
  <c r="H702" i="13" s="1"/>
  <c r="G703" i="13"/>
  <c r="H703" i="13" s="1"/>
  <c r="G704" i="13"/>
  <c r="H704" i="13" s="1"/>
  <c r="G705" i="13"/>
  <c r="H705" i="13" s="1"/>
  <c r="G706" i="13"/>
  <c r="H706" i="13" s="1"/>
  <c r="G707" i="13"/>
  <c r="H707" i="13" s="1"/>
  <c r="G708" i="13"/>
  <c r="H708" i="13" s="1"/>
  <c r="G709" i="13"/>
  <c r="H709" i="13" s="1"/>
  <c r="G710" i="13"/>
  <c r="H710" i="13" s="1"/>
  <c r="G711" i="13"/>
  <c r="H711" i="13" s="1"/>
  <c r="G712" i="13"/>
  <c r="H712" i="13" s="1"/>
  <c r="G713" i="13"/>
  <c r="H713" i="13" s="1"/>
  <c r="G714" i="13"/>
  <c r="H714" i="13" s="1"/>
  <c r="G715" i="13"/>
  <c r="H715" i="13" s="1"/>
  <c r="G716" i="13"/>
  <c r="H716" i="13" s="1"/>
  <c r="G717" i="13"/>
  <c r="H717" i="13" s="1"/>
  <c r="G718" i="13"/>
  <c r="H718" i="13" s="1"/>
  <c r="G719" i="13"/>
  <c r="H719" i="13" s="1"/>
  <c r="G720" i="13"/>
  <c r="H720" i="13" s="1"/>
  <c r="G721" i="13"/>
  <c r="H721" i="13" s="1"/>
  <c r="G722" i="13"/>
  <c r="H722" i="13" s="1"/>
  <c r="G723" i="13"/>
  <c r="H723" i="13" s="1"/>
  <c r="G724" i="13"/>
  <c r="H724" i="13" s="1"/>
  <c r="G725" i="13"/>
  <c r="H725" i="13" s="1"/>
  <c r="G726" i="13"/>
  <c r="H726" i="13" s="1"/>
  <c r="G727" i="13"/>
  <c r="H727" i="13" s="1"/>
  <c r="G728" i="13"/>
  <c r="H728" i="13" s="1"/>
  <c r="G729" i="13"/>
  <c r="H729" i="13" s="1"/>
  <c r="G730" i="13"/>
  <c r="H730" i="13" s="1"/>
  <c r="G731" i="13"/>
  <c r="H731" i="13" s="1"/>
  <c r="G732" i="13"/>
  <c r="H732" i="13" s="1"/>
  <c r="G733" i="13"/>
  <c r="H733" i="13" s="1"/>
  <c r="G734" i="13"/>
  <c r="H734" i="13" s="1"/>
  <c r="G735" i="13"/>
  <c r="H735" i="13" s="1"/>
  <c r="G736" i="13"/>
  <c r="H736" i="13" s="1"/>
  <c r="G737" i="13"/>
  <c r="H737" i="13" s="1"/>
  <c r="G738" i="13"/>
  <c r="H738" i="13" s="1"/>
  <c r="G739" i="13"/>
  <c r="H739" i="13" s="1"/>
  <c r="G740" i="13"/>
  <c r="H740" i="13" s="1"/>
  <c r="G741" i="13"/>
  <c r="H741" i="13" s="1"/>
  <c r="G742" i="13"/>
  <c r="H742" i="13" s="1"/>
  <c r="G743" i="13"/>
  <c r="H743" i="13" s="1"/>
  <c r="G744" i="13"/>
  <c r="H744" i="13" s="1"/>
  <c r="G745" i="13"/>
  <c r="H745" i="13" s="1"/>
  <c r="G746" i="13"/>
  <c r="H746" i="13" s="1"/>
  <c r="G747" i="13"/>
  <c r="H747" i="13" s="1"/>
  <c r="G748" i="13"/>
  <c r="H748" i="13" s="1"/>
  <c r="E86" i="12"/>
  <c r="G86" i="12" s="1"/>
  <c r="E6" i="12"/>
  <c r="E10" i="12"/>
  <c r="F10" i="12" s="1"/>
  <c r="G10" i="12" s="1"/>
  <c r="G6" i="13"/>
  <c r="H6" i="13" s="1"/>
  <c r="I6" i="13" s="1"/>
  <c r="G7" i="13"/>
  <c r="H7" i="13" s="1"/>
  <c r="I7" i="13" s="1"/>
  <c r="G8" i="13"/>
  <c r="H8" i="13" s="1"/>
  <c r="I8" i="13" s="1"/>
  <c r="G9" i="13"/>
  <c r="H9" i="13" s="1"/>
  <c r="I9" i="13" s="1"/>
  <c r="G10" i="13"/>
  <c r="H10" i="13" s="1"/>
  <c r="I10" i="13" s="1"/>
  <c r="G11" i="13"/>
  <c r="H11" i="13" s="1"/>
  <c r="I11" i="13" s="1"/>
  <c r="G12" i="13"/>
  <c r="H12" i="13" s="1"/>
  <c r="I12" i="13" s="1"/>
  <c r="G13" i="13"/>
  <c r="H13" i="13" s="1"/>
  <c r="I13" i="13" s="1"/>
  <c r="G14" i="13"/>
  <c r="H14" i="13" s="1"/>
  <c r="I14" i="13" s="1"/>
  <c r="G15" i="13"/>
  <c r="H15" i="13" s="1"/>
  <c r="I15" i="13" s="1"/>
  <c r="G16" i="13"/>
  <c r="H16" i="13" s="1"/>
  <c r="I16" i="13" s="1"/>
  <c r="G17" i="13"/>
  <c r="H17" i="13" s="1"/>
  <c r="I17" i="13" s="1"/>
  <c r="G18" i="13"/>
  <c r="H18" i="13" s="1"/>
  <c r="I18" i="13" s="1"/>
  <c r="G19" i="13"/>
  <c r="H19" i="13" s="1"/>
  <c r="G20" i="13"/>
  <c r="H20" i="13" s="1"/>
  <c r="G21" i="13"/>
  <c r="H21" i="13" s="1"/>
  <c r="I21" i="13" s="1"/>
  <c r="G22" i="13"/>
  <c r="H22" i="13" s="1"/>
  <c r="I22" i="13" s="1"/>
  <c r="G23" i="13"/>
  <c r="H23" i="13" s="1"/>
  <c r="G24" i="13"/>
  <c r="H24" i="13" s="1"/>
  <c r="I24" i="13" s="1"/>
  <c r="G25" i="13"/>
  <c r="H25" i="13" s="1"/>
  <c r="I25" i="13" s="1"/>
  <c r="G26" i="13"/>
  <c r="H26" i="13" s="1"/>
  <c r="I26" i="13" s="1"/>
  <c r="J26" i="13" s="1"/>
  <c r="G27" i="13"/>
  <c r="H27" i="13" s="1"/>
  <c r="I27" i="13" s="1"/>
  <c r="G28" i="13"/>
  <c r="H28" i="13" s="1"/>
  <c r="I28" i="13" s="1"/>
  <c r="G29" i="13"/>
  <c r="H29" i="13" s="1"/>
  <c r="G30" i="13"/>
  <c r="H30" i="13" s="1"/>
  <c r="G31" i="13"/>
  <c r="H31" i="13" s="1"/>
  <c r="G32" i="13"/>
  <c r="H32" i="13" s="1"/>
  <c r="G33" i="13"/>
  <c r="H33" i="13" s="1"/>
  <c r="G34" i="13"/>
  <c r="H34" i="13" s="1"/>
  <c r="G35" i="13"/>
  <c r="H35" i="13" s="1"/>
  <c r="I35" i="13" s="1"/>
  <c r="G36" i="13"/>
  <c r="H36" i="13" s="1"/>
  <c r="I36" i="13" s="1"/>
  <c r="G37" i="13"/>
  <c r="H37" i="13" s="1"/>
  <c r="G38" i="13"/>
  <c r="H38" i="13" s="1"/>
  <c r="I38" i="13" s="1"/>
  <c r="J38" i="13" s="1"/>
  <c r="G39" i="13"/>
  <c r="H39" i="13" s="1"/>
  <c r="I39" i="13" s="1"/>
  <c r="G40" i="13"/>
  <c r="H40" i="13" s="1"/>
  <c r="I40" i="13" s="1"/>
  <c r="G41" i="13"/>
  <c r="H41" i="13" s="1"/>
  <c r="G42" i="13"/>
  <c r="H42" i="13" s="1"/>
  <c r="I42" i="13" s="1"/>
  <c r="G43" i="13"/>
  <c r="H43" i="13" s="1"/>
  <c r="I43" i="13" s="1"/>
  <c r="G44" i="13"/>
  <c r="H44" i="13" s="1"/>
  <c r="G45" i="13"/>
  <c r="H45" i="13" s="1"/>
  <c r="G46" i="13"/>
  <c r="H46" i="13" s="1"/>
  <c r="G47" i="13"/>
  <c r="H47" i="13" s="1"/>
  <c r="G48" i="13"/>
  <c r="H48" i="13" s="1"/>
  <c r="I48" i="13" s="1"/>
  <c r="J48" i="13" s="1"/>
  <c r="G49" i="13"/>
  <c r="H49" i="13" s="1"/>
  <c r="G50" i="13"/>
  <c r="H50" i="13" s="1"/>
  <c r="I50" i="13" s="1"/>
  <c r="J50" i="13" s="1"/>
  <c r="G51" i="13"/>
  <c r="H51" i="13" s="1"/>
  <c r="I51" i="13" s="1"/>
  <c r="G52" i="13"/>
  <c r="H52" i="13" s="1"/>
  <c r="I52" i="13" s="1"/>
  <c r="G53" i="13"/>
  <c r="H53" i="13" s="1"/>
  <c r="G54" i="13"/>
  <c r="H54" i="13" s="1"/>
  <c r="G55" i="13"/>
  <c r="H55" i="13" s="1"/>
  <c r="I55" i="13" s="1"/>
  <c r="G57" i="13"/>
  <c r="H57" i="13" s="1"/>
  <c r="G58" i="13"/>
  <c r="H58" i="13" s="1"/>
  <c r="G59" i="13"/>
  <c r="H59" i="13" s="1"/>
  <c r="G60" i="13"/>
  <c r="H60" i="13" s="1"/>
  <c r="I60" i="13" s="1"/>
  <c r="G61" i="13"/>
  <c r="H61" i="13" s="1"/>
  <c r="I61" i="13" s="1"/>
  <c r="G62" i="13"/>
  <c r="H62" i="13" s="1"/>
  <c r="G63" i="13"/>
  <c r="H63" i="13" s="1"/>
  <c r="G64" i="13"/>
  <c r="H64" i="13" s="1"/>
  <c r="G65" i="13"/>
  <c r="H65" i="13" s="1"/>
  <c r="I65" i="13" s="1"/>
  <c r="J65" i="13" s="1"/>
  <c r="G66" i="13"/>
  <c r="H66" i="13" s="1"/>
  <c r="G67" i="13"/>
  <c r="H67" i="13" s="1"/>
  <c r="I67" i="13" s="1"/>
  <c r="J67" i="13" s="1"/>
  <c r="G68" i="13"/>
  <c r="H68" i="13" s="1"/>
  <c r="I68" i="13" s="1"/>
  <c r="G69" i="13"/>
  <c r="H69" i="13" s="1"/>
  <c r="I69" i="13" s="1"/>
  <c r="G3" i="13"/>
  <c r="H3" i="13" s="1"/>
  <c r="I3" i="13" s="1"/>
  <c r="G4" i="13"/>
  <c r="H4" i="13" s="1"/>
  <c r="I4" i="13" s="1"/>
  <c r="G5" i="13"/>
  <c r="H5" i="13" s="1"/>
  <c r="I5" i="13" s="1"/>
  <c r="G2" i="13"/>
  <c r="H2" i="13" s="1"/>
  <c r="I2" i="13" s="1"/>
  <c r="E39" i="12"/>
  <c r="E46" i="12"/>
  <c r="F46" i="12" s="1"/>
  <c r="E47" i="12"/>
  <c r="F47" i="12" s="1"/>
  <c r="G47" i="12" s="1"/>
  <c r="E48" i="12"/>
  <c r="F48" i="12" s="1"/>
  <c r="E49" i="12"/>
  <c r="F49" i="12" s="1"/>
  <c r="E50" i="12"/>
  <c r="F50" i="12" s="1"/>
  <c r="E51" i="12"/>
  <c r="F51" i="12" s="1"/>
  <c r="E52" i="12"/>
  <c r="F52" i="12" s="1"/>
  <c r="G52" i="12" s="1"/>
  <c r="E53" i="12"/>
  <c r="F53" i="12" s="1"/>
  <c r="G53" i="12" s="1"/>
  <c r="E54" i="12"/>
  <c r="E55" i="12"/>
  <c r="F55" i="12" s="1"/>
  <c r="G55" i="12" s="1"/>
  <c r="E56" i="12"/>
  <c r="F56" i="12" s="1"/>
  <c r="E57" i="12"/>
  <c r="F57" i="12" s="1"/>
  <c r="E58" i="12"/>
  <c r="F58" i="12" s="1"/>
  <c r="E59" i="12"/>
  <c r="F59" i="12" s="1"/>
  <c r="E60" i="12"/>
  <c r="F60" i="12" s="1"/>
  <c r="G60" i="12" s="1"/>
  <c r="E61" i="12"/>
  <c r="F61" i="12" s="1"/>
  <c r="E62" i="12"/>
  <c r="F62" i="12" s="1"/>
  <c r="E63" i="12"/>
  <c r="F63" i="12" s="1"/>
  <c r="G63" i="12" s="1"/>
  <c r="E64" i="12"/>
  <c r="F64" i="12" s="1"/>
  <c r="G64" i="12" s="1"/>
  <c r="E65" i="12"/>
  <c r="F65" i="12" s="1"/>
  <c r="E66" i="12"/>
  <c r="E67" i="12"/>
  <c r="F67" i="12" s="1"/>
  <c r="E68" i="12"/>
  <c r="F68" i="12" s="1"/>
  <c r="E69" i="12"/>
  <c r="F69" i="12" s="1"/>
  <c r="E70" i="12"/>
  <c r="E71" i="12"/>
  <c r="F71" i="12" s="1"/>
  <c r="G71" i="12" s="1"/>
  <c r="E72" i="12"/>
  <c r="F72" i="12" s="1"/>
  <c r="E73" i="12"/>
  <c r="F73" i="12" s="1"/>
  <c r="E74" i="12"/>
  <c r="F74" i="12" s="1"/>
  <c r="E37" i="12"/>
  <c r="E31" i="12"/>
  <c r="F31" i="12" s="1"/>
  <c r="G31" i="12" s="1"/>
  <c r="E29" i="12"/>
  <c r="F29" i="12" s="1"/>
  <c r="G29" i="12" s="1"/>
  <c r="E27" i="12"/>
  <c r="F27" i="12" s="1"/>
  <c r="E25" i="12"/>
  <c r="F25" i="12" s="1"/>
  <c r="G25" i="12" s="1"/>
  <c r="E23" i="12"/>
  <c r="F23" i="12" s="1"/>
  <c r="G23" i="12" s="1"/>
  <c r="E21" i="12"/>
  <c r="F21" i="12" s="1"/>
  <c r="E19" i="12"/>
  <c r="F19" i="12" s="1"/>
  <c r="E17" i="12"/>
  <c r="F17" i="12" s="1"/>
  <c r="E15" i="12"/>
  <c r="F15" i="12" s="1"/>
  <c r="E13" i="12"/>
  <c r="E85" i="12"/>
  <c r="F85" i="12" s="1"/>
  <c r="E84" i="12"/>
  <c r="F84" i="12" s="1"/>
  <c r="T26" i="11"/>
  <c r="H441" i="13" l="1"/>
  <c r="I441" i="13" s="1"/>
  <c r="J441" i="13" s="1"/>
  <c r="F40" i="12"/>
  <c r="G40" i="12" s="1"/>
  <c r="F39" i="12"/>
  <c r="G39" i="12" s="1"/>
  <c r="G5" i="12"/>
  <c r="G91" i="12"/>
  <c r="G89" i="12"/>
  <c r="F87" i="12"/>
  <c r="G87" i="12" s="1"/>
  <c r="G50" i="12"/>
  <c r="G88" i="12"/>
  <c r="G69" i="12"/>
  <c r="J11" i="13"/>
  <c r="J282" i="14"/>
  <c r="J483" i="14"/>
  <c r="J447" i="14"/>
  <c r="J250" i="14"/>
  <c r="J295" i="14"/>
  <c r="J209" i="14"/>
  <c r="J241" i="14"/>
  <c r="I404" i="14"/>
  <c r="J404" i="14" s="1"/>
  <c r="I599" i="14"/>
  <c r="J599" i="14" s="1"/>
  <c r="J205" i="14"/>
  <c r="J663" i="14"/>
  <c r="J229" i="14"/>
  <c r="J80" i="14"/>
  <c r="J343" i="14"/>
  <c r="J523" i="14"/>
  <c r="J573" i="14"/>
  <c r="J193" i="14"/>
  <c r="J76" i="14"/>
  <c r="I368" i="14"/>
  <c r="J368" i="14" s="1"/>
  <c r="J395" i="14"/>
  <c r="J351" i="14"/>
  <c r="J647" i="14"/>
  <c r="I416" i="14"/>
  <c r="J416" i="14" s="1"/>
  <c r="I444" i="14"/>
  <c r="J444" i="14" s="1"/>
  <c r="I492" i="14"/>
  <c r="J492" i="14" s="1"/>
  <c r="J247" i="14"/>
  <c r="J279" i="14"/>
  <c r="J305" i="14"/>
  <c r="I425" i="14"/>
  <c r="J425" i="14" s="1"/>
  <c r="J220" i="14"/>
  <c r="I420" i="14"/>
  <c r="J420" i="14" s="1"/>
  <c r="I452" i="14"/>
  <c r="J452" i="14" s="1"/>
  <c r="I476" i="14"/>
  <c r="J476" i="14" s="1"/>
  <c r="J226" i="14"/>
  <c r="J263" i="14"/>
  <c r="J289" i="14"/>
  <c r="I338" i="14"/>
  <c r="J338" i="14" s="1"/>
  <c r="I586" i="14"/>
  <c r="J586" i="14" s="1"/>
  <c r="J197" i="14"/>
  <c r="J213" i="14"/>
  <c r="J225" i="14"/>
  <c r="J359" i="14"/>
  <c r="J409" i="14"/>
  <c r="I418" i="14"/>
  <c r="J418" i="14" s="1"/>
  <c r="I426" i="14"/>
  <c r="J426" i="14" s="1"/>
  <c r="I432" i="14"/>
  <c r="J432" i="14" s="1"/>
  <c r="I467" i="14"/>
  <c r="J467" i="14" s="1"/>
  <c r="J508" i="14"/>
  <c r="J532" i="14"/>
  <c r="J82" i="14"/>
  <c r="J234" i="14"/>
  <c r="I360" i="14"/>
  <c r="J360" i="14" s="1"/>
  <c r="J415" i="14"/>
  <c r="J423" i="14"/>
  <c r="J222" i="14"/>
  <c r="J257" i="14"/>
  <c r="J314" i="14"/>
  <c r="J322" i="14"/>
  <c r="J344" i="14"/>
  <c r="I352" i="14"/>
  <c r="J352" i="14" s="1"/>
  <c r="J428" i="14"/>
  <c r="J84" i="14"/>
  <c r="J266" i="14"/>
  <c r="I376" i="14"/>
  <c r="J376" i="14" s="1"/>
  <c r="J403" i="14"/>
  <c r="I541" i="14"/>
  <c r="J541" i="14" s="1"/>
  <c r="J273" i="14"/>
  <c r="J218" i="14"/>
  <c r="J370" i="14"/>
  <c r="J419" i="14"/>
  <c r="J70" i="14"/>
  <c r="J227" i="14"/>
  <c r="J342" i="14"/>
  <c r="I345" i="14"/>
  <c r="J345" i="14" s="1"/>
  <c r="J435" i="14"/>
  <c r="J460" i="14"/>
  <c r="I330" i="14"/>
  <c r="J330" i="14" s="1"/>
  <c r="I556" i="14"/>
  <c r="J556" i="14" s="1"/>
  <c r="I499" i="14"/>
  <c r="J499" i="14" s="1"/>
  <c r="J540" i="14"/>
  <c r="I550" i="14"/>
  <c r="J550" i="14" s="1"/>
  <c r="J93" i="14"/>
  <c r="J201" i="14"/>
  <c r="J224" i="14"/>
  <c r="J298" i="14"/>
  <c r="I384" i="14"/>
  <c r="J384" i="14" s="1"/>
  <c r="I417" i="14"/>
  <c r="J417" i="14" s="1"/>
  <c r="I436" i="14"/>
  <c r="J436" i="14" s="1"/>
  <c r="I553" i="14"/>
  <c r="J553" i="14" s="1"/>
  <c r="J572" i="14"/>
  <c r="J594" i="14"/>
  <c r="I618" i="14"/>
  <c r="J618" i="14" s="1"/>
  <c r="I639" i="14"/>
  <c r="J639" i="14" s="1"/>
  <c r="I682" i="14"/>
  <c r="J682" i="14" s="1"/>
  <c r="J688" i="14"/>
  <c r="I698" i="14"/>
  <c r="J698" i="14" s="1"/>
  <c r="J350" i="14"/>
  <c r="I353" i="14"/>
  <c r="J353" i="14" s="1"/>
  <c r="J361" i="14"/>
  <c r="J402" i="14"/>
  <c r="J491" i="14"/>
  <c r="J537" i="14"/>
  <c r="I658" i="14"/>
  <c r="J658" i="14" s="1"/>
  <c r="I591" i="14"/>
  <c r="J591" i="14" s="1"/>
  <c r="I634" i="14"/>
  <c r="J634" i="14" s="1"/>
  <c r="I655" i="14"/>
  <c r="J655" i="14" s="1"/>
  <c r="I610" i="14"/>
  <c r="J610" i="14" s="1"/>
  <c r="I631" i="14"/>
  <c r="J631" i="14" s="1"/>
  <c r="I674" i="14"/>
  <c r="J674" i="14" s="1"/>
  <c r="J581" i="14"/>
  <c r="I607" i="14"/>
  <c r="J607" i="14" s="1"/>
  <c r="J626" i="14"/>
  <c r="I650" i="14"/>
  <c r="J650" i="14" s="1"/>
  <c r="I671" i="14"/>
  <c r="J671" i="14" s="1"/>
  <c r="I680" i="14"/>
  <c r="J680" i="14" s="1"/>
  <c r="J690" i="14"/>
  <c r="I696" i="14"/>
  <c r="J696" i="14" s="1"/>
  <c r="I602" i="14"/>
  <c r="J602" i="14" s="1"/>
  <c r="J642" i="14"/>
  <c r="I666" i="14"/>
  <c r="J666" i="14" s="1"/>
  <c r="J83" i="14"/>
  <c r="J18" i="14"/>
  <c r="J17" i="14"/>
  <c r="J75" i="14"/>
  <c r="J2" i="14"/>
  <c r="J8" i="14"/>
  <c r="J19" i="14"/>
  <c r="I31" i="14"/>
  <c r="J31" i="14" s="1"/>
  <c r="J44" i="14"/>
  <c r="J92" i="14"/>
  <c r="J35" i="14"/>
  <c r="J25" i="14"/>
  <c r="J41" i="14"/>
  <c r="J3" i="14"/>
  <c r="J9" i="14"/>
  <c r="J20" i="14"/>
  <c r="J37" i="14"/>
  <c r="J50" i="14"/>
  <c r="J85" i="14"/>
  <c r="J48" i="14"/>
  <c r="J4" i="14"/>
  <c r="J10" i="14"/>
  <c r="J21" i="14"/>
  <c r="J27" i="14"/>
  <c r="J67" i="14"/>
  <c r="J5" i="14"/>
  <c r="J22" i="14"/>
  <c r="J33" i="14"/>
  <c r="J46" i="14"/>
  <c r="J87" i="14"/>
  <c r="J6" i="14"/>
  <c r="J11" i="14"/>
  <c r="J7" i="14"/>
  <c r="J23" i="14"/>
  <c r="J39" i="14"/>
  <c r="J16" i="14"/>
  <c r="J29" i="14"/>
  <c r="J59" i="14"/>
  <c r="J60" i="14"/>
  <c r="J68" i="14"/>
  <c r="J71" i="14"/>
  <c r="J74" i="14"/>
  <c r="J77" i="14"/>
  <c r="J91" i="14"/>
  <c r="J94" i="14"/>
  <c r="J102" i="14"/>
  <c r="J110" i="14"/>
  <c r="J118" i="14"/>
  <c r="J126" i="14"/>
  <c r="J134" i="14"/>
  <c r="J158" i="14"/>
  <c r="J214" i="14"/>
  <c r="J217" i="14"/>
  <c r="J230" i="14"/>
  <c r="J238" i="14"/>
  <c r="J246" i="14"/>
  <c r="J254" i="14"/>
  <c r="J262" i="14"/>
  <c r="J270" i="14"/>
  <c r="J278" i="14"/>
  <c r="J286" i="14"/>
  <c r="J294" i="14"/>
  <c r="J302" i="14"/>
  <c r="J310" i="14"/>
  <c r="J318" i="14"/>
  <c r="J326" i="14"/>
  <c r="J334" i="14"/>
  <c r="I388" i="14"/>
  <c r="J388" i="14" s="1"/>
  <c r="I535" i="14"/>
  <c r="J535" i="14" s="1"/>
  <c r="I349" i="14"/>
  <c r="J349" i="14" s="1"/>
  <c r="J369" i="14"/>
  <c r="I440" i="14"/>
  <c r="J440" i="14" s="1"/>
  <c r="J61" i="14"/>
  <c r="J64" i="14"/>
  <c r="J69" i="14"/>
  <c r="J72" i="14"/>
  <c r="J78" i="14"/>
  <c r="J81" i="14"/>
  <c r="J95" i="14"/>
  <c r="J99" i="14"/>
  <c r="J103" i="14"/>
  <c r="J107" i="14"/>
  <c r="J111" i="14"/>
  <c r="J115" i="14"/>
  <c r="J119" i="14"/>
  <c r="J123" i="14"/>
  <c r="J127" i="14"/>
  <c r="J131" i="14"/>
  <c r="J135" i="14"/>
  <c r="J139" i="14"/>
  <c r="J143" i="14"/>
  <c r="J147" i="14"/>
  <c r="J151" i="14"/>
  <c r="J155" i="14"/>
  <c r="J159" i="14"/>
  <c r="J163" i="14"/>
  <c r="J167" i="14"/>
  <c r="J171" i="14"/>
  <c r="J175" i="14"/>
  <c r="J179" i="14"/>
  <c r="J183" i="14"/>
  <c r="J187" i="14"/>
  <c r="J191" i="14"/>
  <c r="J195" i="14"/>
  <c r="J199" i="14"/>
  <c r="J203" i="14"/>
  <c r="J207" i="14"/>
  <c r="J211" i="14"/>
  <c r="J221" i="14"/>
  <c r="I390" i="14"/>
  <c r="J390" i="14" s="1"/>
  <c r="I407" i="14"/>
  <c r="J407" i="14" s="1"/>
  <c r="J89" i="14"/>
  <c r="J96" i="14"/>
  <c r="J100" i="14"/>
  <c r="J104" i="14"/>
  <c r="J108" i="14"/>
  <c r="J112" i="14"/>
  <c r="J116" i="14"/>
  <c r="J120" i="14"/>
  <c r="J124" i="14"/>
  <c r="J128" i="14"/>
  <c r="J132" i="14"/>
  <c r="J136" i="14"/>
  <c r="J140" i="14"/>
  <c r="J144" i="14"/>
  <c r="J148" i="14"/>
  <c r="J152" i="14"/>
  <c r="J156" i="14"/>
  <c r="J160" i="14"/>
  <c r="J164" i="14"/>
  <c r="J168" i="14"/>
  <c r="J172" i="14"/>
  <c r="J176" i="14"/>
  <c r="J180" i="14"/>
  <c r="J184" i="14"/>
  <c r="J188" i="14"/>
  <c r="J192" i="14"/>
  <c r="J196" i="14"/>
  <c r="J200" i="14"/>
  <c r="J204" i="14"/>
  <c r="J208" i="14"/>
  <c r="J212" i="14"/>
  <c r="J215" i="14"/>
  <c r="J228" i="14"/>
  <c r="J231" i="14"/>
  <c r="J239" i="14"/>
  <c r="J243" i="14"/>
  <c r="J255" i="14"/>
  <c r="J259" i="14"/>
  <c r="J271" i="14"/>
  <c r="J275" i="14"/>
  <c r="J287" i="14"/>
  <c r="J291" i="14"/>
  <c r="J303" i="14"/>
  <c r="J307" i="14"/>
  <c r="J358" i="14"/>
  <c r="J366" i="14"/>
  <c r="I375" i="14"/>
  <c r="J375" i="14" s="1"/>
  <c r="I385" i="14"/>
  <c r="J385" i="14" s="1"/>
  <c r="J79" i="14"/>
  <c r="J244" i="14"/>
  <c r="J260" i="14"/>
  <c r="J276" i="14"/>
  <c r="J292" i="14"/>
  <c r="J308" i="14"/>
  <c r="I316" i="14"/>
  <c r="J316" i="14" s="1"/>
  <c r="I324" i="14"/>
  <c r="J324" i="14" s="1"/>
  <c r="I332" i="14"/>
  <c r="J332" i="14" s="1"/>
  <c r="I340" i="14"/>
  <c r="J340" i="14" s="1"/>
  <c r="I399" i="14"/>
  <c r="J399" i="14" s="1"/>
  <c r="I429" i="14"/>
  <c r="J429" i="14" s="1"/>
  <c r="J216" i="14"/>
  <c r="J219" i="14"/>
  <c r="J232" i="14"/>
  <c r="J236" i="14"/>
  <c r="J240" i="14"/>
  <c r="J248" i="14"/>
  <c r="J252" i="14"/>
  <c r="J256" i="14"/>
  <c r="J264" i="14"/>
  <c r="J268" i="14"/>
  <c r="J272" i="14"/>
  <c r="J280" i="14"/>
  <c r="J284" i="14"/>
  <c r="J288" i="14"/>
  <c r="J296" i="14"/>
  <c r="J300" i="14"/>
  <c r="J304" i="14"/>
  <c r="J312" i="14"/>
  <c r="I320" i="14"/>
  <c r="J320" i="14" s="1"/>
  <c r="I328" i="14"/>
  <c r="J328" i="14" s="1"/>
  <c r="I336" i="14"/>
  <c r="J336" i="14" s="1"/>
  <c r="I396" i="14"/>
  <c r="J396" i="14" s="1"/>
  <c r="J65" i="14"/>
  <c r="J73" i="14"/>
  <c r="J86" i="14"/>
  <c r="J90" i="14"/>
  <c r="J97" i="14"/>
  <c r="J101" i="14"/>
  <c r="J105" i="14"/>
  <c r="J109" i="14"/>
  <c r="J113" i="14"/>
  <c r="J117" i="14"/>
  <c r="J121" i="14"/>
  <c r="J125" i="14"/>
  <c r="J129" i="14"/>
  <c r="J133" i="14"/>
  <c r="J137" i="14"/>
  <c r="J141" i="14"/>
  <c r="J145" i="14"/>
  <c r="J149" i="14"/>
  <c r="J153" i="14"/>
  <c r="J157" i="14"/>
  <c r="J161" i="14"/>
  <c r="J165" i="14"/>
  <c r="J169" i="14"/>
  <c r="J173" i="14"/>
  <c r="J177" i="14"/>
  <c r="J181" i="14"/>
  <c r="J185" i="14"/>
  <c r="J189" i="14"/>
  <c r="J237" i="14"/>
  <c r="J245" i="14"/>
  <c r="J253" i="14"/>
  <c r="J261" i="14"/>
  <c r="J269" i="14"/>
  <c r="J277" i="14"/>
  <c r="J285" i="14"/>
  <c r="J293" i="14"/>
  <c r="J301" i="14"/>
  <c r="J309" i="14"/>
  <c r="I317" i="14"/>
  <c r="J317" i="14" s="1"/>
  <c r="I325" i="14"/>
  <c r="J325" i="14" s="1"/>
  <c r="I333" i="14"/>
  <c r="J333" i="14" s="1"/>
  <c r="I341" i="14"/>
  <c r="J341" i="14" s="1"/>
  <c r="I382" i="14"/>
  <c r="J382" i="14" s="1"/>
  <c r="J63" i="14"/>
  <c r="J98" i="14"/>
  <c r="J106" i="14"/>
  <c r="J114" i="14"/>
  <c r="J122" i="14"/>
  <c r="J130" i="14"/>
  <c r="J138" i="14"/>
  <c r="J142" i="14"/>
  <c r="J146" i="14"/>
  <c r="J150" i="14"/>
  <c r="J154" i="14"/>
  <c r="J162" i="14"/>
  <c r="J166" i="14"/>
  <c r="J170" i="14"/>
  <c r="J174" i="14"/>
  <c r="J178" i="14"/>
  <c r="J182" i="14"/>
  <c r="J186" i="14"/>
  <c r="J190" i="14"/>
  <c r="J194" i="14"/>
  <c r="J198" i="14"/>
  <c r="J202" i="14"/>
  <c r="J206" i="14"/>
  <c r="J210" i="14"/>
  <c r="J223" i="14"/>
  <c r="J233" i="14"/>
  <c r="J249" i="14"/>
  <c r="J265" i="14"/>
  <c r="J281" i="14"/>
  <c r="J297" i="14"/>
  <c r="I383" i="14"/>
  <c r="J383" i="14" s="1"/>
  <c r="I393" i="14"/>
  <c r="J393" i="14" s="1"/>
  <c r="I413" i="14"/>
  <c r="J413" i="14" s="1"/>
  <c r="J313" i="14"/>
  <c r="I321" i="14"/>
  <c r="J321" i="14" s="1"/>
  <c r="I329" i="14"/>
  <c r="J329" i="14" s="1"/>
  <c r="I337" i="14"/>
  <c r="J337" i="14" s="1"/>
  <c r="J346" i="14"/>
  <c r="J356" i="14"/>
  <c r="I373" i="14"/>
  <c r="J373" i="14" s="1"/>
  <c r="J410" i="14"/>
  <c r="I463" i="14"/>
  <c r="J463" i="14" s="1"/>
  <c r="I530" i="14"/>
  <c r="J530" i="14" s="1"/>
  <c r="I414" i="14"/>
  <c r="J414" i="14" s="1"/>
  <c r="I433" i="14"/>
  <c r="J433" i="14" s="1"/>
  <c r="I437" i="14"/>
  <c r="J437" i="14" s="1"/>
  <c r="I459" i="14"/>
  <c r="J459" i="14" s="1"/>
  <c r="J235" i="14"/>
  <c r="J242" i="14"/>
  <c r="J251" i="14"/>
  <c r="J258" i="14"/>
  <c r="J267" i="14"/>
  <c r="J274" i="14"/>
  <c r="J283" i="14"/>
  <c r="J290" i="14"/>
  <c r="J299" i="14"/>
  <c r="J306" i="14"/>
  <c r="J311" i="14"/>
  <c r="I319" i="14"/>
  <c r="J319" i="14" s="1"/>
  <c r="I327" i="14"/>
  <c r="J327" i="14" s="1"/>
  <c r="I335" i="14"/>
  <c r="J335" i="14" s="1"/>
  <c r="I357" i="14"/>
  <c r="J357" i="14" s="1"/>
  <c r="J367" i="14"/>
  <c r="I374" i="14"/>
  <c r="J374" i="14" s="1"/>
  <c r="I377" i="14"/>
  <c r="J377" i="14" s="1"/>
  <c r="I380" i="14"/>
  <c r="J380" i="14" s="1"/>
  <c r="I397" i="14"/>
  <c r="J397" i="14" s="1"/>
  <c r="I400" i="14"/>
  <c r="J400" i="14" s="1"/>
  <c r="I411" i="14"/>
  <c r="J411" i="14" s="1"/>
  <c r="I430" i="14"/>
  <c r="J430" i="14" s="1"/>
  <c r="I434" i="14"/>
  <c r="J434" i="14" s="1"/>
  <c r="J354" i="14"/>
  <c r="J364" i="14"/>
  <c r="I381" i="14"/>
  <c r="J381" i="14" s="1"/>
  <c r="J391" i="14"/>
  <c r="J408" i="14"/>
  <c r="J424" i="14"/>
  <c r="I427" i="14"/>
  <c r="J427" i="14" s="1"/>
  <c r="I450" i="14"/>
  <c r="J450" i="14" s="1"/>
  <c r="I455" i="14"/>
  <c r="J455" i="14" s="1"/>
  <c r="I506" i="14"/>
  <c r="J506" i="14" s="1"/>
  <c r="I421" i="14"/>
  <c r="J421" i="14" s="1"/>
  <c r="I431" i="14"/>
  <c r="J431" i="14" s="1"/>
  <c r="I451" i="14"/>
  <c r="J451" i="14" s="1"/>
  <c r="I497" i="14"/>
  <c r="J497" i="14" s="1"/>
  <c r="J348" i="14"/>
  <c r="I365" i="14"/>
  <c r="J365" i="14" s="1"/>
  <c r="J401" i="14"/>
  <c r="I405" i="14"/>
  <c r="J405" i="14" s="1"/>
  <c r="J412" i="14"/>
  <c r="J443" i="14"/>
  <c r="I315" i="14"/>
  <c r="J315" i="14" s="1"/>
  <c r="I323" i="14"/>
  <c r="J323" i="14" s="1"/>
  <c r="I331" i="14"/>
  <c r="J331" i="14" s="1"/>
  <c r="I339" i="14"/>
  <c r="J339" i="14" s="1"/>
  <c r="J362" i="14"/>
  <c r="J372" i="14"/>
  <c r="I389" i="14"/>
  <c r="J389" i="14" s="1"/>
  <c r="I406" i="14"/>
  <c r="J406" i="14" s="1"/>
  <c r="I422" i="14"/>
  <c r="J422" i="14" s="1"/>
  <c r="I480" i="14"/>
  <c r="J480" i="14" s="1"/>
  <c r="I472" i="14"/>
  <c r="J472" i="14" s="1"/>
  <c r="I489" i="14"/>
  <c r="J489" i="14" s="1"/>
  <c r="J498" i="14"/>
  <c r="I510" i="14"/>
  <c r="J510" i="14" s="1"/>
  <c r="I515" i="14"/>
  <c r="J515" i="14" s="1"/>
  <c r="I525" i="14"/>
  <c r="J525" i="14" s="1"/>
  <c r="I464" i="14"/>
  <c r="J464" i="14" s="1"/>
  <c r="I481" i="14"/>
  <c r="J481" i="14" s="1"/>
  <c r="I502" i="14"/>
  <c r="J502" i="14" s="1"/>
  <c r="I511" i="14"/>
  <c r="J511" i="14" s="1"/>
  <c r="I526" i="14"/>
  <c r="J526" i="14" s="1"/>
  <c r="I531" i="14"/>
  <c r="J531" i="14" s="1"/>
  <c r="I547" i="14"/>
  <c r="J547" i="14" s="1"/>
  <c r="J438" i="14"/>
  <c r="I441" i="14"/>
  <c r="J441" i="14" s="1"/>
  <c r="J448" i="14"/>
  <c r="I456" i="14"/>
  <c r="J456" i="14" s="1"/>
  <c r="I473" i="14"/>
  <c r="J473" i="14" s="1"/>
  <c r="J482" i="14"/>
  <c r="I490" i="14"/>
  <c r="J490" i="14" s="1"/>
  <c r="I494" i="14"/>
  <c r="J494" i="14" s="1"/>
  <c r="I503" i="14"/>
  <c r="J503" i="14" s="1"/>
  <c r="J507" i="14"/>
  <c r="J516" i="14"/>
  <c r="I521" i="14"/>
  <c r="J521" i="14" s="1"/>
  <c r="I527" i="14"/>
  <c r="J527" i="14" s="1"/>
  <c r="J398" i="14"/>
  <c r="J442" i="14"/>
  <c r="I445" i="14"/>
  <c r="J445" i="14" s="1"/>
  <c r="I465" i="14"/>
  <c r="J465" i="14" s="1"/>
  <c r="J474" i="14"/>
  <c r="I486" i="14"/>
  <c r="J486" i="14" s="1"/>
  <c r="I495" i="14"/>
  <c r="J495" i="14" s="1"/>
  <c r="I512" i="14"/>
  <c r="J512" i="14" s="1"/>
  <c r="I522" i="14"/>
  <c r="J522" i="14" s="1"/>
  <c r="I538" i="14"/>
  <c r="J538" i="14" s="1"/>
  <c r="J446" i="14"/>
  <c r="I449" i="14"/>
  <c r="J449" i="14" s="1"/>
  <c r="I457" i="14"/>
  <c r="J457" i="14" s="1"/>
  <c r="J466" i="14"/>
  <c r="I478" i="14"/>
  <c r="J478" i="14" s="1"/>
  <c r="I487" i="14"/>
  <c r="J487" i="14" s="1"/>
  <c r="I504" i="14"/>
  <c r="J504" i="14" s="1"/>
  <c r="I528" i="14"/>
  <c r="J528" i="14" s="1"/>
  <c r="I453" i="14"/>
  <c r="J453" i="14" s="1"/>
  <c r="I470" i="14"/>
  <c r="J470" i="14" s="1"/>
  <c r="I479" i="14"/>
  <c r="J479" i="14" s="1"/>
  <c r="I496" i="14"/>
  <c r="J496" i="14" s="1"/>
  <c r="I518" i="14"/>
  <c r="J518" i="14" s="1"/>
  <c r="I544" i="14"/>
  <c r="J544" i="14" s="1"/>
  <c r="I454" i="14"/>
  <c r="J454" i="14" s="1"/>
  <c r="I458" i="14"/>
  <c r="J458" i="14" s="1"/>
  <c r="I462" i="14"/>
  <c r="J462" i="14" s="1"/>
  <c r="I471" i="14"/>
  <c r="J471" i="14" s="1"/>
  <c r="J475" i="14"/>
  <c r="I488" i="14"/>
  <c r="J488" i="14" s="1"/>
  <c r="I505" i="14"/>
  <c r="J505" i="14" s="1"/>
  <c r="J514" i="14"/>
  <c r="I519" i="14"/>
  <c r="J519" i="14" s="1"/>
  <c r="I534" i="14"/>
  <c r="J534" i="14" s="1"/>
  <c r="J461" i="14"/>
  <c r="J477" i="14"/>
  <c r="J493" i="14"/>
  <c r="J509" i="14"/>
  <c r="J546" i="14"/>
  <c r="J566" i="14"/>
  <c r="J569" i="14"/>
  <c r="J578" i="14"/>
  <c r="I583" i="14"/>
  <c r="J583" i="14" s="1"/>
  <c r="I584" i="14"/>
  <c r="J584" i="14" s="1"/>
  <c r="I567" i="14"/>
  <c r="J567" i="14" s="1"/>
  <c r="J570" i="14"/>
  <c r="I576" i="14"/>
  <c r="J576" i="14" s="1"/>
  <c r="I579" i="14"/>
  <c r="J579" i="14" s="1"/>
  <c r="J469" i="14"/>
  <c r="J485" i="14"/>
  <c r="J501" i="14"/>
  <c r="J517" i="14"/>
  <c r="J533" i="14"/>
  <c r="I559" i="14"/>
  <c r="J559" i="14" s="1"/>
  <c r="J562" i="14"/>
  <c r="I580" i="14"/>
  <c r="J580" i="14" s="1"/>
  <c r="J513" i="14"/>
  <c r="I520" i="14"/>
  <c r="J520" i="14" s="1"/>
  <c r="J529" i="14"/>
  <c r="I551" i="14"/>
  <c r="J551" i="14" s="1"/>
  <c r="J554" i="14"/>
  <c r="I560" i="14"/>
  <c r="J560" i="14" s="1"/>
  <c r="I563" i="14"/>
  <c r="J563" i="14" s="1"/>
  <c r="J543" i="14"/>
  <c r="J575" i="14"/>
  <c r="I582" i="14"/>
  <c r="J582" i="14" s="1"/>
  <c r="J587" i="14"/>
  <c r="J595" i="14"/>
  <c r="J603" i="14"/>
  <c r="J611" i="14"/>
  <c r="J619" i="14"/>
  <c r="I622" i="14"/>
  <c r="J622" i="14" s="1"/>
  <c r="J627" i="14"/>
  <c r="I630" i="14"/>
  <c r="J630" i="14" s="1"/>
  <c r="J635" i="14"/>
  <c r="I638" i="14"/>
  <c r="J638" i="14" s="1"/>
  <c r="J643" i="14"/>
  <c r="I646" i="14"/>
  <c r="J646" i="14" s="1"/>
  <c r="J651" i="14"/>
  <c r="I654" i="14"/>
  <c r="J654" i="14" s="1"/>
  <c r="J659" i="14"/>
  <c r="I662" i="14"/>
  <c r="J662" i="14" s="1"/>
  <c r="J667" i="14"/>
  <c r="I670" i="14"/>
  <c r="J670" i="14" s="1"/>
  <c r="J675" i="14"/>
  <c r="I678" i="14"/>
  <c r="J678" i="14" s="1"/>
  <c r="J683" i="14"/>
  <c r="I686" i="14"/>
  <c r="J686" i="14" s="1"/>
  <c r="J691" i="14"/>
  <c r="I694" i="14"/>
  <c r="J694" i="14" s="1"/>
  <c r="J699" i="14"/>
  <c r="I702" i="14"/>
  <c r="J702" i="14" s="1"/>
  <c r="I588" i="14"/>
  <c r="J588" i="14" s="1"/>
  <c r="I596" i="14"/>
  <c r="J596" i="14" s="1"/>
  <c r="I604" i="14"/>
  <c r="J604" i="14" s="1"/>
  <c r="I612" i="14"/>
  <c r="J612" i="14" s="1"/>
  <c r="I620" i="14"/>
  <c r="J620" i="14" s="1"/>
  <c r="I628" i="14"/>
  <c r="J628" i="14" s="1"/>
  <c r="I636" i="14"/>
  <c r="J636" i="14" s="1"/>
  <c r="I644" i="14"/>
  <c r="J644" i="14" s="1"/>
  <c r="I652" i="14"/>
  <c r="J652" i="14" s="1"/>
  <c r="I660" i="14"/>
  <c r="J660" i="14" s="1"/>
  <c r="I668" i="14"/>
  <c r="J668" i="14" s="1"/>
  <c r="I676" i="14"/>
  <c r="J676" i="14" s="1"/>
  <c r="I684" i="14"/>
  <c r="J684" i="14" s="1"/>
  <c r="I692" i="14"/>
  <c r="J692" i="14" s="1"/>
  <c r="I700" i="14"/>
  <c r="J700" i="14" s="1"/>
  <c r="I703" i="14"/>
  <c r="J703" i="14" s="1"/>
  <c r="I701" i="14"/>
  <c r="J701" i="14" s="1"/>
  <c r="I704" i="14"/>
  <c r="J704" i="14" s="1"/>
  <c r="G85" i="12"/>
  <c r="I89" i="13"/>
  <c r="J89" i="13" s="1"/>
  <c r="I737" i="13"/>
  <c r="J737" i="13" s="1"/>
  <c r="I721" i="13"/>
  <c r="J721" i="13" s="1"/>
  <c r="I697" i="13"/>
  <c r="J697" i="13" s="1"/>
  <c r="I681" i="13"/>
  <c r="J681" i="13" s="1"/>
  <c r="I657" i="13"/>
  <c r="J657" i="13" s="1"/>
  <c r="I641" i="13"/>
  <c r="J641" i="13" s="1"/>
  <c r="I633" i="13"/>
  <c r="J633" i="13" s="1"/>
  <c r="I617" i="13"/>
  <c r="J617" i="13" s="1"/>
  <c r="I609" i="13"/>
  <c r="J609" i="13" s="1"/>
  <c r="I601" i="13"/>
  <c r="J601" i="13" s="1"/>
  <c r="I593" i="13"/>
  <c r="J593" i="13" s="1"/>
  <c r="I585" i="13"/>
  <c r="J585" i="13" s="1"/>
  <c r="I577" i="13"/>
  <c r="J577" i="13" s="1"/>
  <c r="I569" i="13"/>
  <c r="J569" i="13" s="1"/>
  <c r="I561" i="13"/>
  <c r="J561" i="13" s="1"/>
  <c r="I553" i="13"/>
  <c r="J553" i="13" s="1"/>
  <c r="I545" i="13"/>
  <c r="J545" i="13" s="1"/>
  <c r="I537" i="13"/>
  <c r="J537" i="13" s="1"/>
  <c r="I529" i="13"/>
  <c r="J529" i="13" s="1"/>
  <c r="I521" i="13"/>
  <c r="J521" i="13" s="1"/>
  <c r="I513" i="13"/>
  <c r="J513" i="13" s="1"/>
  <c r="I505" i="13"/>
  <c r="J505" i="13" s="1"/>
  <c r="I497" i="13"/>
  <c r="J497" i="13" s="1"/>
  <c r="I489" i="13"/>
  <c r="J489" i="13" s="1"/>
  <c r="I479" i="13"/>
  <c r="J479" i="13" s="1"/>
  <c r="I471" i="13"/>
  <c r="J471" i="13" s="1"/>
  <c r="I463" i="13"/>
  <c r="J463" i="13" s="1"/>
  <c r="I455" i="13"/>
  <c r="J455" i="13" s="1"/>
  <c r="I447" i="13"/>
  <c r="J447" i="13" s="1"/>
  <c r="I439" i="13"/>
  <c r="J439" i="13" s="1"/>
  <c r="I431" i="13"/>
  <c r="J431" i="13" s="1"/>
  <c r="I423" i="13"/>
  <c r="J423" i="13" s="1"/>
  <c r="I415" i="13"/>
  <c r="J415" i="13" s="1"/>
  <c r="I407" i="13"/>
  <c r="J407" i="13" s="1"/>
  <c r="I400" i="13"/>
  <c r="J400" i="13" s="1"/>
  <c r="I392" i="13"/>
  <c r="J392" i="13" s="1"/>
  <c r="I384" i="13"/>
  <c r="J384" i="13" s="1"/>
  <c r="I376" i="13"/>
  <c r="J376" i="13" s="1"/>
  <c r="I368" i="13"/>
  <c r="J368" i="13" s="1"/>
  <c r="I360" i="13"/>
  <c r="J360" i="13" s="1"/>
  <c r="I352" i="13"/>
  <c r="J352" i="13" s="1"/>
  <c r="I344" i="13"/>
  <c r="J344" i="13" s="1"/>
  <c r="I336" i="13"/>
  <c r="J336" i="13" s="1"/>
  <c r="I328" i="13"/>
  <c r="J328" i="13" s="1"/>
  <c r="I320" i="13"/>
  <c r="J320" i="13" s="1"/>
  <c r="I312" i="13"/>
  <c r="J312" i="13" s="1"/>
  <c r="I304" i="13"/>
  <c r="J304" i="13" s="1"/>
  <c r="I296" i="13"/>
  <c r="J296" i="13" s="1"/>
  <c r="I288" i="13"/>
  <c r="J288" i="13" s="1"/>
  <c r="I739" i="13"/>
  <c r="J739" i="13" s="1"/>
  <c r="I722" i="13"/>
  <c r="J722" i="13" s="1"/>
  <c r="I690" i="13"/>
  <c r="J690" i="13" s="1"/>
  <c r="I650" i="13"/>
  <c r="J650" i="13" s="1"/>
  <c r="I634" i="13"/>
  <c r="J634" i="13" s="1"/>
  <c r="I602" i="13"/>
  <c r="J602" i="13" s="1"/>
  <c r="I578" i="13"/>
  <c r="J578" i="13" s="1"/>
  <c r="I562" i="13"/>
  <c r="J562" i="13" s="1"/>
  <c r="I530" i="13"/>
  <c r="J530" i="13" s="1"/>
  <c r="I506" i="13"/>
  <c r="J506" i="13" s="1"/>
  <c r="I498" i="13"/>
  <c r="J498" i="13" s="1"/>
  <c r="I472" i="13"/>
  <c r="J472" i="13" s="1"/>
  <c r="I456" i="13"/>
  <c r="J456" i="13" s="1"/>
  <c r="I432" i="13"/>
  <c r="J432" i="13" s="1"/>
  <c r="I416" i="13"/>
  <c r="J416" i="13" s="1"/>
  <c r="I401" i="13"/>
  <c r="J401" i="13" s="1"/>
  <c r="I385" i="13"/>
  <c r="J385" i="13" s="1"/>
  <c r="I369" i="13"/>
  <c r="J369" i="13" s="1"/>
  <c r="I345" i="13"/>
  <c r="J345" i="13" s="1"/>
  <c r="I329" i="13"/>
  <c r="J329" i="13" s="1"/>
  <c r="I321" i="13"/>
  <c r="J321" i="13" s="1"/>
  <c r="I305" i="13"/>
  <c r="J305" i="13" s="1"/>
  <c r="I281" i="13"/>
  <c r="J281" i="13" s="1"/>
  <c r="I273" i="13"/>
  <c r="J273" i="13" s="1"/>
  <c r="I249" i="13"/>
  <c r="J249" i="13" s="1"/>
  <c r="I233" i="13"/>
  <c r="J233" i="13" s="1"/>
  <c r="I217" i="13"/>
  <c r="J217" i="13" s="1"/>
  <c r="I201" i="13"/>
  <c r="J201" i="13" s="1"/>
  <c r="I185" i="13"/>
  <c r="J185" i="13" s="1"/>
  <c r="I169" i="13"/>
  <c r="J169" i="13" s="1"/>
  <c r="I153" i="13"/>
  <c r="J153" i="13" s="1"/>
  <c r="I129" i="13"/>
  <c r="J129" i="13" s="1"/>
  <c r="I113" i="13"/>
  <c r="J113" i="13" s="1"/>
  <c r="I97" i="13"/>
  <c r="J97" i="13" s="1"/>
  <c r="I73" i="13"/>
  <c r="J73" i="13" s="1"/>
  <c r="I745" i="13"/>
  <c r="J745" i="13" s="1"/>
  <c r="I729" i="13"/>
  <c r="J729" i="13" s="1"/>
  <c r="I713" i="13"/>
  <c r="J713" i="13" s="1"/>
  <c r="I705" i="13"/>
  <c r="J705" i="13" s="1"/>
  <c r="I689" i="13"/>
  <c r="J689" i="13" s="1"/>
  <c r="I673" i="13"/>
  <c r="J673" i="13" s="1"/>
  <c r="I665" i="13"/>
  <c r="J665" i="13" s="1"/>
  <c r="I649" i="13"/>
  <c r="J649" i="13" s="1"/>
  <c r="I625" i="13"/>
  <c r="J625" i="13" s="1"/>
  <c r="I744" i="13"/>
  <c r="J744" i="13" s="1"/>
  <c r="I736" i="13"/>
  <c r="J736" i="13" s="1"/>
  <c r="I728" i="13"/>
  <c r="J728" i="13" s="1"/>
  <c r="I720" i="13"/>
  <c r="J720" i="13" s="1"/>
  <c r="I712" i="13"/>
  <c r="J712" i="13" s="1"/>
  <c r="I704" i="13"/>
  <c r="J704" i="13" s="1"/>
  <c r="I696" i="13"/>
  <c r="J696" i="13" s="1"/>
  <c r="I688" i="13"/>
  <c r="J688" i="13" s="1"/>
  <c r="I680" i="13"/>
  <c r="J680" i="13" s="1"/>
  <c r="I672" i="13"/>
  <c r="J672" i="13" s="1"/>
  <c r="I664" i="13"/>
  <c r="J664" i="13" s="1"/>
  <c r="I656" i="13"/>
  <c r="J656" i="13" s="1"/>
  <c r="I648" i="13"/>
  <c r="J648" i="13" s="1"/>
  <c r="I640" i="13"/>
  <c r="J640" i="13" s="1"/>
  <c r="I632" i="13"/>
  <c r="J632" i="13" s="1"/>
  <c r="I624" i="13"/>
  <c r="J624" i="13" s="1"/>
  <c r="I616" i="13"/>
  <c r="J616" i="13" s="1"/>
  <c r="I608" i="13"/>
  <c r="J608" i="13" s="1"/>
  <c r="I600" i="13"/>
  <c r="J600" i="13" s="1"/>
  <c r="I592" i="13"/>
  <c r="J592" i="13" s="1"/>
  <c r="I584" i="13"/>
  <c r="J584" i="13" s="1"/>
  <c r="I576" i="13"/>
  <c r="J576" i="13" s="1"/>
  <c r="I568" i="13"/>
  <c r="J568" i="13" s="1"/>
  <c r="I560" i="13"/>
  <c r="J560" i="13" s="1"/>
  <c r="I552" i="13"/>
  <c r="J552" i="13" s="1"/>
  <c r="I544" i="13"/>
  <c r="J544" i="13" s="1"/>
  <c r="I536" i="13"/>
  <c r="J536" i="13" s="1"/>
  <c r="I528" i="13"/>
  <c r="J528" i="13" s="1"/>
  <c r="I520" i="13"/>
  <c r="J520" i="13" s="1"/>
  <c r="I512" i="13"/>
  <c r="J512" i="13" s="1"/>
  <c r="I504" i="13"/>
  <c r="J504" i="13" s="1"/>
  <c r="I496" i="13"/>
  <c r="J496" i="13" s="1"/>
  <c r="I488" i="13"/>
  <c r="J488" i="13" s="1"/>
  <c r="I478" i="13"/>
  <c r="J478" i="13" s="1"/>
  <c r="I470" i="13"/>
  <c r="J470" i="13" s="1"/>
  <c r="I462" i="13"/>
  <c r="J462" i="13" s="1"/>
  <c r="I747" i="13"/>
  <c r="J747" i="13" s="1"/>
  <c r="I714" i="13"/>
  <c r="J714" i="13" s="1"/>
  <c r="I698" i="13"/>
  <c r="J698" i="13" s="1"/>
  <c r="I658" i="13"/>
  <c r="J658" i="13" s="1"/>
  <c r="I626" i="13"/>
  <c r="J626" i="13" s="1"/>
  <c r="I610" i="13"/>
  <c r="J610" i="13" s="1"/>
  <c r="I586" i="13"/>
  <c r="J586" i="13" s="1"/>
  <c r="I554" i="13"/>
  <c r="J554" i="13" s="1"/>
  <c r="I538" i="13"/>
  <c r="J538" i="13" s="1"/>
  <c r="I514" i="13"/>
  <c r="J514" i="13" s="1"/>
  <c r="I490" i="13"/>
  <c r="J490" i="13" s="1"/>
  <c r="I464" i="13"/>
  <c r="J464" i="13" s="1"/>
  <c r="I448" i="13"/>
  <c r="J448" i="13" s="1"/>
  <c r="I440" i="13"/>
  <c r="J440" i="13" s="1"/>
  <c r="I424" i="13"/>
  <c r="J424" i="13" s="1"/>
  <c r="I408" i="13"/>
  <c r="J408" i="13" s="1"/>
  <c r="I377" i="13"/>
  <c r="J377" i="13" s="1"/>
  <c r="I361" i="13"/>
  <c r="J361" i="13" s="1"/>
  <c r="I353" i="13"/>
  <c r="J353" i="13" s="1"/>
  <c r="I337" i="13"/>
  <c r="J337" i="13" s="1"/>
  <c r="I313" i="13"/>
  <c r="I297" i="13"/>
  <c r="J297" i="13" s="1"/>
  <c r="I289" i="13"/>
  <c r="J289" i="13" s="1"/>
  <c r="I265" i="13"/>
  <c r="J265" i="13" s="1"/>
  <c r="I257" i="13"/>
  <c r="J257" i="13" s="1"/>
  <c r="I241" i="13"/>
  <c r="J241" i="13" s="1"/>
  <c r="I225" i="13"/>
  <c r="J225" i="13" s="1"/>
  <c r="I209" i="13"/>
  <c r="J209" i="13" s="1"/>
  <c r="I193" i="13"/>
  <c r="J193" i="13" s="1"/>
  <c r="I177" i="13"/>
  <c r="J177" i="13" s="1"/>
  <c r="I161" i="13"/>
  <c r="J161" i="13" s="1"/>
  <c r="I145" i="13"/>
  <c r="J145" i="13" s="1"/>
  <c r="I137" i="13"/>
  <c r="J137" i="13" s="1"/>
  <c r="I121" i="13"/>
  <c r="J121" i="13" s="1"/>
  <c r="I105" i="13"/>
  <c r="J105" i="13" s="1"/>
  <c r="I81" i="13"/>
  <c r="J81" i="13" s="1"/>
  <c r="I743" i="13"/>
  <c r="J743" i="13" s="1"/>
  <c r="I735" i="13"/>
  <c r="J735" i="13" s="1"/>
  <c r="I727" i="13"/>
  <c r="J727" i="13" s="1"/>
  <c r="I719" i="13"/>
  <c r="J719" i="13" s="1"/>
  <c r="I711" i="13"/>
  <c r="J711" i="13" s="1"/>
  <c r="I703" i="13"/>
  <c r="J703" i="13" s="1"/>
  <c r="I695" i="13"/>
  <c r="J695" i="13" s="1"/>
  <c r="I687" i="13"/>
  <c r="J687" i="13" s="1"/>
  <c r="I679" i="13"/>
  <c r="J679" i="13" s="1"/>
  <c r="I671" i="13"/>
  <c r="J671" i="13" s="1"/>
  <c r="I663" i="13"/>
  <c r="J663" i="13" s="1"/>
  <c r="I655" i="13"/>
  <c r="J655" i="13" s="1"/>
  <c r="I647" i="13"/>
  <c r="J647" i="13" s="1"/>
  <c r="I639" i="13"/>
  <c r="J639" i="13" s="1"/>
  <c r="I631" i="13"/>
  <c r="J631" i="13" s="1"/>
  <c r="I623" i="13"/>
  <c r="J623" i="13" s="1"/>
  <c r="I615" i="13"/>
  <c r="J615" i="13" s="1"/>
  <c r="I607" i="13"/>
  <c r="J607" i="13" s="1"/>
  <c r="I599" i="13"/>
  <c r="J599" i="13" s="1"/>
  <c r="I591" i="13"/>
  <c r="J591" i="13" s="1"/>
  <c r="I583" i="13"/>
  <c r="J583" i="13" s="1"/>
  <c r="I575" i="13"/>
  <c r="J575" i="13" s="1"/>
  <c r="I567" i="13"/>
  <c r="J567" i="13" s="1"/>
  <c r="I559" i="13"/>
  <c r="J559" i="13" s="1"/>
  <c r="I551" i="13"/>
  <c r="J551" i="13" s="1"/>
  <c r="I543" i="13"/>
  <c r="J543" i="13" s="1"/>
  <c r="I535" i="13"/>
  <c r="J535" i="13" s="1"/>
  <c r="I527" i="13"/>
  <c r="J527" i="13" s="1"/>
  <c r="I519" i="13"/>
  <c r="J519" i="13" s="1"/>
  <c r="I511" i="13"/>
  <c r="J511" i="13" s="1"/>
  <c r="I503" i="13"/>
  <c r="J503" i="13" s="1"/>
  <c r="I495" i="13"/>
  <c r="J495" i="13" s="1"/>
  <c r="I487" i="13"/>
  <c r="J487" i="13" s="1"/>
  <c r="I477" i="13"/>
  <c r="J477" i="13" s="1"/>
  <c r="I469" i="13"/>
  <c r="J469" i="13" s="1"/>
  <c r="I461" i="13"/>
  <c r="J461" i="13" s="1"/>
  <c r="I453" i="13"/>
  <c r="J453" i="13" s="1"/>
  <c r="I445" i="13"/>
  <c r="J445" i="13" s="1"/>
  <c r="I437" i="13"/>
  <c r="J437" i="13" s="1"/>
  <c r="I429" i="13"/>
  <c r="J429" i="13" s="1"/>
  <c r="I421" i="13"/>
  <c r="J421" i="13" s="1"/>
  <c r="I413" i="13"/>
  <c r="J413" i="13" s="1"/>
  <c r="I405" i="13"/>
  <c r="J405" i="13" s="1"/>
  <c r="I398" i="13"/>
  <c r="J398" i="13" s="1"/>
  <c r="I390" i="13"/>
  <c r="J390" i="13" s="1"/>
  <c r="I382" i="13"/>
  <c r="J382" i="13" s="1"/>
  <c r="I374" i="13"/>
  <c r="J374" i="13" s="1"/>
  <c r="I366" i="13"/>
  <c r="J366" i="13" s="1"/>
  <c r="I358" i="13"/>
  <c r="J358" i="13" s="1"/>
  <c r="I350" i="13"/>
  <c r="J350" i="13" s="1"/>
  <c r="I342" i="13"/>
  <c r="J342" i="13" s="1"/>
  <c r="I334" i="13"/>
  <c r="J334" i="13" s="1"/>
  <c r="I326" i="13"/>
  <c r="J326" i="13" s="1"/>
  <c r="I318" i="13"/>
  <c r="J318" i="13" s="1"/>
  <c r="I310" i="13"/>
  <c r="J310" i="13" s="1"/>
  <c r="I302" i="13"/>
  <c r="J302" i="13" s="1"/>
  <c r="I294" i="13"/>
  <c r="J294" i="13" s="1"/>
  <c r="I286" i="13"/>
  <c r="J286" i="13" s="1"/>
  <c r="I730" i="13"/>
  <c r="J730" i="13" s="1"/>
  <c r="I706" i="13"/>
  <c r="J706" i="13" s="1"/>
  <c r="I674" i="13"/>
  <c r="J674" i="13" s="1"/>
  <c r="I642" i="13"/>
  <c r="J642" i="13" s="1"/>
  <c r="I618" i="13"/>
  <c r="J618" i="13" s="1"/>
  <c r="I594" i="13"/>
  <c r="J594" i="13" s="1"/>
  <c r="I570" i="13"/>
  <c r="J570" i="13" s="1"/>
  <c r="I546" i="13"/>
  <c r="J546" i="13" s="1"/>
  <c r="I522" i="13"/>
  <c r="J522" i="13" s="1"/>
  <c r="I480" i="13"/>
  <c r="J480" i="13" s="1"/>
  <c r="I393" i="13"/>
  <c r="J393" i="13" s="1"/>
  <c r="I742" i="13"/>
  <c r="J742" i="13" s="1"/>
  <c r="I734" i="13"/>
  <c r="J734" i="13" s="1"/>
  <c r="I726" i="13"/>
  <c r="J726" i="13" s="1"/>
  <c r="I718" i="13"/>
  <c r="J718" i="13" s="1"/>
  <c r="I710" i="13"/>
  <c r="J710" i="13" s="1"/>
  <c r="I702" i="13"/>
  <c r="J702" i="13" s="1"/>
  <c r="I694" i="13"/>
  <c r="J694" i="13" s="1"/>
  <c r="I686" i="13"/>
  <c r="J686" i="13" s="1"/>
  <c r="I678" i="13"/>
  <c r="J678" i="13" s="1"/>
  <c r="I670" i="13"/>
  <c r="J670" i="13" s="1"/>
  <c r="I662" i="13"/>
  <c r="J662" i="13" s="1"/>
  <c r="I654" i="13"/>
  <c r="J654" i="13" s="1"/>
  <c r="I646" i="13"/>
  <c r="J646" i="13" s="1"/>
  <c r="I638" i="13"/>
  <c r="J638" i="13" s="1"/>
  <c r="I630" i="13"/>
  <c r="J630" i="13" s="1"/>
  <c r="I622" i="13"/>
  <c r="J622" i="13" s="1"/>
  <c r="I614" i="13"/>
  <c r="J614" i="13" s="1"/>
  <c r="I606" i="13"/>
  <c r="J606" i="13" s="1"/>
  <c r="I598" i="13"/>
  <c r="J598" i="13" s="1"/>
  <c r="I590" i="13"/>
  <c r="J590" i="13" s="1"/>
  <c r="I582" i="13"/>
  <c r="J582" i="13" s="1"/>
  <c r="I574" i="13"/>
  <c r="J574" i="13" s="1"/>
  <c r="I566" i="13"/>
  <c r="J566" i="13" s="1"/>
  <c r="I558" i="13"/>
  <c r="J558" i="13" s="1"/>
  <c r="I550" i="13"/>
  <c r="J550" i="13" s="1"/>
  <c r="I542" i="13"/>
  <c r="J542" i="13" s="1"/>
  <c r="I534" i="13"/>
  <c r="J534" i="13" s="1"/>
  <c r="I526" i="13"/>
  <c r="J526" i="13" s="1"/>
  <c r="I518" i="13"/>
  <c r="J518" i="13" s="1"/>
  <c r="I510" i="13"/>
  <c r="J510" i="13" s="1"/>
  <c r="I502" i="13"/>
  <c r="J502" i="13" s="1"/>
  <c r="I494" i="13"/>
  <c r="J494" i="13" s="1"/>
  <c r="I486" i="13"/>
  <c r="J486" i="13" s="1"/>
  <c r="I476" i="13"/>
  <c r="J476" i="13" s="1"/>
  <c r="I468" i="13"/>
  <c r="J468" i="13" s="1"/>
  <c r="I460" i="13"/>
  <c r="J460" i="13" s="1"/>
  <c r="I452" i="13"/>
  <c r="J452" i="13" s="1"/>
  <c r="I444" i="13"/>
  <c r="J444" i="13" s="1"/>
  <c r="I436" i="13"/>
  <c r="J436" i="13" s="1"/>
  <c r="I428" i="13"/>
  <c r="J428" i="13" s="1"/>
  <c r="I420" i="13"/>
  <c r="J420" i="13" s="1"/>
  <c r="I412" i="13"/>
  <c r="J412" i="13" s="1"/>
  <c r="I404" i="13"/>
  <c r="J404" i="13" s="1"/>
  <c r="I397" i="13"/>
  <c r="J397" i="13" s="1"/>
  <c r="I389" i="13"/>
  <c r="J389" i="13" s="1"/>
  <c r="I381" i="13"/>
  <c r="J381" i="13" s="1"/>
  <c r="I373" i="13"/>
  <c r="J373" i="13" s="1"/>
  <c r="I365" i="13"/>
  <c r="J365" i="13" s="1"/>
  <c r="I357" i="13"/>
  <c r="J357" i="13" s="1"/>
  <c r="I349" i="13"/>
  <c r="J349" i="13" s="1"/>
  <c r="I341" i="13"/>
  <c r="J341" i="13" s="1"/>
  <c r="I333" i="13"/>
  <c r="J333" i="13" s="1"/>
  <c r="I325" i="13"/>
  <c r="J325" i="13" s="1"/>
  <c r="I317" i="13"/>
  <c r="J317" i="13" s="1"/>
  <c r="I309" i="13"/>
  <c r="J309" i="13" s="1"/>
  <c r="I301" i="13"/>
  <c r="J301" i="13" s="1"/>
  <c r="I293" i="13"/>
  <c r="J293" i="13" s="1"/>
  <c r="I285" i="13"/>
  <c r="J285" i="13" s="1"/>
  <c r="I277" i="13"/>
  <c r="J277" i="13" s="1"/>
  <c r="I269" i="13"/>
  <c r="J269" i="13" s="1"/>
  <c r="I261" i="13"/>
  <c r="J261" i="13" s="1"/>
  <c r="I253" i="13"/>
  <c r="J253" i="13" s="1"/>
  <c r="I245" i="13"/>
  <c r="J245" i="13" s="1"/>
  <c r="I237" i="13"/>
  <c r="J237" i="13" s="1"/>
  <c r="I229" i="13"/>
  <c r="J229" i="13" s="1"/>
  <c r="I221" i="13"/>
  <c r="J221" i="13" s="1"/>
  <c r="I213" i="13"/>
  <c r="J213" i="13" s="1"/>
  <c r="I205" i="13"/>
  <c r="J205" i="13" s="1"/>
  <c r="I197" i="13"/>
  <c r="J197" i="13" s="1"/>
  <c r="I189" i="13"/>
  <c r="J189" i="13" s="1"/>
  <c r="I181" i="13"/>
  <c r="J181" i="13" s="1"/>
  <c r="I173" i="13"/>
  <c r="J173" i="13" s="1"/>
  <c r="I165" i="13"/>
  <c r="J165" i="13" s="1"/>
  <c r="I157" i="13"/>
  <c r="J157" i="13" s="1"/>
  <c r="I149" i="13"/>
  <c r="J149" i="13" s="1"/>
  <c r="I141" i="13"/>
  <c r="J141" i="13" s="1"/>
  <c r="I133" i="13"/>
  <c r="J133" i="13" s="1"/>
  <c r="I125" i="13"/>
  <c r="J125" i="13" s="1"/>
  <c r="I117" i="13"/>
  <c r="J117" i="13" s="1"/>
  <c r="I109" i="13"/>
  <c r="J109" i="13" s="1"/>
  <c r="I101" i="13"/>
  <c r="J101" i="13" s="1"/>
  <c r="I93" i="13"/>
  <c r="J93" i="13" s="1"/>
  <c r="I85" i="13"/>
  <c r="J85" i="13" s="1"/>
  <c r="I77" i="13"/>
  <c r="J77" i="13" s="1"/>
  <c r="I731" i="13"/>
  <c r="J731" i="13" s="1"/>
  <c r="I738" i="13"/>
  <c r="J738" i="13" s="1"/>
  <c r="I682" i="13"/>
  <c r="J682" i="13" s="1"/>
  <c r="I733" i="13"/>
  <c r="J733" i="13" s="1"/>
  <c r="I717" i="13"/>
  <c r="J717" i="13" s="1"/>
  <c r="I701" i="13"/>
  <c r="J701" i="13" s="1"/>
  <c r="I685" i="13"/>
  <c r="J685" i="13" s="1"/>
  <c r="I669" i="13"/>
  <c r="J669" i="13" s="1"/>
  <c r="I653" i="13"/>
  <c r="J653" i="13" s="1"/>
  <c r="I637" i="13"/>
  <c r="J637" i="13" s="1"/>
  <c r="I621" i="13"/>
  <c r="J621" i="13" s="1"/>
  <c r="I605" i="13"/>
  <c r="J605" i="13" s="1"/>
  <c r="I589" i="13"/>
  <c r="J589" i="13" s="1"/>
  <c r="I573" i="13"/>
  <c r="J573" i="13" s="1"/>
  <c r="I557" i="13"/>
  <c r="J557" i="13" s="1"/>
  <c r="I541" i="13"/>
  <c r="J541" i="13" s="1"/>
  <c r="I525" i="13"/>
  <c r="J525" i="13" s="1"/>
  <c r="I501" i="13"/>
  <c r="J501" i="13" s="1"/>
  <c r="I485" i="13"/>
  <c r="J485" i="13" s="1"/>
  <c r="I467" i="13"/>
  <c r="J467" i="13" s="1"/>
  <c r="I451" i="13"/>
  <c r="J451" i="13" s="1"/>
  <c r="I435" i="13"/>
  <c r="J435" i="13" s="1"/>
  <c r="I427" i="13"/>
  <c r="J427" i="13" s="1"/>
  <c r="I411" i="13"/>
  <c r="J411" i="13" s="1"/>
  <c r="I396" i="13"/>
  <c r="J396" i="13" s="1"/>
  <c r="I388" i="13"/>
  <c r="J388" i="13" s="1"/>
  <c r="I380" i="13"/>
  <c r="J380" i="13" s="1"/>
  <c r="I372" i="13"/>
  <c r="J372" i="13" s="1"/>
  <c r="I356" i="13"/>
  <c r="J356" i="13" s="1"/>
  <c r="I348" i="13"/>
  <c r="J348" i="13" s="1"/>
  <c r="I340" i="13"/>
  <c r="J340" i="13" s="1"/>
  <c r="I332" i="13"/>
  <c r="J332" i="13" s="1"/>
  <c r="I324" i="13"/>
  <c r="J324" i="13" s="1"/>
  <c r="I316" i="13"/>
  <c r="J316" i="13" s="1"/>
  <c r="I308" i="13"/>
  <c r="J308" i="13" s="1"/>
  <c r="I300" i="13"/>
  <c r="J300" i="13" s="1"/>
  <c r="J292" i="13"/>
  <c r="I284" i="13"/>
  <c r="J284" i="13" s="1"/>
  <c r="I276" i="13"/>
  <c r="J276" i="13" s="1"/>
  <c r="I746" i="13"/>
  <c r="J746" i="13" s="1"/>
  <c r="I666" i="13"/>
  <c r="J666" i="13" s="1"/>
  <c r="I741" i="13"/>
  <c r="J741" i="13" s="1"/>
  <c r="I725" i="13"/>
  <c r="J725" i="13" s="1"/>
  <c r="I709" i="13"/>
  <c r="J709" i="13" s="1"/>
  <c r="I693" i="13"/>
  <c r="J693" i="13" s="1"/>
  <c r="I677" i="13"/>
  <c r="J677" i="13" s="1"/>
  <c r="I661" i="13"/>
  <c r="J661" i="13" s="1"/>
  <c r="I645" i="13"/>
  <c r="J645" i="13" s="1"/>
  <c r="I629" i="13"/>
  <c r="J629" i="13" s="1"/>
  <c r="I613" i="13"/>
  <c r="J613" i="13" s="1"/>
  <c r="I597" i="13"/>
  <c r="J597" i="13" s="1"/>
  <c r="I581" i="13"/>
  <c r="J581" i="13" s="1"/>
  <c r="I565" i="13"/>
  <c r="J565" i="13" s="1"/>
  <c r="I549" i="13"/>
  <c r="J549" i="13" s="1"/>
  <c r="I533" i="13"/>
  <c r="J533" i="13" s="1"/>
  <c r="I517" i="13"/>
  <c r="J517" i="13" s="1"/>
  <c r="I509" i="13"/>
  <c r="J509" i="13" s="1"/>
  <c r="I493" i="13"/>
  <c r="J493" i="13" s="1"/>
  <c r="I475" i="13"/>
  <c r="J475" i="13" s="1"/>
  <c r="I459" i="13"/>
  <c r="J459" i="13" s="1"/>
  <c r="I443" i="13"/>
  <c r="J443" i="13" s="1"/>
  <c r="I419" i="13"/>
  <c r="J419" i="13" s="1"/>
  <c r="I364" i="13"/>
  <c r="J364" i="13" s="1"/>
  <c r="I748" i="13"/>
  <c r="J748" i="13" s="1"/>
  <c r="I740" i="13"/>
  <c r="J740" i="13" s="1"/>
  <c r="I732" i="13"/>
  <c r="J732" i="13" s="1"/>
  <c r="I724" i="13"/>
  <c r="J724" i="13" s="1"/>
  <c r="I716" i="13"/>
  <c r="J716" i="13" s="1"/>
  <c r="I708" i="13"/>
  <c r="J708" i="13" s="1"/>
  <c r="I700" i="13"/>
  <c r="J700" i="13" s="1"/>
  <c r="I692" i="13"/>
  <c r="J692" i="13" s="1"/>
  <c r="I684" i="13"/>
  <c r="J684" i="13" s="1"/>
  <c r="I676" i="13"/>
  <c r="J676" i="13" s="1"/>
  <c r="I668" i="13"/>
  <c r="J668" i="13" s="1"/>
  <c r="I660" i="13"/>
  <c r="J660" i="13" s="1"/>
  <c r="I652" i="13"/>
  <c r="J652" i="13" s="1"/>
  <c r="I644" i="13"/>
  <c r="J644" i="13" s="1"/>
  <c r="I636" i="13"/>
  <c r="J636" i="13" s="1"/>
  <c r="I628" i="13"/>
  <c r="J628" i="13" s="1"/>
  <c r="I620" i="13"/>
  <c r="J620" i="13" s="1"/>
  <c r="I612" i="13"/>
  <c r="J612" i="13" s="1"/>
  <c r="I604" i="13"/>
  <c r="J604" i="13" s="1"/>
  <c r="I596" i="13"/>
  <c r="J596" i="13" s="1"/>
  <c r="I588" i="13"/>
  <c r="J588" i="13" s="1"/>
  <c r="I580" i="13"/>
  <c r="J580" i="13" s="1"/>
  <c r="I572" i="13"/>
  <c r="J572" i="13" s="1"/>
  <c r="I564" i="13"/>
  <c r="J564" i="13" s="1"/>
  <c r="I556" i="13"/>
  <c r="J556" i="13" s="1"/>
  <c r="I548" i="13"/>
  <c r="J548" i="13" s="1"/>
  <c r="I540" i="13"/>
  <c r="J540" i="13" s="1"/>
  <c r="I532" i="13"/>
  <c r="J532" i="13" s="1"/>
  <c r="I524" i="13"/>
  <c r="J524" i="13" s="1"/>
  <c r="I516" i="13"/>
  <c r="J516" i="13" s="1"/>
  <c r="I508" i="13"/>
  <c r="J508" i="13" s="1"/>
  <c r="I500" i="13"/>
  <c r="J500" i="13" s="1"/>
  <c r="I492" i="13"/>
  <c r="J492" i="13" s="1"/>
  <c r="I482" i="13"/>
  <c r="J482" i="13" s="1"/>
  <c r="I474" i="13"/>
  <c r="J474" i="13" s="1"/>
  <c r="I466" i="13"/>
  <c r="J466" i="13" s="1"/>
  <c r="I458" i="13"/>
  <c r="J458" i="13" s="1"/>
  <c r="I723" i="13"/>
  <c r="J723" i="13" s="1"/>
  <c r="I715" i="13"/>
  <c r="J715" i="13" s="1"/>
  <c r="I707" i="13"/>
  <c r="J707" i="13" s="1"/>
  <c r="I699" i="13"/>
  <c r="J699" i="13" s="1"/>
  <c r="I691" i="13"/>
  <c r="J691" i="13" s="1"/>
  <c r="I683" i="13"/>
  <c r="J683" i="13" s="1"/>
  <c r="I675" i="13"/>
  <c r="J675" i="13" s="1"/>
  <c r="I667" i="13"/>
  <c r="J667" i="13" s="1"/>
  <c r="I659" i="13"/>
  <c r="J659" i="13" s="1"/>
  <c r="I651" i="13"/>
  <c r="J651" i="13" s="1"/>
  <c r="I643" i="13"/>
  <c r="J643" i="13" s="1"/>
  <c r="I635" i="13"/>
  <c r="J635" i="13" s="1"/>
  <c r="I627" i="13"/>
  <c r="J627" i="13" s="1"/>
  <c r="I619" i="13"/>
  <c r="J619" i="13" s="1"/>
  <c r="I611" i="13"/>
  <c r="J611" i="13" s="1"/>
  <c r="I603" i="13"/>
  <c r="J603" i="13" s="1"/>
  <c r="I595" i="13"/>
  <c r="J595" i="13" s="1"/>
  <c r="I587" i="13"/>
  <c r="J587" i="13" s="1"/>
  <c r="I579" i="13"/>
  <c r="J579" i="13" s="1"/>
  <c r="I571" i="13"/>
  <c r="J571" i="13" s="1"/>
  <c r="I563" i="13"/>
  <c r="J563" i="13" s="1"/>
  <c r="I555" i="13"/>
  <c r="J555" i="13" s="1"/>
  <c r="I547" i="13"/>
  <c r="J547" i="13" s="1"/>
  <c r="I539" i="13"/>
  <c r="J539" i="13" s="1"/>
  <c r="I531" i="13"/>
  <c r="J531" i="13" s="1"/>
  <c r="I523" i="13"/>
  <c r="J523" i="13" s="1"/>
  <c r="I515" i="13"/>
  <c r="J515" i="13" s="1"/>
  <c r="I507" i="13"/>
  <c r="J507" i="13" s="1"/>
  <c r="I499" i="13"/>
  <c r="J499" i="13" s="1"/>
  <c r="I491" i="13"/>
  <c r="J491" i="13" s="1"/>
  <c r="I481" i="13"/>
  <c r="J481" i="13" s="1"/>
  <c r="I473" i="13"/>
  <c r="J473" i="13" s="1"/>
  <c r="I465" i="13"/>
  <c r="J465" i="13" s="1"/>
  <c r="I457" i="13"/>
  <c r="J457" i="13" s="1"/>
  <c r="I449" i="13"/>
  <c r="J449" i="13" s="1"/>
  <c r="I433" i="13"/>
  <c r="J433" i="13" s="1"/>
  <c r="I425" i="13"/>
  <c r="J425" i="13" s="1"/>
  <c r="I417" i="13"/>
  <c r="J417" i="13" s="1"/>
  <c r="I409" i="13"/>
  <c r="J409" i="13" s="1"/>
  <c r="I402" i="13"/>
  <c r="J402" i="13" s="1"/>
  <c r="I394" i="13"/>
  <c r="J394" i="13" s="1"/>
  <c r="I386" i="13"/>
  <c r="J386" i="13" s="1"/>
  <c r="I378" i="13"/>
  <c r="J378" i="13" s="1"/>
  <c r="I370" i="13"/>
  <c r="J370" i="13" s="1"/>
  <c r="I362" i="13"/>
  <c r="J362" i="13" s="1"/>
  <c r="I354" i="13"/>
  <c r="J354" i="13" s="1"/>
  <c r="I346" i="13"/>
  <c r="J346" i="13" s="1"/>
  <c r="I338" i="13"/>
  <c r="J338" i="13" s="1"/>
  <c r="I330" i="13"/>
  <c r="J330" i="13" s="1"/>
  <c r="I322" i="13"/>
  <c r="J322" i="13" s="1"/>
  <c r="I314" i="13"/>
  <c r="J314" i="13" s="1"/>
  <c r="I306" i="13"/>
  <c r="J306" i="13" s="1"/>
  <c r="I298" i="13"/>
  <c r="J298" i="13" s="1"/>
  <c r="I290" i="13"/>
  <c r="J290" i="13" s="1"/>
  <c r="I282" i="13"/>
  <c r="J282" i="13" s="1"/>
  <c r="I274" i="13"/>
  <c r="J274" i="13" s="1"/>
  <c r="I258" i="13"/>
  <c r="J258" i="13" s="1"/>
  <c r="I250" i="13"/>
  <c r="J250" i="13" s="1"/>
  <c r="I242" i="13"/>
  <c r="I234" i="13"/>
  <c r="J234" i="13" s="1"/>
  <c r="I226" i="13"/>
  <c r="J226" i="13" s="1"/>
  <c r="I218" i="13"/>
  <c r="J218" i="13" s="1"/>
  <c r="I210" i="13"/>
  <c r="J210" i="13" s="1"/>
  <c r="I202" i="13"/>
  <c r="J202" i="13" s="1"/>
  <c r="I280" i="13"/>
  <c r="J280" i="13" s="1"/>
  <c r="I264" i="13"/>
  <c r="J264" i="13" s="1"/>
  <c r="I256" i="13"/>
  <c r="J256" i="13" s="1"/>
  <c r="I248" i="13"/>
  <c r="J248" i="13" s="1"/>
  <c r="I240" i="13"/>
  <c r="J240" i="13" s="1"/>
  <c r="I232" i="13"/>
  <c r="J232" i="13" s="1"/>
  <c r="I224" i="13"/>
  <c r="J224" i="13" s="1"/>
  <c r="I216" i="13"/>
  <c r="J216" i="13" s="1"/>
  <c r="I200" i="13"/>
  <c r="J200" i="13" s="1"/>
  <c r="I446" i="13"/>
  <c r="J446" i="13" s="1"/>
  <c r="I430" i="13"/>
  <c r="J430" i="13" s="1"/>
  <c r="I399" i="13"/>
  <c r="J399" i="13" s="1"/>
  <c r="I383" i="13"/>
  <c r="J383" i="13" s="1"/>
  <c r="I367" i="13"/>
  <c r="J367" i="13" s="1"/>
  <c r="I351" i="13"/>
  <c r="J351" i="13" s="1"/>
  <c r="J327" i="13"/>
  <c r="I319" i="13"/>
  <c r="J319" i="13" s="1"/>
  <c r="I311" i="13"/>
  <c r="J311" i="13" s="1"/>
  <c r="I303" i="13"/>
  <c r="J303" i="13" s="1"/>
  <c r="I295" i="13"/>
  <c r="J295" i="13" s="1"/>
  <c r="I287" i="13"/>
  <c r="J287" i="13" s="1"/>
  <c r="I279" i="13"/>
  <c r="J279" i="13" s="1"/>
  <c r="I271" i="13"/>
  <c r="J271" i="13" s="1"/>
  <c r="I263" i="13"/>
  <c r="J263" i="13" s="1"/>
  <c r="I255" i="13"/>
  <c r="J255" i="13" s="1"/>
  <c r="I247" i="13"/>
  <c r="J247" i="13" s="1"/>
  <c r="I239" i="13"/>
  <c r="J239" i="13" s="1"/>
  <c r="I231" i="13"/>
  <c r="J231" i="13" s="1"/>
  <c r="I223" i="13"/>
  <c r="J223" i="13" s="1"/>
  <c r="I215" i="13"/>
  <c r="J215" i="13" s="1"/>
  <c r="I207" i="13"/>
  <c r="J207" i="13" s="1"/>
  <c r="I199" i="13"/>
  <c r="J199" i="13" s="1"/>
  <c r="I191" i="13"/>
  <c r="J191" i="13" s="1"/>
  <c r="I183" i="13"/>
  <c r="J183" i="13" s="1"/>
  <c r="I175" i="13"/>
  <c r="J175" i="13" s="1"/>
  <c r="I167" i="13"/>
  <c r="J167" i="13" s="1"/>
  <c r="I159" i="13"/>
  <c r="J159" i="13" s="1"/>
  <c r="I151" i="13"/>
  <c r="J151" i="13" s="1"/>
  <c r="I143" i="13"/>
  <c r="J143" i="13" s="1"/>
  <c r="I135" i="13"/>
  <c r="J135" i="13" s="1"/>
  <c r="I127" i="13"/>
  <c r="J127" i="13" s="1"/>
  <c r="I111" i="13"/>
  <c r="J111" i="13" s="1"/>
  <c r="I103" i="13"/>
  <c r="J103" i="13" s="1"/>
  <c r="I95" i="13"/>
  <c r="J95" i="13" s="1"/>
  <c r="I87" i="13"/>
  <c r="J87" i="13" s="1"/>
  <c r="I79" i="13"/>
  <c r="J79" i="13" s="1"/>
  <c r="I406" i="13"/>
  <c r="J406" i="13" s="1"/>
  <c r="J212" i="13"/>
  <c r="I266" i="13"/>
  <c r="J266" i="13" s="1"/>
  <c r="I278" i="13"/>
  <c r="J278" i="13" s="1"/>
  <c r="I270" i="13"/>
  <c r="J270" i="13" s="1"/>
  <c r="I262" i="13"/>
  <c r="J262" i="13" s="1"/>
  <c r="I254" i="13"/>
  <c r="J254" i="13" s="1"/>
  <c r="I246" i="13"/>
  <c r="I238" i="13"/>
  <c r="J238" i="13" s="1"/>
  <c r="I222" i="13"/>
  <c r="J222" i="13" s="1"/>
  <c r="I214" i="13"/>
  <c r="J214" i="13" s="1"/>
  <c r="I206" i="13"/>
  <c r="J206" i="13" s="1"/>
  <c r="I198" i="13"/>
  <c r="J198" i="13" s="1"/>
  <c r="I190" i="13"/>
  <c r="J190" i="13" s="1"/>
  <c r="I182" i="13"/>
  <c r="J182" i="13" s="1"/>
  <c r="I174" i="13"/>
  <c r="J174" i="13" s="1"/>
  <c r="I158" i="13"/>
  <c r="J158" i="13" s="1"/>
  <c r="I150" i="13"/>
  <c r="J150" i="13" s="1"/>
  <c r="I142" i="13"/>
  <c r="J142" i="13" s="1"/>
  <c r="I134" i="13"/>
  <c r="J134" i="13" s="1"/>
  <c r="I126" i="13"/>
  <c r="J126" i="13" s="1"/>
  <c r="I118" i="13"/>
  <c r="J118" i="13" s="1"/>
  <c r="I110" i="13"/>
  <c r="J110" i="13" s="1"/>
  <c r="I102" i="13"/>
  <c r="J102" i="13" s="1"/>
  <c r="I86" i="13"/>
  <c r="J86" i="13" s="1"/>
  <c r="I78" i="13"/>
  <c r="I359" i="13"/>
  <c r="J359" i="13" s="1"/>
  <c r="I119" i="13"/>
  <c r="J119" i="13" s="1"/>
  <c r="J172" i="13"/>
  <c r="I438" i="13"/>
  <c r="J438" i="13" s="1"/>
  <c r="I272" i="13"/>
  <c r="J272" i="13" s="1"/>
  <c r="I94" i="13"/>
  <c r="J94" i="13" s="1"/>
  <c r="J454" i="13"/>
  <c r="J132" i="13"/>
  <c r="I268" i="13"/>
  <c r="J268" i="13" s="1"/>
  <c r="I260" i="13"/>
  <c r="J260" i="13" s="1"/>
  <c r="I244" i="13"/>
  <c r="J244" i="13" s="1"/>
  <c r="I236" i="13"/>
  <c r="J236" i="13" s="1"/>
  <c r="I228" i="13"/>
  <c r="J228" i="13" s="1"/>
  <c r="I220" i="13"/>
  <c r="J220" i="13" s="1"/>
  <c r="I204" i="13"/>
  <c r="J204" i="13" s="1"/>
  <c r="I196" i="13"/>
  <c r="J196" i="13" s="1"/>
  <c r="I188" i="13"/>
  <c r="J188" i="13" s="1"/>
  <c r="I180" i="13"/>
  <c r="J180" i="13" s="1"/>
  <c r="I164" i="13"/>
  <c r="J164" i="13" s="1"/>
  <c r="I156" i="13"/>
  <c r="J156" i="13" s="1"/>
  <c r="I148" i="13"/>
  <c r="J148" i="13" s="1"/>
  <c r="I140" i="13"/>
  <c r="J140" i="13" s="1"/>
  <c r="I124" i="13"/>
  <c r="J124" i="13" s="1"/>
  <c r="I116" i="13"/>
  <c r="J116" i="13" s="1"/>
  <c r="I108" i="13"/>
  <c r="J108" i="13" s="1"/>
  <c r="I100" i="13"/>
  <c r="J100" i="13" s="1"/>
  <c r="I92" i="13"/>
  <c r="J92" i="13" s="1"/>
  <c r="I84" i="13"/>
  <c r="J84" i="13" s="1"/>
  <c r="I76" i="13"/>
  <c r="I391" i="13"/>
  <c r="J391" i="13" s="1"/>
  <c r="J414" i="13"/>
  <c r="J88" i="13"/>
  <c r="I450" i="13"/>
  <c r="J450" i="13" s="1"/>
  <c r="I442" i="13"/>
  <c r="J442" i="13" s="1"/>
  <c r="I434" i="13"/>
  <c r="J434" i="13" s="1"/>
  <c r="I426" i="13"/>
  <c r="J426" i="13" s="1"/>
  <c r="I418" i="13"/>
  <c r="J418" i="13" s="1"/>
  <c r="I410" i="13"/>
  <c r="J410" i="13" s="1"/>
  <c r="I403" i="13"/>
  <c r="J403" i="13" s="1"/>
  <c r="I395" i="13"/>
  <c r="J395" i="13" s="1"/>
  <c r="I387" i="13"/>
  <c r="J387" i="13" s="1"/>
  <c r="I379" i="13"/>
  <c r="J379" i="13" s="1"/>
  <c r="I371" i="13"/>
  <c r="J371" i="13" s="1"/>
  <c r="I363" i="13"/>
  <c r="J363" i="13" s="1"/>
  <c r="I355" i="13"/>
  <c r="J355" i="13" s="1"/>
  <c r="I347" i="13"/>
  <c r="J347" i="13" s="1"/>
  <c r="I339" i="13"/>
  <c r="J339" i="13" s="1"/>
  <c r="I331" i="13"/>
  <c r="J331" i="13" s="1"/>
  <c r="I323" i="13"/>
  <c r="J323" i="13" s="1"/>
  <c r="J315" i="13"/>
  <c r="I307" i="13"/>
  <c r="J307" i="13" s="1"/>
  <c r="I299" i="13"/>
  <c r="J299" i="13" s="1"/>
  <c r="I291" i="13"/>
  <c r="J291" i="13" s="1"/>
  <c r="I283" i="13"/>
  <c r="J283" i="13" s="1"/>
  <c r="I275" i="13"/>
  <c r="J275" i="13" s="1"/>
  <c r="I267" i="13"/>
  <c r="J267" i="13" s="1"/>
  <c r="I259" i="13"/>
  <c r="J259" i="13" s="1"/>
  <c r="J251" i="13"/>
  <c r="I243" i="13"/>
  <c r="J243" i="13" s="1"/>
  <c r="I235" i="13"/>
  <c r="J235" i="13" s="1"/>
  <c r="I227" i="13"/>
  <c r="J227" i="13" s="1"/>
  <c r="I219" i="13"/>
  <c r="J219" i="13" s="1"/>
  <c r="I211" i="13"/>
  <c r="J211" i="13" s="1"/>
  <c r="I203" i="13"/>
  <c r="J203" i="13" s="1"/>
  <c r="I195" i="13"/>
  <c r="J195" i="13" s="1"/>
  <c r="I179" i="13"/>
  <c r="J179" i="13" s="1"/>
  <c r="I171" i="13"/>
  <c r="J171" i="13" s="1"/>
  <c r="I163" i="13"/>
  <c r="J163" i="13" s="1"/>
  <c r="I155" i="13"/>
  <c r="J155" i="13" s="1"/>
  <c r="I147" i="13"/>
  <c r="J147" i="13" s="1"/>
  <c r="I139" i="13"/>
  <c r="J139" i="13" s="1"/>
  <c r="I131" i="13"/>
  <c r="J131" i="13" s="1"/>
  <c r="I123" i="13"/>
  <c r="J123" i="13" s="1"/>
  <c r="I115" i="13"/>
  <c r="J115" i="13" s="1"/>
  <c r="I107" i="13"/>
  <c r="J107" i="13" s="1"/>
  <c r="I99" i="13"/>
  <c r="J99" i="13" s="1"/>
  <c r="I91" i="13"/>
  <c r="J91" i="13" s="1"/>
  <c r="I83" i="13"/>
  <c r="J83" i="13" s="1"/>
  <c r="I75" i="13"/>
  <c r="J75" i="13" s="1"/>
  <c r="I343" i="13"/>
  <c r="J343" i="13" s="1"/>
  <c r="I230" i="13"/>
  <c r="J230" i="13" s="1"/>
  <c r="J375" i="13"/>
  <c r="I194" i="13"/>
  <c r="J194" i="13" s="1"/>
  <c r="I186" i="13"/>
  <c r="J186" i="13" s="1"/>
  <c r="I178" i="13"/>
  <c r="J178" i="13" s="1"/>
  <c r="I170" i="13"/>
  <c r="J170" i="13" s="1"/>
  <c r="I162" i="13"/>
  <c r="J162" i="13" s="1"/>
  <c r="I154" i="13"/>
  <c r="J154" i="13" s="1"/>
  <c r="I146" i="13"/>
  <c r="J146" i="13" s="1"/>
  <c r="I138" i="13"/>
  <c r="J138" i="13" s="1"/>
  <c r="I130" i="13"/>
  <c r="J130" i="13" s="1"/>
  <c r="I122" i="13"/>
  <c r="J122" i="13" s="1"/>
  <c r="I114" i="13"/>
  <c r="J114" i="13" s="1"/>
  <c r="I106" i="13"/>
  <c r="J106" i="13" s="1"/>
  <c r="I98" i="13"/>
  <c r="J98" i="13" s="1"/>
  <c r="I90" i="13"/>
  <c r="J90" i="13" s="1"/>
  <c r="I82" i="13"/>
  <c r="J82" i="13" s="1"/>
  <c r="I74" i="13"/>
  <c r="J74" i="13" s="1"/>
  <c r="I422" i="13"/>
  <c r="J422" i="13" s="1"/>
  <c r="I208" i="13"/>
  <c r="J208" i="13" s="1"/>
  <c r="J335" i="13"/>
  <c r="I187" i="13"/>
  <c r="J187" i="13" s="1"/>
  <c r="I192" i="13"/>
  <c r="J192" i="13" s="1"/>
  <c r="I184" i="13"/>
  <c r="J184" i="13" s="1"/>
  <c r="I176" i="13"/>
  <c r="J176" i="13" s="1"/>
  <c r="I168" i="13"/>
  <c r="J168" i="13" s="1"/>
  <c r="I160" i="13"/>
  <c r="J160" i="13" s="1"/>
  <c r="I152" i="13"/>
  <c r="J152" i="13" s="1"/>
  <c r="J144" i="13"/>
  <c r="I136" i="13"/>
  <c r="J136" i="13" s="1"/>
  <c r="I128" i="13"/>
  <c r="J128" i="13" s="1"/>
  <c r="I120" i="13"/>
  <c r="J120" i="13" s="1"/>
  <c r="I112" i="13"/>
  <c r="J112" i="13" s="1"/>
  <c r="I104" i="13"/>
  <c r="J104" i="13" s="1"/>
  <c r="I96" i="13"/>
  <c r="J96" i="13" s="1"/>
  <c r="I80" i="13"/>
  <c r="J80" i="13" s="1"/>
  <c r="I166" i="13"/>
  <c r="J166" i="13" s="1"/>
  <c r="J252" i="13"/>
  <c r="J55" i="13"/>
  <c r="J43" i="13"/>
  <c r="J42" i="13"/>
  <c r="F66" i="12"/>
  <c r="G66" i="12" s="1"/>
  <c r="G58" i="12"/>
  <c r="G61" i="12"/>
  <c r="I59" i="13"/>
  <c r="J59" i="13" s="1"/>
  <c r="I34" i="13"/>
  <c r="J34" i="13" s="1"/>
  <c r="I20" i="13"/>
  <c r="J20" i="13" s="1"/>
  <c r="I66" i="13"/>
  <c r="J66" i="13" s="1"/>
  <c r="I58" i="13"/>
  <c r="J58" i="13" s="1"/>
  <c r="I49" i="13"/>
  <c r="J49" i="13" s="1"/>
  <c r="I45" i="13"/>
  <c r="J45" i="13" s="1"/>
  <c r="I33" i="13"/>
  <c r="J33" i="13" s="1"/>
  <c r="I44" i="13"/>
  <c r="J44" i="13" s="1"/>
  <c r="I32" i="13"/>
  <c r="J32" i="13" s="1"/>
  <c r="I64" i="13"/>
  <c r="J64" i="13" s="1"/>
  <c r="I47" i="13"/>
  <c r="J47" i="13" s="1"/>
  <c r="I31" i="13"/>
  <c r="J31" i="13" s="1"/>
  <c r="J25" i="13"/>
  <c r="I71" i="13"/>
  <c r="J71" i="13" s="1"/>
  <c r="I63" i="13"/>
  <c r="J63" i="13" s="1"/>
  <c r="I54" i="13"/>
  <c r="J54" i="13" s="1"/>
  <c r="I46" i="13"/>
  <c r="J46" i="13" s="1"/>
  <c r="I30" i="13"/>
  <c r="J30" i="13" s="1"/>
  <c r="J24" i="13"/>
  <c r="I70" i="13"/>
  <c r="J70" i="13" s="1"/>
  <c r="I62" i="13"/>
  <c r="J62" i="13" s="1"/>
  <c r="I53" i="13"/>
  <c r="J53" i="13" s="1"/>
  <c r="I41" i="13"/>
  <c r="J41" i="13" s="1"/>
  <c r="I29" i="13"/>
  <c r="J29" i="13" s="1"/>
  <c r="I23" i="13"/>
  <c r="J23" i="13" s="1"/>
  <c r="J57" i="13"/>
  <c r="I37" i="13"/>
  <c r="J37" i="13" s="1"/>
  <c r="I19" i="13"/>
  <c r="J19" i="13" s="1"/>
  <c r="J5" i="13"/>
  <c r="J13" i="13"/>
  <c r="J10" i="13"/>
  <c r="J69" i="13"/>
  <c r="J61" i="13"/>
  <c r="J52" i="13"/>
  <c r="J40" i="13"/>
  <c r="J36" i="13"/>
  <c r="J28" i="13"/>
  <c r="J22" i="13"/>
  <c r="J68" i="13"/>
  <c r="J60" i="13"/>
  <c r="J51" i="13"/>
  <c r="J39" i="13"/>
  <c r="J35" i="13"/>
  <c r="J27" i="13"/>
  <c r="J21" i="13"/>
  <c r="J12" i="13"/>
  <c r="J4" i="13"/>
  <c r="G59" i="12"/>
  <c r="G48" i="12"/>
  <c r="G72" i="12"/>
  <c r="G74" i="12"/>
  <c r="G62" i="12"/>
  <c r="F37" i="12"/>
  <c r="G37" i="12" s="1"/>
  <c r="G68" i="12"/>
  <c r="G67" i="12"/>
  <c r="G51" i="12"/>
  <c r="G46" i="12"/>
  <c r="F70" i="12"/>
  <c r="G70" i="12" s="1"/>
  <c r="G56" i="12"/>
  <c r="F54" i="12"/>
  <c r="G54" i="12" s="1"/>
  <c r="G73" i="12"/>
  <c r="G65" i="12"/>
  <c r="G57" i="12"/>
  <c r="G49" i="12"/>
  <c r="G19" i="12"/>
  <c r="G15" i="12"/>
  <c r="G21" i="12"/>
  <c r="G17" i="12"/>
  <c r="G27" i="12"/>
  <c r="J2" i="13"/>
  <c r="J14" i="13"/>
  <c r="J6" i="13"/>
  <c r="J9" i="13"/>
  <c r="J17" i="13"/>
  <c r="J3" i="13"/>
  <c r="J7" i="13"/>
  <c r="J15" i="13"/>
  <c r="J8" i="13"/>
  <c r="J16" i="13"/>
  <c r="F13" i="12"/>
  <c r="G13" i="12" s="1"/>
  <c r="G84" i="12"/>
  <c r="M10" i="11"/>
  <c r="P10" i="11" s="1"/>
  <c r="Y10" i="11"/>
  <c r="E81" i="12"/>
  <c r="F6" i="12"/>
  <c r="G6" i="12" s="1"/>
  <c r="E11" i="12"/>
  <c r="F11" i="12" s="1"/>
  <c r="E12" i="12"/>
  <c r="F12" i="12" s="1"/>
  <c r="G12" i="12" s="1"/>
  <c r="E14" i="12"/>
  <c r="F14" i="12" s="1"/>
  <c r="G14" i="12" s="1"/>
  <c r="E16" i="12"/>
  <c r="F16" i="12" s="1"/>
  <c r="G16" i="12" s="1"/>
  <c r="E18" i="12"/>
  <c r="F18" i="12" s="1"/>
  <c r="G18" i="12" s="1"/>
  <c r="E20" i="12"/>
  <c r="F20" i="12" s="1"/>
  <c r="G20" i="12" s="1"/>
  <c r="E22" i="12"/>
  <c r="F22" i="12" s="1"/>
  <c r="G22" i="12" s="1"/>
  <c r="E24" i="12"/>
  <c r="F24" i="12" s="1"/>
  <c r="G24" i="12" s="1"/>
  <c r="E26" i="12"/>
  <c r="E28" i="12"/>
  <c r="E30" i="12"/>
  <c r="F30" i="12" s="1"/>
  <c r="G30" i="12" s="1"/>
  <c r="E32" i="12"/>
  <c r="F32" i="12" s="1"/>
  <c r="G32" i="12" s="1"/>
  <c r="E34" i="12"/>
  <c r="F34" i="12" s="1"/>
  <c r="G34" i="12" s="1"/>
  <c r="E36" i="12"/>
  <c r="F36" i="12" s="1"/>
  <c r="G36" i="12" s="1"/>
  <c r="E38" i="12"/>
  <c r="F38" i="12" s="1"/>
  <c r="G38" i="12" s="1"/>
  <c r="E75" i="12"/>
  <c r="F75" i="12" s="1"/>
  <c r="G75" i="12" s="1"/>
  <c r="E76" i="12"/>
  <c r="F76" i="12" s="1"/>
  <c r="G76" i="12" s="1"/>
  <c r="E2" i="12"/>
  <c r="F2" i="12" s="1"/>
  <c r="AF6" i="11"/>
  <c r="AI5" i="11"/>
  <c r="AE5" i="11"/>
  <c r="AE4" i="11"/>
  <c r="AJ3" i="11"/>
  <c r="AE3" i="11"/>
  <c r="AG2" i="11"/>
  <c r="V26" i="11"/>
  <c r="AB10" i="11"/>
  <c r="U10" i="11"/>
  <c r="T10" i="11"/>
  <c r="W2" i="11"/>
  <c r="T1" i="11"/>
  <c r="M143" i="14" l="1"/>
  <c r="J313" i="13"/>
  <c r="J242" i="13"/>
  <c r="J246" i="13"/>
  <c r="J76" i="13"/>
  <c r="J78" i="13"/>
  <c r="AI10" i="11"/>
  <c r="J72" i="13"/>
  <c r="J18" i="13"/>
  <c r="F81" i="12"/>
  <c r="G81" i="12" s="1"/>
  <c r="G11" i="12"/>
  <c r="F26" i="12"/>
  <c r="G26" i="12" s="1"/>
  <c r="F28" i="12"/>
  <c r="G28" i="12" s="1"/>
  <c r="G2" i="12"/>
  <c r="AF10" i="11"/>
  <c r="M25" i="11"/>
  <c r="AC10" i="11"/>
  <c r="P25" i="11" l="1"/>
  <c r="AI25" i="11" s="1"/>
  <c r="AF25" i="11"/>
  <c r="E8" i="11" l="1"/>
  <c r="X8" i="11" s="1"/>
</calcChain>
</file>

<file path=xl/sharedStrings.xml><?xml version="1.0" encoding="utf-8"?>
<sst xmlns="http://schemas.openxmlformats.org/spreadsheetml/2006/main" count="6982" uniqueCount="857">
  <si>
    <t>단가</t>
    <phoneticPr fontId="2" type="noConversion"/>
  </si>
  <si>
    <t>납품일</t>
    <phoneticPr fontId="2" type="noConversion"/>
  </si>
  <si>
    <t>수량</t>
    <phoneticPr fontId="2" type="noConversion"/>
  </si>
  <si>
    <t>규격/단위</t>
    <phoneticPr fontId="2" type="noConversion"/>
  </si>
  <si>
    <t>공급가액</t>
    <phoneticPr fontId="2" type="noConversion"/>
  </si>
  <si>
    <t>횟수</t>
    <phoneticPr fontId="2" type="noConversion"/>
  </si>
  <si>
    <t>NO</t>
    <phoneticPr fontId="2" type="noConversion"/>
  </si>
  <si>
    <t>가맹점명</t>
    <phoneticPr fontId="2" type="noConversion"/>
  </si>
  <si>
    <t>전월미수</t>
    <phoneticPr fontId="2" type="noConversion"/>
  </si>
  <si>
    <t>당월금액</t>
    <phoneticPr fontId="2" type="noConversion"/>
  </si>
  <si>
    <t>입금총액</t>
    <phoneticPr fontId="2" type="noConversion"/>
  </si>
  <si>
    <t>NO</t>
    <phoneticPr fontId="2" type="noConversion"/>
  </si>
  <si>
    <t>사업자명</t>
    <phoneticPr fontId="2" type="noConversion"/>
  </si>
  <si>
    <t>사업자번호</t>
    <phoneticPr fontId="2" type="noConversion"/>
  </si>
  <si>
    <t>대표자명</t>
    <phoneticPr fontId="2" type="noConversion"/>
  </si>
  <si>
    <t>업태</t>
    <phoneticPr fontId="2" type="noConversion"/>
  </si>
  <si>
    <t>종목</t>
    <phoneticPr fontId="2" type="noConversion"/>
  </si>
  <si>
    <t>이메일주소</t>
    <phoneticPr fontId="2" type="noConversion"/>
  </si>
  <si>
    <t>담당자명</t>
    <phoneticPr fontId="2" type="noConversion"/>
  </si>
  <si>
    <t>담당자 연락처</t>
    <phoneticPr fontId="2" type="noConversion"/>
  </si>
  <si>
    <t>거래처명</t>
    <phoneticPr fontId="2" type="noConversion"/>
  </si>
  <si>
    <t>납품 품목</t>
    <phoneticPr fontId="2" type="noConversion"/>
  </si>
  <si>
    <t>계산서발행여부</t>
    <phoneticPr fontId="2" type="noConversion"/>
  </si>
  <si>
    <t>거래명세표</t>
    <phoneticPr fontId="11" type="noConversion"/>
  </si>
  <si>
    <t>작성일자</t>
    <phoneticPr fontId="11" type="noConversion"/>
  </si>
  <si>
    <t>공</t>
    <phoneticPr fontId="11" type="noConversion"/>
  </si>
  <si>
    <t>사업자번호</t>
    <phoneticPr fontId="11" type="noConversion"/>
  </si>
  <si>
    <t>공급받는자</t>
    <phoneticPr fontId="11" type="noConversion"/>
  </si>
  <si>
    <t>상호명</t>
    <phoneticPr fontId="11" type="noConversion"/>
  </si>
  <si>
    <t>성명</t>
    <phoneticPr fontId="11" type="noConversion"/>
  </si>
  <si>
    <t>급</t>
    <phoneticPr fontId="11" type="noConversion"/>
  </si>
  <si>
    <t>주소</t>
    <phoneticPr fontId="11" type="noConversion"/>
  </si>
  <si>
    <t>업태</t>
    <phoneticPr fontId="11" type="noConversion"/>
  </si>
  <si>
    <t>종목</t>
    <phoneticPr fontId="11" type="noConversion"/>
  </si>
  <si>
    <t>자</t>
    <phoneticPr fontId="11" type="noConversion"/>
  </si>
  <si>
    <t>전화번호</t>
    <phoneticPr fontId="11" type="noConversion"/>
  </si>
  <si>
    <t>아래와 같이 계산합니다.</t>
    <phoneticPr fontId="11" type="noConversion"/>
  </si>
  <si>
    <t>합계금액</t>
    <phoneticPr fontId="11" type="noConversion"/>
  </si>
  <si>
    <t>합계금액</t>
    <phoneticPr fontId="11" type="noConversion"/>
  </si>
  <si>
    <t>NO</t>
    <phoneticPr fontId="11" type="noConversion"/>
  </si>
  <si>
    <t>품목</t>
    <phoneticPr fontId="11" type="noConversion"/>
  </si>
  <si>
    <t>규격/단위</t>
    <phoneticPr fontId="11" type="noConversion"/>
  </si>
  <si>
    <t>수량</t>
    <phoneticPr fontId="11" type="noConversion"/>
  </si>
  <si>
    <t>단가</t>
    <phoneticPr fontId="11" type="noConversion"/>
  </si>
  <si>
    <t>공급가액</t>
    <phoneticPr fontId="11" type="noConversion"/>
  </si>
  <si>
    <t>세액</t>
    <phoneticPr fontId="11" type="noConversion"/>
  </si>
  <si>
    <t>계</t>
    <phoneticPr fontId="11" type="noConversion"/>
  </si>
  <si>
    <t>인수자</t>
    <phoneticPr fontId="11" type="noConversion"/>
  </si>
  <si>
    <t>051.621.9771</t>
    <phoneticPr fontId="11" type="noConversion"/>
  </si>
  <si>
    <t>커피外</t>
    <phoneticPr fontId="11" type="noConversion"/>
  </si>
  <si>
    <t>제조外</t>
    <phoneticPr fontId="11" type="noConversion"/>
  </si>
  <si>
    <t>부산시 남구 용소로34번길 24-6</t>
    <phoneticPr fontId="11" type="noConversion"/>
  </si>
  <si>
    <t>품목</t>
    <phoneticPr fontId="11" type="noConversion"/>
  </si>
  <si>
    <t>규격/단위</t>
    <phoneticPr fontId="11" type="noConversion"/>
  </si>
  <si>
    <t>단가</t>
    <phoneticPr fontId="11" type="noConversion"/>
  </si>
  <si>
    <t>공급가액</t>
    <phoneticPr fontId="11" type="noConversion"/>
  </si>
  <si>
    <t>세액</t>
    <phoneticPr fontId="11" type="noConversion"/>
  </si>
  <si>
    <t>1/KG</t>
    <phoneticPr fontId="2" type="noConversion"/>
  </si>
  <si>
    <t>디카페인</t>
    <phoneticPr fontId="2" type="noConversion"/>
  </si>
  <si>
    <t>합계</t>
    <phoneticPr fontId="2" type="noConversion"/>
  </si>
  <si>
    <t>200/G</t>
    <phoneticPr fontId="2" type="noConversion"/>
  </si>
  <si>
    <t>블렌딩-다크</t>
    <phoneticPr fontId="2" type="noConversion"/>
  </si>
  <si>
    <t>블렌딩-라이트</t>
    <phoneticPr fontId="2" type="noConversion"/>
  </si>
  <si>
    <t>예가체프</t>
    <phoneticPr fontId="2" type="noConversion"/>
  </si>
  <si>
    <t>케냐</t>
    <phoneticPr fontId="2" type="noConversion"/>
  </si>
  <si>
    <t>모모라</t>
    <phoneticPr fontId="2" type="noConversion"/>
  </si>
  <si>
    <t>코케허니</t>
    <phoneticPr fontId="2" type="noConversion"/>
  </si>
  <si>
    <t>나리노</t>
    <phoneticPr fontId="2" type="noConversion"/>
  </si>
  <si>
    <t>안티구아</t>
    <phoneticPr fontId="2" type="noConversion"/>
  </si>
  <si>
    <t>유로</t>
    <phoneticPr fontId="2" type="noConversion"/>
  </si>
  <si>
    <t>만델링</t>
    <phoneticPr fontId="2" type="noConversion"/>
  </si>
  <si>
    <t>아체가요마운틴</t>
    <phoneticPr fontId="2" type="noConversion"/>
  </si>
  <si>
    <t>말라위AAA</t>
    <phoneticPr fontId="2" type="noConversion"/>
  </si>
  <si>
    <t>마타리</t>
    <phoneticPr fontId="2" type="noConversion"/>
  </si>
  <si>
    <t>따라주</t>
    <phoneticPr fontId="2" type="noConversion"/>
  </si>
  <si>
    <t>아리차</t>
    <phoneticPr fontId="2" type="noConversion"/>
  </si>
  <si>
    <t>더치-디카페인</t>
    <phoneticPr fontId="2" type="noConversion"/>
  </si>
  <si>
    <t>더치-다크</t>
    <phoneticPr fontId="2" type="noConversion"/>
  </si>
  <si>
    <t>더치-라이트</t>
    <phoneticPr fontId="2" type="noConversion"/>
  </si>
  <si>
    <t>더치-예가체프</t>
    <phoneticPr fontId="2" type="noConversion"/>
  </si>
  <si>
    <t>더치-모모라</t>
    <phoneticPr fontId="2" type="noConversion"/>
  </si>
  <si>
    <t>더치-코케허니</t>
    <phoneticPr fontId="2" type="noConversion"/>
  </si>
  <si>
    <t>더치-케냐</t>
    <phoneticPr fontId="2" type="noConversion"/>
  </si>
  <si>
    <t>더치-나리노</t>
    <phoneticPr fontId="2" type="noConversion"/>
  </si>
  <si>
    <t>더치-안티구아</t>
    <phoneticPr fontId="2" type="noConversion"/>
  </si>
  <si>
    <t>더치-유로</t>
    <phoneticPr fontId="2" type="noConversion"/>
  </si>
  <si>
    <t>더치-만델링</t>
    <phoneticPr fontId="2" type="noConversion"/>
  </si>
  <si>
    <t>더치-아체가요마운틴</t>
    <phoneticPr fontId="2" type="noConversion"/>
  </si>
  <si>
    <t>더치-말라위AAA</t>
    <phoneticPr fontId="2" type="noConversion"/>
  </si>
  <si>
    <t>더치-마타리</t>
    <phoneticPr fontId="2" type="noConversion"/>
  </si>
  <si>
    <t>더치-따라주</t>
    <phoneticPr fontId="2" type="noConversion"/>
  </si>
  <si>
    <t>더치-아리차</t>
    <phoneticPr fontId="2" type="noConversion"/>
  </si>
  <si>
    <t>500/ML</t>
    <phoneticPr fontId="2" type="noConversion"/>
  </si>
  <si>
    <t>마스터-A</t>
    <phoneticPr fontId="2" type="noConversion"/>
  </si>
  <si>
    <t>1/SET</t>
    <phoneticPr fontId="2" type="noConversion"/>
  </si>
  <si>
    <t>필터지</t>
    <phoneticPr fontId="2" type="noConversion"/>
  </si>
  <si>
    <t>100/매</t>
    <phoneticPr fontId="2" type="noConversion"/>
  </si>
  <si>
    <t>민락초등학교</t>
    <phoneticPr fontId="2" type="noConversion"/>
  </si>
  <si>
    <t>황순남</t>
    <phoneticPr fontId="2" type="noConversion"/>
  </si>
  <si>
    <t>교육업</t>
    <phoneticPr fontId="2" type="noConversion"/>
  </si>
  <si>
    <t>초등학교</t>
    <phoneticPr fontId="2" type="noConversion"/>
  </si>
  <si>
    <t>Y</t>
    <phoneticPr fontId="2" type="noConversion"/>
  </si>
  <si>
    <t>길</t>
    <phoneticPr fontId="2" type="noConversion"/>
  </si>
  <si>
    <t>유 성덕</t>
    <phoneticPr fontId="11" type="noConversion"/>
  </si>
  <si>
    <t>이오도</t>
    <phoneticPr fontId="11" type="noConversion"/>
  </si>
  <si>
    <t>560.17.02264</t>
    <phoneticPr fontId="11" type="noConversion"/>
  </si>
  <si>
    <t>입금계좌</t>
    <phoneticPr fontId="11" type="noConversion"/>
  </si>
  <si>
    <t>부산B 101.2087.7763.06 / 이오도 유 성덕</t>
    <phoneticPr fontId="11" type="noConversion"/>
  </si>
  <si>
    <t>루카</t>
    <phoneticPr fontId="2" type="noConversion"/>
  </si>
  <si>
    <t>안정환</t>
    <phoneticPr fontId="2" type="noConversion"/>
  </si>
  <si>
    <t>472-88-02685</t>
    <phoneticPr fontId="2" type="noConversion"/>
  </si>
  <si>
    <t>유하경</t>
    <phoneticPr fontId="2" type="noConversion"/>
  </si>
  <si>
    <t>요식업</t>
    <phoneticPr fontId="2" type="noConversion"/>
  </si>
  <si>
    <t>프랜차이즈</t>
    <phoneticPr fontId="2" type="noConversion"/>
  </si>
  <si>
    <t>커피 / 브런치</t>
    <phoneticPr fontId="2" type="noConversion"/>
  </si>
  <si>
    <t>파스타</t>
    <phoneticPr fontId="2" type="noConversion"/>
  </si>
  <si>
    <t>139-35-01309</t>
    <phoneticPr fontId="2" type="noConversion"/>
  </si>
  <si>
    <t>김성훈</t>
    <phoneticPr fontId="2" type="noConversion"/>
  </si>
  <si>
    <t>010-7436-2068</t>
    <phoneticPr fontId="2" type="noConversion"/>
  </si>
  <si>
    <t>010-6450-9663</t>
    <phoneticPr fontId="2" type="noConversion"/>
  </si>
  <si>
    <t>세액</t>
    <phoneticPr fontId="2" type="noConversion"/>
  </si>
  <si>
    <t>계</t>
    <phoneticPr fontId="2" type="noConversion"/>
  </si>
  <si>
    <t>03/06</t>
    <phoneticPr fontId="2" type="noConversion"/>
  </si>
  <si>
    <t>길 광안점</t>
    <phoneticPr fontId="2" type="noConversion"/>
  </si>
  <si>
    <t>03/21</t>
    <phoneticPr fontId="2" type="noConversion"/>
  </si>
  <si>
    <t>03/23</t>
    <phoneticPr fontId="2" type="noConversion"/>
  </si>
  <si>
    <t>길 연산점</t>
    <phoneticPr fontId="2" type="noConversion"/>
  </si>
  <si>
    <t>길 대연점</t>
    <phoneticPr fontId="2" type="noConversion"/>
  </si>
  <si>
    <t>길 서면점</t>
    <phoneticPr fontId="2" type="noConversion"/>
  </si>
  <si>
    <t>더치-길 다크</t>
    <phoneticPr fontId="2" type="noConversion"/>
  </si>
  <si>
    <t>더치-길 디카페인</t>
    <phoneticPr fontId="2" type="noConversion"/>
  </si>
  <si>
    <t>1/L</t>
    <phoneticPr fontId="2" type="noConversion"/>
  </si>
  <si>
    <t>1/kg</t>
    <phoneticPr fontId="2" type="noConversion"/>
  </si>
  <si>
    <t>03/31</t>
    <phoneticPr fontId="2" type="noConversion"/>
  </si>
  <si>
    <t>04/01</t>
    <phoneticPr fontId="2" type="noConversion"/>
  </si>
  <si>
    <t>총액</t>
    <phoneticPr fontId="2" type="noConversion"/>
  </si>
  <si>
    <t>wow6954@naver.com</t>
    <phoneticPr fontId="2" type="noConversion"/>
  </si>
  <si>
    <t>블렌딩-길 시그니처</t>
    <phoneticPr fontId="2" type="noConversion"/>
  </si>
  <si>
    <t>우리행복요양병원</t>
    <phoneticPr fontId="2" type="noConversion"/>
  </si>
  <si>
    <t>병원</t>
    <phoneticPr fontId="2" type="noConversion"/>
  </si>
  <si>
    <t>010-3650-1381</t>
    <phoneticPr fontId="2" type="noConversion"/>
  </si>
  <si>
    <t>N</t>
    <phoneticPr fontId="2" type="noConversion"/>
  </si>
  <si>
    <t>한서병원 응급실</t>
    <phoneticPr fontId="2" type="noConversion"/>
  </si>
  <si>
    <t>최유나</t>
    <phoneticPr fontId="2" type="noConversion"/>
  </si>
  <si>
    <t>010-2279-0090</t>
    <phoneticPr fontId="2" type="noConversion"/>
  </si>
  <si>
    <t>25도 커피 부경대점</t>
    <phoneticPr fontId="2" type="noConversion"/>
  </si>
  <si>
    <t>예가체프(25도)</t>
    <phoneticPr fontId="2" type="noConversion"/>
  </si>
  <si>
    <t>모모라(25도)</t>
    <phoneticPr fontId="2" type="noConversion"/>
  </si>
  <si>
    <t>코케허니(25도)</t>
    <phoneticPr fontId="2" type="noConversion"/>
  </si>
  <si>
    <t>케냐(25도)</t>
    <phoneticPr fontId="2" type="noConversion"/>
  </si>
  <si>
    <t>나리노(25도)</t>
    <phoneticPr fontId="2" type="noConversion"/>
  </si>
  <si>
    <t>안티구아(25도)</t>
    <phoneticPr fontId="2" type="noConversion"/>
  </si>
  <si>
    <t>유로(25도)</t>
    <phoneticPr fontId="2" type="noConversion"/>
  </si>
  <si>
    <t>만델링(25도)</t>
    <phoneticPr fontId="2" type="noConversion"/>
  </si>
  <si>
    <t>아체가요마운틴(25도)</t>
    <phoneticPr fontId="2" type="noConversion"/>
  </si>
  <si>
    <t>말라위AAA(25도)</t>
    <phoneticPr fontId="2" type="noConversion"/>
  </si>
  <si>
    <t>마타리(25도)</t>
    <phoneticPr fontId="2" type="noConversion"/>
  </si>
  <si>
    <t>따라주(25도)</t>
    <phoneticPr fontId="2" type="noConversion"/>
  </si>
  <si>
    <t>아리차(25도)</t>
    <phoneticPr fontId="2" type="noConversion"/>
  </si>
  <si>
    <t>04/03</t>
    <phoneticPr fontId="2" type="noConversion"/>
  </si>
  <si>
    <t>200/g</t>
    <phoneticPr fontId="2" type="noConversion"/>
  </si>
  <si>
    <t>정수임</t>
    <phoneticPr fontId="2" type="noConversion"/>
  </si>
  <si>
    <t>더치-디카페인(25도)</t>
    <phoneticPr fontId="2" type="noConversion"/>
  </si>
  <si>
    <t>더치-다크(25도)</t>
    <phoneticPr fontId="2" type="noConversion"/>
  </si>
  <si>
    <t>더치-라이트(25도)</t>
    <phoneticPr fontId="2" type="noConversion"/>
  </si>
  <si>
    <t>더치-예가체프(25도)</t>
    <phoneticPr fontId="2" type="noConversion"/>
  </si>
  <si>
    <t>더치-모모라(25도)</t>
    <phoneticPr fontId="2" type="noConversion"/>
  </si>
  <si>
    <t>더치-코케허니(25도)</t>
    <phoneticPr fontId="2" type="noConversion"/>
  </si>
  <si>
    <t>더치-케냐(25도)</t>
    <phoneticPr fontId="2" type="noConversion"/>
  </si>
  <si>
    <t>더치-나리노(25도)</t>
    <phoneticPr fontId="2" type="noConversion"/>
  </si>
  <si>
    <t>더치-안티구아(25도)</t>
    <phoneticPr fontId="2" type="noConversion"/>
  </si>
  <si>
    <t>더치-유로(25도)</t>
    <phoneticPr fontId="2" type="noConversion"/>
  </si>
  <si>
    <t>더치-만델링(25도)</t>
    <phoneticPr fontId="2" type="noConversion"/>
  </si>
  <si>
    <t>더치-아체가요마운틴(25도)</t>
    <phoneticPr fontId="2" type="noConversion"/>
  </si>
  <si>
    <t>더치-말라위AAA(25도)</t>
    <phoneticPr fontId="2" type="noConversion"/>
  </si>
  <si>
    <t>더치-마타리(25도)</t>
    <phoneticPr fontId="2" type="noConversion"/>
  </si>
  <si>
    <t>더치-따라주(25도)</t>
    <phoneticPr fontId="2" type="noConversion"/>
  </si>
  <si>
    <t>더치-아리차(25도)</t>
    <phoneticPr fontId="2" type="noConversion"/>
  </si>
  <si>
    <t>디카페인(25도)</t>
    <phoneticPr fontId="2" type="noConversion"/>
  </si>
  <si>
    <t>04/04</t>
    <phoneticPr fontId="2" type="noConversion"/>
  </si>
  <si>
    <t>정영숙</t>
    <phoneticPr fontId="2" type="noConversion"/>
  </si>
  <si>
    <t>박현숙</t>
    <phoneticPr fontId="2" type="noConversion"/>
  </si>
  <si>
    <t>택배비</t>
    <phoneticPr fontId="2" type="noConversion"/>
  </si>
  <si>
    <t>길 달맞이점</t>
    <phoneticPr fontId="2" type="noConversion"/>
  </si>
  <si>
    <t>개인</t>
    <phoneticPr fontId="2" type="noConversion"/>
  </si>
  <si>
    <t>u_uyoo@naver.com</t>
    <phoneticPr fontId="2" type="noConversion"/>
  </si>
  <si>
    <t>노영애</t>
    <phoneticPr fontId="2" type="noConversion"/>
  </si>
  <si>
    <t>(3만원 이상 택배무료)</t>
  </si>
  <si>
    <t>이용수</t>
    <phoneticPr fontId="2" type="noConversion"/>
  </si>
  <si>
    <t>100g 당 4-5000원 (택배)</t>
    <phoneticPr fontId="2" type="noConversion"/>
  </si>
  <si>
    <t>1kg 이상시 100g당 6000원(방문)</t>
    <phoneticPr fontId="2" type="noConversion"/>
  </si>
  <si>
    <t>김성우</t>
    <phoneticPr fontId="2" type="noConversion"/>
  </si>
  <si>
    <t>이성훈</t>
    <phoneticPr fontId="2" type="noConversion"/>
  </si>
  <si>
    <t>04/06</t>
    <phoneticPr fontId="2" type="noConversion"/>
  </si>
  <si>
    <t>04/07</t>
    <phoneticPr fontId="2" type="noConversion"/>
  </si>
  <si>
    <t>정미혜(어머니)</t>
    <phoneticPr fontId="2" type="noConversion"/>
  </si>
  <si>
    <t>25도 단가랑 같이</t>
    <phoneticPr fontId="2" type="noConversion"/>
  </si>
  <si>
    <t>04/08</t>
    <phoneticPr fontId="2" type="noConversion"/>
  </si>
  <si>
    <t>04/09</t>
    <phoneticPr fontId="2" type="noConversion"/>
  </si>
  <si>
    <t>길 양산점</t>
    <phoneticPr fontId="2" type="noConversion"/>
  </si>
  <si>
    <t>04/11</t>
    <phoneticPr fontId="2" type="noConversion"/>
  </si>
  <si>
    <t>길 진도점</t>
    <phoneticPr fontId="2" type="noConversion"/>
  </si>
  <si>
    <t>류기순</t>
    <phoneticPr fontId="2" type="noConversion"/>
  </si>
  <si>
    <t>이상훈</t>
    <phoneticPr fontId="2" type="noConversion"/>
  </si>
  <si>
    <t>100/g</t>
    <phoneticPr fontId="2" type="noConversion"/>
  </si>
  <si>
    <t>케냐(100g)</t>
    <phoneticPr fontId="2" type="noConversion"/>
  </si>
  <si>
    <t>유로(100g)</t>
    <phoneticPr fontId="2" type="noConversion"/>
  </si>
  <si>
    <t>04/15</t>
    <phoneticPr fontId="2" type="noConversion"/>
  </si>
  <si>
    <t>04/16</t>
    <phoneticPr fontId="2" type="noConversion"/>
  </si>
  <si>
    <t>까페 산성</t>
    <phoneticPr fontId="2" type="noConversion"/>
  </si>
  <si>
    <t>671-27-01550</t>
    <phoneticPr fontId="2" type="noConversion"/>
  </si>
  <si>
    <t>이정숙</t>
    <phoneticPr fontId="2" type="noConversion"/>
  </si>
  <si>
    <t>커피 전문점</t>
    <phoneticPr fontId="2" type="noConversion"/>
  </si>
  <si>
    <t>음식</t>
    <phoneticPr fontId="2" type="noConversion"/>
  </si>
  <si>
    <t>04/18</t>
    <phoneticPr fontId="2" type="noConversion"/>
  </si>
  <si>
    <t>250/G</t>
    <phoneticPr fontId="2" type="noConversion"/>
  </si>
  <si>
    <t>04/22</t>
    <phoneticPr fontId="2" type="noConversion"/>
  </si>
  <si>
    <t>라미랑드</t>
    <phoneticPr fontId="2" type="noConversion"/>
  </si>
  <si>
    <t>정선영(사촌)</t>
    <phoneticPr fontId="2" type="noConversion"/>
  </si>
  <si>
    <t>100/G</t>
    <phoneticPr fontId="2" type="noConversion"/>
  </si>
  <si>
    <t>04/23</t>
    <phoneticPr fontId="2" type="noConversion"/>
  </si>
  <si>
    <t>김혜원</t>
    <phoneticPr fontId="2" type="noConversion"/>
  </si>
  <si>
    <t>더치세트</t>
    <phoneticPr fontId="2" type="noConversion"/>
  </si>
  <si>
    <t>더치미니세트</t>
    <phoneticPr fontId="2" type="noConversion"/>
  </si>
  <si>
    <t>더치세트(지인)</t>
    <phoneticPr fontId="2" type="noConversion"/>
  </si>
  <si>
    <t>더치미니세트(지인)</t>
    <phoneticPr fontId="2" type="noConversion"/>
  </si>
  <si>
    <t>최이사님</t>
    <phoneticPr fontId="2" type="noConversion"/>
  </si>
  <si>
    <t>04/25</t>
    <phoneticPr fontId="2" type="noConversion"/>
  </si>
  <si>
    <t>블랜딩-다크(납품)</t>
    <phoneticPr fontId="2" type="noConversion"/>
  </si>
  <si>
    <t>04/26</t>
    <phoneticPr fontId="2" type="noConversion"/>
  </si>
  <si>
    <t>이창식</t>
    <phoneticPr fontId="2" type="noConversion"/>
  </si>
  <si>
    <t>04/27</t>
    <phoneticPr fontId="2" type="noConversion"/>
  </si>
  <si>
    <t>04/30</t>
    <phoneticPr fontId="2" type="noConversion"/>
  </si>
  <si>
    <t>강정인</t>
    <phoneticPr fontId="2" type="noConversion"/>
  </si>
  <si>
    <t>정승현</t>
    <phoneticPr fontId="2" type="noConversion"/>
  </si>
  <si>
    <t>블랜딩-다크(샘플)</t>
    <phoneticPr fontId="2" type="noConversion"/>
  </si>
  <si>
    <t>블랜딩-라이트(샘플)</t>
    <phoneticPr fontId="2" type="noConversion"/>
  </si>
  <si>
    <t>05/01</t>
    <phoneticPr fontId="2" type="noConversion"/>
  </si>
  <si>
    <t>05/03</t>
    <phoneticPr fontId="2" type="noConversion"/>
  </si>
  <si>
    <t>05/04</t>
    <phoneticPr fontId="2" type="noConversion"/>
  </si>
  <si>
    <t>블렌딩-라이트</t>
  </si>
  <si>
    <t>05/06</t>
    <phoneticPr fontId="2" type="noConversion"/>
  </si>
  <si>
    <t>05/07</t>
    <phoneticPr fontId="2" type="noConversion"/>
  </si>
  <si>
    <t>05/09</t>
    <phoneticPr fontId="2" type="noConversion"/>
  </si>
  <si>
    <t>박영자</t>
    <phoneticPr fontId="2" type="noConversion"/>
  </si>
  <si>
    <t>김효정</t>
    <phoneticPr fontId="2" type="noConversion"/>
  </si>
  <si>
    <t>최재경</t>
    <phoneticPr fontId="2" type="noConversion"/>
  </si>
  <si>
    <t>앤트힐</t>
    <phoneticPr fontId="2" type="noConversion"/>
  </si>
  <si>
    <t>292-73-00409</t>
    <phoneticPr fontId="2" type="noConversion"/>
  </si>
  <si>
    <t>박정윤</t>
    <phoneticPr fontId="2" type="noConversion"/>
  </si>
  <si>
    <t>음식점업</t>
    <phoneticPr fontId="2" type="noConversion"/>
  </si>
  <si>
    <t>서양식 음식점업</t>
    <phoneticPr fontId="2" type="noConversion"/>
  </si>
  <si>
    <t>010-6254-6486</t>
    <phoneticPr fontId="2" type="noConversion"/>
  </si>
  <si>
    <t>05/10</t>
    <phoneticPr fontId="2" type="noConversion"/>
  </si>
  <si>
    <t>05/13</t>
    <phoneticPr fontId="2" type="noConversion"/>
  </si>
  <si>
    <t>05/14</t>
    <phoneticPr fontId="2" type="noConversion"/>
  </si>
  <si>
    <t>시종원</t>
    <phoneticPr fontId="2" type="noConversion"/>
  </si>
  <si>
    <t>05/16</t>
    <phoneticPr fontId="2" type="noConversion"/>
  </si>
  <si>
    <t>정숙희</t>
    <phoneticPr fontId="2" type="noConversion"/>
  </si>
  <si>
    <t>05/17</t>
    <phoneticPr fontId="2" type="noConversion"/>
  </si>
  <si>
    <t>05/19</t>
    <phoneticPr fontId="2" type="noConversion"/>
  </si>
  <si>
    <t>05/22</t>
    <phoneticPr fontId="2" type="noConversion"/>
  </si>
  <si>
    <t>05/25</t>
    <phoneticPr fontId="2" type="noConversion"/>
  </si>
  <si>
    <t>anthilljeju@gmail.com</t>
    <phoneticPr fontId="2" type="noConversion"/>
  </si>
  <si>
    <t>05/29</t>
    <phoneticPr fontId="2" type="noConversion"/>
  </si>
  <si>
    <t>05/30</t>
    <phoneticPr fontId="2" type="noConversion"/>
  </si>
  <si>
    <t>06/03</t>
    <phoneticPr fontId="2" type="noConversion"/>
  </si>
  <si>
    <t>06/04</t>
    <phoneticPr fontId="2" type="noConversion"/>
  </si>
  <si>
    <t>이소현</t>
    <phoneticPr fontId="2" type="noConversion"/>
  </si>
  <si>
    <t>06/05</t>
    <phoneticPr fontId="2" type="noConversion"/>
  </si>
  <si>
    <t>김외경</t>
    <phoneticPr fontId="2" type="noConversion"/>
  </si>
  <si>
    <t>06/07</t>
    <phoneticPr fontId="2" type="noConversion"/>
  </si>
  <si>
    <t>06/09</t>
    <phoneticPr fontId="2" type="noConversion"/>
  </si>
  <si>
    <t>06/10</t>
    <phoneticPr fontId="2" type="noConversion"/>
  </si>
  <si>
    <t>차여진</t>
    <phoneticPr fontId="2" type="noConversion"/>
  </si>
  <si>
    <t>06/12</t>
    <phoneticPr fontId="2" type="noConversion"/>
  </si>
  <si>
    <t>06/13</t>
    <phoneticPr fontId="2" type="noConversion"/>
  </si>
  <si>
    <t>06/14</t>
    <phoneticPr fontId="2" type="noConversion"/>
  </si>
  <si>
    <t>06/15</t>
    <phoneticPr fontId="2" type="noConversion"/>
  </si>
  <si>
    <t>유정민</t>
    <phoneticPr fontId="2" type="noConversion"/>
  </si>
  <si>
    <t>김정심</t>
    <phoneticPr fontId="2" type="noConversion"/>
  </si>
  <si>
    <t>06/17</t>
    <phoneticPr fontId="2" type="noConversion"/>
  </si>
  <si>
    <t>06/18</t>
    <phoneticPr fontId="2" type="noConversion"/>
  </si>
  <si>
    <t>성일학</t>
    <phoneticPr fontId="2" type="noConversion"/>
  </si>
  <si>
    <t>06/20</t>
    <phoneticPr fontId="2" type="noConversion"/>
  </si>
  <si>
    <t>06/21</t>
    <phoneticPr fontId="2" type="noConversion"/>
  </si>
  <si>
    <t>06/25</t>
    <phoneticPr fontId="2" type="noConversion"/>
  </si>
  <si>
    <t>07/02</t>
    <phoneticPr fontId="2" type="noConversion"/>
  </si>
  <si>
    <t>07/03</t>
    <phoneticPr fontId="2" type="noConversion"/>
  </si>
  <si>
    <t>07/05</t>
    <phoneticPr fontId="2" type="noConversion"/>
  </si>
  <si>
    <t>07/08</t>
    <phoneticPr fontId="2" type="noConversion"/>
  </si>
  <si>
    <t>07/09</t>
    <phoneticPr fontId="2" type="noConversion"/>
  </si>
  <si>
    <t>블렌딩-다크(100)</t>
    <phoneticPr fontId="2" type="noConversion"/>
  </si>
  <si>
    <t>07/11</t>
    <phoneticPr fontId="2" type="noConversion"/>
  </si>
  <si>
    <t>해리단 빙수</t>
    <phoneticPr fontId="2" type="noConversion"/>
  </si>
  <si>
    <t>351-06-03038</t>
    <phoneticPr fontId="2" type="noConversion"/>
  </si>
  <si>
    <t>조현욱</t>
    <phoneticPr fontId="2" type="noConversion"/>
  </si>
  <si>
    <t>한식</t>
    <phoneticPr fontId="2" type="noConversion"/>
  </si>
  <si>
    <t>dimtao2019@naver.com</t>
    <phoneticPr fontId="2" type="noConversion"/>
  </si>
  <si>
    <t>010-8534-8602</t>
    <phoneticPr fontId="2" type="noConversion"/>
  </si>
  <si>
    <t>07/12</t>
    <phoneticPr fontId="2" type="noConversion"/>
  </si>
  <si>
    <t>남지현</t>
    <phoneticPr fontId="2" type="noConversion"/>
  </si>
  <si>
    <t>블렌딩-라이트.</t>
    <phoneticPr fontId="2" type="noConversion"/>
  </si>
  <si>
    <t>07/15</t>
    <phoneticPr fontId="2" type="noConversion"/>
  </si>
  <si>
    <t>07/16</t>
    <phoneticPr fontId="2" type="noConversion"/>
  </si>
  <si>
    <t>07/17</t>
    <phoneticPr fontId="2" type="noConversion"/>
  </si>
  <si>
    <t>07/21</t>
    <phoneticPr fontId="2" type="noConversion"/>
  </si>
  <si>
    <t>더치-디카페인(해리단)</t>
    <phoneticPr fontId="2" type="noConversion"/>
  </si>
  <si>
    <t>07/22</t>
    <phoneticPr fontId="2" type="noConversion"/>
  </si>
  <si>
    <t>07/24</t>
    <phoneticPr fontId="2" type="noConversion"/>
  </si>
  <si>
    <t>07/26</t>
    <phoneticPr fontId="2" type="noConversion"/>
  </si>
  <si>
    <t>07/30</t>
    <phoneticPr fontId="2" type="noConversion"/>
  </si>
  <si>
    <t>08/01</t>
    <phoneticPr fontId="2" type="noConversion"/>
  </si>
  <si>
    <t>팜에이트</t>
    <phoneticPr fontId="2" type="noConversion"/>
  </si>
  <si>
    <t>08/05</t>
    <phoneticPr fontId="2" type="noConversion"/>
  </si>
  <si>
    <t>블렌딩-다크(그랜드타이어)</t>
    <phoneticPr fontId="2" type="noConversion"/>
  </si>
  <si>
    <t>그랜드타이어-거제지점</t>
    <phoneticPr fontId="2" type="noConversion"/>
  </si>
  <si>
    <t>863-85-02634</t>
    <phoneticPr fontId="2" type="noConversion"/>
  </si>
  <si>
    <t>박만식</t>
    <phoneticPr fontId="2" type="noConversion"/>
  </si>
  <si>
    <t>도매 및 소매업</t>
    <phoneticPr fontId="2" type="noConversion"/>
  </si>
  <si>
    <t>자동차 신품 타이어 및 튜브판매업</t>
    <phoneticPr fontId="2" type="noConversion"/>
  </si>
  <si>
    <t>khpp4598@naver.com</t>
    <phoneticPr fontId="2" type="noConversion"/>
  </si>
  <si>
    <t>김태현</t>
    <phoneticPr fontId="2" type="noConversion"/>
  </si>
  <si>
    <t>010-2318-3769</t>
    <phoneticPr fontId="2" type="noConversion"/>
  </si>
  <si>
    <t>08/06</t>
    <phoneticPr fontId="2" type="noConversion"/>
  </si>
  <si>
    <t>그랜드타이어 거제지점</t>
    <phoneticPr fontId="2" type="noConversion"/>
  </si>
  <si>
    <t>채선당</t>
    <phoneticPr fontId="2" type="noConversion"/>
  </si>
  <si>
    <t>08/09</t>
    <phoneticPr fontId="2" type="noConversion"/>
  </si>
  <si>
    <t>08/10</t>
    <phoneticPr fontId="2" type="noConversion"/>
  </si>
  <si>
    <t>08/12</t>
    <phoneticPr fontId="2" type="noConversion"/>
  </si>
  <si>
    <t>08/14</t>
    <phoneticPr fontId="2" type="noConversion"/>
  </si>
  <si>
    <t>08/15</t>
    <phoneticPr fontId="2" type="noConversion"/>
  </si>
  <si>
    <t>08/18</t>
    <phoneticPr fontId="2" type="noConversion"/>
  </si>
  <si>
    <t>08/20</t>
    <phoneticPr fontId="2" type="noConversion"/>
  </si>
  <si>
    <t>08/22</t>
    <phoneticPr fontId="2" type="noConversion"/>
  </si>
  <si>
    <t>520-88-02058</t>
    <phoneticPr fontId="2" type="noConversion"/>
  </si>
  <si>
    <t>황원준</t>
    <phoneticPr fontId="2" type="noConversion"/>
  </si>
  <si>
    <t>010-2316-1917</t>
    <phoneticPr fontId="2" type="noConversion"/>
  </si>
  <si>
    <t>이석우</t>
    <phoneticPr fontId="2" type="noConversion"/>
  </si>
  <si>
    <t>010-9166-2364</t>
    <phoneticPr fontId="2" type="noConversion"/>
  </si>
  <si>
    <t>cutty1917@kakao.com</t>
    <phoneticPr fontId="2" type="noConversion"/>
  </si>
  <si>
    <t>08/23</t>
    <phoneticPr fontId="2" type="noConversion"/>
  </si>
  <si>
    <t>08/24</t>
    <phoneticPr fontId="2" type="noConversion"/>
  </si>
  <si>
    <t>08/26</t>
    <phoneticPr fontId="2" type="noConversion"/>
  </si>
  <si>
    <t>08/27</t>
    <phoneticPr fontId="2" type="noConversion"/>
  </si>
  <si>
    <t>08/28</t>
    <phoneticPr fontId="2" type="noConversion"/>
  </si>
  <si>
    <t>08/30</t>
    <phoneticPr fontId="2" type="noConversion"/>
  </si>
  <si>
    <t>396-85-01265</t>
    <phoneticPr fontId="2" type="noConversion"/>
  </si>
  <si>
    <t>박종위</t>
    <phoneticPr fontId="2" type="noConversion"/>
  </si>
  <si>
    <t>휴게음식점업</t>
    <phoneticPr fontId="2" type="noConversion"/>
  </si>
  <si>
    <t>농산물, 카페, 스마트팜 체험관</t>
    <phoneticPr fontId="2" type="noConversion"/>
  </si>
  <si>
    <t>farmtom@farm8.co.kr</t>
    <phoneticPr fontId="2" type="noConversion"/>
  </si>
  <si>
    <t>09/02</t>
    <phoneticPr fontId="2" type="noConversion"/>
  </si>
  <si>
    <t>09/03</t>
    <phoneticPr fontId="2" type="noConversion"/>
  </si>
  <si>
    <t>09/04</t>
    <phoneticPr fontId="2" type="noConversion"/>
  </si>
  <si>
    <t>카푸치노</t>
    <phoneticPr fontId="2" type="noConversion"/>
  </si>
  <si>
    <t>617-28-97267</t>
    <phoneticPr fontId="2" type="noConversion"/>
  </si>
  <si>
    <t>강치형</t>
    <phoneticPr fontId="2" type="noConversion"/>
  </si>
  <si>
    <t>커피전문점</t>
    <phoneticPr fontId="2" type="noConversion"/>
  </si>
  <si>
    <t>cappuccinooo@naver.com</t>
    <phoneticPr fontId="2" type="noConversion"/>
  </si>
  <si>
    <t>우공숙</t>
    <phoneticPr fontId="2" type="noConversion"/>
  </si>
  <si>
    <t>010-3858-3987</t>
    <phoneticPr fontId="2" type="noConversion"/>
  </si>
  <si>
    <t>더치-디카페인(카푸치노)</t>
    <phoneticPr fontId="2" type="noConversion"/>
  </si>
  <si>
    <t>09/05</t>
    <phoneticPr fontId="2" type="noConversion"/>
  </si>
  <si>
    <t>09/06</t>
    <phoneticPr fontId="2" type="noConversion"/>
  </si>
  <si>
    <t>09/07</t>
    <phoneticPr fontId="2" type="noConversion"/>
  </si>
  <si>
    <t>09/09</t>
    <phoneticPr fontId="2" type="noConversion"/>
  </si>
  <si>
    <t>09/10</t>
    <phoneticPr fontId="2" type="noConversion"/>
  </si>
  <si>
    <t>09/11</t>
    <phoneticPr fontId="2" type="noConversion"/>
  </si>
  <si>
    <t>09/12</t>
    <phoneticPr fontId="2" type="noConversion"/>
  </si>
  <si>
    <t>09/15</t>
    <phoneticPr fontId="2" type="noConversion"/>
  </si>
  <si>
    <t>09/19</t>
    <phoneticPr fontId="2" type="noConversion"/>
  </si>
  <si>
    <t>09/20</t>
    <phoneticPr fontId="2" type="noConversion"/>
  </si>
  <si>
    <t>09/23</t>
    <phoneticPr fontId="2" type="noConversion"/>
  </si>
  <si>
    <t>09/24</t>
    <phoneticPr fontId="2" type="noConversion"/>
  </si>
  <si>
    <t>자이언트타이어 북부산점</t>
    <phoneticPr fontId="2" type="noConversion"/>
  </si>
  <si>
    <t>331-39-01354</t>
    <phoneticPr fontId="2" type="noConversion"/>
  </si>
  <si>
    <t>강병규</t>
    <phoneticPr fontId="2" type="noConversion"/>
  </si>
  <si>
    <t>타이어</t>
    <phoneticPr fontId="2" type="noConversion"/>
  </si>
  <si>
    <t>gullira12@naver.com</t>
    <phoneticPr fontId="2" type="noConversion"/>
  </si>
  <si>
    <t>09/25</t>
    <phoneticPr fontId="2" type="noConversion"/>
  </si>
  <si>
    <t>10/01</t>
    <phoneticPr fontId="2" type="noConversion"/>
  </si>
  <si>
    <t>10/02</t>
    <phoneticPr fontId="2" type="noConversion"/>
  </si>
  <si>
    <t>10/03</t>
    <phoneticPr fontId="2" type="noConversion"/>
  </si>
  <si>
    <t>10/04</t>
    <phoneticPr fontId="2" type="noConversion"/>
  </si>
  <si>
    <t>10/07</t>
    <phoneticPr fontId="2" type="noConversion"/>
  </si>
  <si>
    <t>10/10</t>
    <phoneticPr fontId="2" type="noConversion"/>
  </si>
  <si>
    <t>10/14</t>
    <phoneticPr fontId="2" type="noConversion"/>
  </si>
  <si>
    <t>디카페인(납품)</t>
    <phoneticPr fontId="2" type="noConversion"/>
  </si>
  <si>
    <t>10/17</t>
    <phoneticPr fontId="2" type="noConversion"/>
  </si>
  <si>
    <t>10/18</t>
    <phoneticPr fontId="2" type="noConversion"/>
  </si>
  <si>
    <t>10/21</t>
    <phoneticPr fontId="2" type="noConversion"/>
  </si>
  <si>
    <t>10/22</t>
    <phoneticPr fontId="2" type="noConversion"/>
  </si>
  <si>
    <t>10/23</t>
    <phoneticPr fontId="2" type="noConversion"/>
  </si>
  <si>
    <t>(주)그랜드타이어</t>
    <phoneticPr fontId="2" type="noConversion"/>
  </si>
  <si>
    <t>606-81-75744</t>
    <phoneticPr fontId="2" type="noConversion"/>
  </si>
  <si>
    <t>박만식</t>
    <phoneticPr fontId="2" type="noConversion"/>
  </si>
  <si>
    <t>도, 소매 서비스</t>
    <phoneticPr fontId="2" type="noConversion"/>
  </si>
  <si>
    <t>타이어 / 자동차부분정비</t>
    <phoneticPr fontId="2" type="noConversion"/>
  </si>
  <si>
    <t>khppms8428@bill36524.com</t>
    <phoneticPr fontId="2" type="noConversion"/>
  </si>
  <si>
    <t>박해준</t>
    <phoneticPr fontId="2" type="noConversion"/>
  </si>
  <si>
    <t>010-2988-1998</t>
    <phoneticPr fontId="2" type="noConversion"/>
  </si>
  <si>
    <t>Y</t>
    <phoneticPr fontId="2" type="noConversion"/>
  </si>
  <si>
    <t>10/24</t>
    <phoneticPr fontId="2" type="noConversion"/>
  </si>
  <si>
    <t xml:space="preserve">㈜ 그랜드타이어 </t>
    <phoneticPr fontId="2" type="noConversion"/>
  </si>
  <si>
    <t>머신 렌탈료</t>
    <phoneticPr fontId="2" type="noConversion"/>
  </si>
  <si>
    <t>10/25</t>
    <phoneticPr fontId="2" type="noConversion"/>
  </si>
  <si>
    <t>10/28</t>
    <phoneticPr fontId="2" type="noConversion"/>
  </si>
  <si>
    <t>10/29</t>
    <phoneticPr fontId="2" type="noConversion"/>
  </si>
  <si>
    <t>10/30</t>
    <phoneticPr fontId="2" type="noConversion"/>
  </si>
  <si>
    <t>11/04</t>
    <phoneticPr fontId="2" type="noConversion"/>
  </si>
  <si>
    <t>11/05</t>
    <phoneticPr fontId="2" type="noConversion"/>
  </si>
  <si>
    <t>블렌딩-라이트.</t>
    <phoneticPr fontId="2" type="noConversion"/>
  </si>
  <si>
    <t>케냐</t>
    <phoneticPr fontId="2" type="noConversion"/>
  </si>
  <si>
    <t>모모라</t>
    <phoneticPr fontId="2" type="noConversion"/>
  </si>
  <si>
    <t>11/06</t>
    <phoneticPr fontId="2" type="noConversion"/>
  </si>
  <si>
    <t>11/07</t>
    <phoneticPr fontId="2" type="noConversion"/>
  </si>
  <si>
    <t>11/08</t>
    <phoneticPr fontId="2" type="noConversion"/>
  </si>
  <si>
    <t>11/11</t>
    <phoneticPr fontId="2" type="noConversion"/>
  </si>
  <si>
    <t>블렌딩-다크</t>
    <phoneticPr fontId="2" type="noConversion"/>
  </si>
  <si>
    <t>11/12</t>
    <phoneticPr fontId="2" type="noConversion"/>
  </si>
  <si>
    <t>블렌딩-라이트.</t>
    <phoneticPr fontId="2" type="noConversion"/>
  </si>
  <si>
    <t>더치-디카페인(납품)</t>
    <phoneticPr fontId="2" type="noConversion"/>
  </si>
  <si>
    <t>라미랑드</t>
    <phoneticPr fontId="2" type="noConversion"/>
  </si>
  <si>
    <t>블렌딩-다크</t>
    <phoneticPr fontId="2" type="noConversion"/>
  </si>
  <si>
    <t>11/14</t>
    <phoneticPr fontId="2" type="noConversion"/>
  </si>
  <si>
    <t>11/15</t>
    <phoneticPr fontId="2" type="noConversion"/>
  </si>
  <si>
    <t>11/16</t>
    <phoneticPr fontId="2" type="noConversion"/>
  </si>
  <si>
    <t>11/18</t>
    <phoneticPr fontId="2" type="noConversion"/>
  </si>
  <si>
    <t>블렌딩-다크</t>
    <phoneticPr fontId="2" type="noConversion"/>
  </si>
  <si>
    <t>블렌딩-라이트.</t>
    <phoneticPr fontId="2" type="noConversion"/>
  </si>
  <si>
    <t>11/20</t>
    <phoneticPr fontId="2" type="noConversion"/>
  </si>
  <si>
    <t>코케허니</t>
    <phoneticPr fontId="2" type="noConversion"/>
  </si>
  <si>
    <t>11/20</t>
    <phoneticPr fontId="2" type="noConversion"/>
  </si>
  <si>
    <t>㈜ 그레이트타이어 창원지점</t>
    <phoneticPr fontId="2" type="noConversion"/>
  </si>
  <si>
    <t>639-85-01707</t>
    <phoneticPr fontId="2" type="noConversion"/>
  </si>
  <si>
    <t>박만식</t>
    <phoneticPr fontId="2" type="noConversion"/>
  </si>
  <si>
    <t>타이어</t>
    <phoneticPr fontId="2" type="noConversion"/>
  </si>
  <si>
    <t>khpp1868@naver.com</t>
    <phoneticPr fontId="2" type="noConversion"/>
  </si>
  <si>
    <t>010-5452-1615</t>
    <phoneticPr fontId="2" type="noConversion"/>
  </si>
  <si>
    <t>Y</t>
    <phoneticPr fontId="2" type="noConversion"/>
  </si>
  <si>
    <t>11/21</t>
    <phoneticPr fontId="2" type="noConversion"/>
  </si>
  <si>
    <t>화담</t>
    <phoneticPr fontId="2" type="noConversion"/>
  </si>
  <si>
    <t>721-74-00563</t>
    <phoneticPr fontId="2" type="noConversion"/>
  </si>
  <si>
    <t>김기호</t>
    <phoneticPr fontId="2" type="noConversion"/>
  </si>
  <si>
    <t>음식점업</t>
    <phoneticPr fontId="2" type="noConversion"/>
  </si>
  <si>
    <t>일반음식점</t>
    <phoneticPr fontId="2" type="noConversion"/>
  </si>
  <si>
    <t>style4445@naver.com</t>
    <phoneticPr fontId="2" type="noConversion"/>
  </si>
  <si>
    <t>010-9418-6656</t>
    <phoneticPr fontId="2" type="noConversion"/>
  </si>
  <si>
    <t>Y</t>
    <phoneticPr fontId="2" type="noConversion"/>
  </si>
  <si>
    <t>11/22</t>
    <phoneticPr fontId="2" type="noConversion"/>
  </si>
  <si>
    <t>블렌딩-라이트.</t>
    <phoneticPr fontId="2" type="noConversion"/>
  </si>
  <si>
    <t>11/27</t>
    <phoneticPr fontId="2" type="noConversion"/>
  </si>
  <si>
    <t>11/28</t>
    <phoneticPr fontId="2" type="noConversion"/>
  </si>
  <si>
    <t>11월 기준: ㈜그랜드타이어, 그랜드타이어 거제지점</t>
    <phoneticPr fontId="2" type="noConversion"/>
  </si>
  <si>
    <t>11/25</t>
    <phoneticPr fontId="2" type="noConversion"/>
  </si>
  <si>
    <t>12/02</t>
    <phoneticPr fontId="2" type="noConversion"/>
  </si>
  <si>
    <t>12/02</t>
    <phoneticPr fontId="2" type="noConversion"/>
  </si>
  <si>
    <t>12/03</t>
    <phoneticPr fontId="2" type="noConversion"/>
  </si>
  <si>
    <t>이소현</t>
    <phoneticPr fontId="2" type="noConversion"/>
  </si>
  <si>
    <t>12/04</t>
    <phoneticPr fontId="2" type="noConversion"/>
  </si>
  <si>
    <t>12/05</t>
    <phoneticPr fontId="2" type="noConversion"/>
  </si>
  <si>
    <t>디카페인(25도)</t>
    <phoneticPr fontId="2" type="noConversion"/>
  </si>
  <si>
    <t>12/06</t>
    <phoneticPr fontId="2" type="noConversion"/>
  </si>
  <si>
    <t>블렌딩-라이트.</t>
    <phoneticPr fontId="2" type="noConversion"/>
  </si>
  <si>
    <t>12/09</t>
    <phoneticPr fontId="2" type="noConversion"/>
  </si>
  <si>
    <t>블렌딩-다크</t>
    <phoneticPr fontId="2" type="noConversion"/>
  </si>
  <si>
    <t>주식회사 그랜드타이어 부산시청지점</t>
    <phoneticPr fontId="2" type="noConversion"/>
  </si>
  <si>
    <t>630-85-00832</t>
    <phoneticPr fontId="2" type="noConversion"/>
  </si>
  <si>
    <t>도소매, 서비스</t>
    <phoneticPr fontId="2" type="noConversion"/>
  </si>
  <si>
    <t>타이어, 자동차부분정비</t>
    <phoneticPr fontId="2" type="noConversion"/>
  </si>
  <si>
    <t>khpp1054@bill36524.com</t>
    <phoneticPr fontId="2" type="noConversion"/>
  </si>
  <si>
    <t>010-5527-5443</t>
    <phoneticPr fontId="2" type="noConversion"/>
  </si>
  <si>
    <t>12/10</t>
    <phoneticPr fontId="2" type="noConversion"/>
  </si>
  <si>
    <t>12/17</t>
    <phoneticPr fontId="2" type="noConversion"/>
  </si>
  <si>
    <t>블렌딩-다크</t>
    <phoneticPr fontId="2" type="noConversion"/>
  </si>
  <si>
    <t>블렌딩-라이트.</t>
    <phoneticPr fontId="2" type="noConversion"/>
  </si>
  <si>
    <t>12/18</t>
    <phoneticPr fontId="2" type="noConversion"/>
  </si>
  <si>
    <t>12/19</t>
    <phoneticPr fontId="2" type="noConversion"/>
  </si>
  <si>
    <t>그랜드타이어 서면지점</t>
    <phoneticPr fontId="2" type="noConversion"/>
  </si>
  <si>
    <t>주식회사 그랜드타이어 서면지점</t>
    <phoneticPr fontId="2" type="noConversion"/>
  </si>
  <si>
    <t>772-85-00679</t>
    <phoneticPr fontId="2" type="noConversion"/>
  </si>
  <si>
    <t>khpp18@bill36524.com</t>
    <phoneticPr fontId="2" type="noConversion"/>
  </si>
  <si>
    <t>㈜그랜드타이어 강변지점</t>
    <phoneticPr fontId="2" type="noConversion"/>
  </si>
  <si>
    <t>606-85-27798</t>
    <phoneticPr fontId="2" type="noConversion"/>
  </si>
  <si>
    <t>khpp1014@naver.com</t>
    <phoneticPr fontId="2" type="noConversion"/>
  </si>
  <si>
    <t>주식회사 그랜드타이어 연지점</t>
    <phoneticPr fontId="2" type="noConversion"/>
  </si>
  <si>
    <t>323-85-01267</t>
    <phoneticPr fontId="2" type="noConversion"/>
  </si>
  <si>
    <t>도소매</t>
    <phoneticPr fontId="2" type="noConversion"/>
  </si>
  <si>
    <t>khpp245@bill36524.com</t>
    <phoneticPr fontId="2" type="noConversion"/>
  </si>
  <si>
    <t>010-5414-3513</t>
    <phoneticPr fontId="2" type="noConversion"/>
  </si>
  <si>
    <t>010-6667-9876</t>
    <phoneticPr fontId="2" type="noConversion"/>
  </si>
  <si>
    <t>12/20</t>
    <phoneticPr fontId="2" type="noConversion"/>
  </si>
  <si>
    <t>블렌딩-라이트.</t>
    <phoneticPr fontId="2" type="noConversion"/>
  </si>
  <si>
    <t>12/23</t>
    <phoneticPr fontId="2" type="noConversion"/>
  </si>
  <si>
    <t>라미랑드</t>
    <phoneticPr fontId="2" type="noConversion"/>
  </si>
  <si>
    <t>12/24</t>
    <phoneticPr fontId="2" type="noConversion"/>
  </si>
  <si>
    <t>까페 산성</t>
    <phoneticPr fontId="2" type="noConversion"/>
  </si>
  <si>
    <t>12/26</t>
    <phoneticPr fontId="2" type="noConversion"/>
  </si>
  <si>
    <t>12/27</t>
    <phoneticPr fontId="2" type="noConversion"/>
  </si>
  <si>
    <t>12/30</t>
    <phoneticPr fontId="2" type="noConversion"/>
  </si>
  <si>
    <t>㈜ 그랜드타이어 정관지점</t>
    <phoneticPr fontId="2" type="noConversion"/>
  </si>
  <si>
    <t>676-85-00328</t>
    <phoneticPr fontId="2" type="noConversion"/>
  </si>
  <si>
    <t>도매업 소매업</t>
    <phoneticPr fontId="2" type="noConversion"/>
  </si>
  <si>
    <t>khpp7737@bill36524.com</t>
    <phoneticPr fontId="2" type="noConversion"/>
  </si>
  <si>
    <t>㈜ 그랜드타이어 양산지점</t>
    <phoneticPr fontId="2" type="noConversion"/>
  </si>
  <si>
    <t>162-85-00299</t>
    <phoneticPr fontId="2" type="noConversion"/>
  </si>
  <si>
    <t>khpp1222@bill36524.com</t>
    <phoneticPr fontId="2" type="noConversion"/>
  </si>
  <si>
    <t>주식회사 그레이트타이어 서김해지점</t>
    <phoneticPr fontId="2" type="noConversion"/>
  </si>
  <si>
    <t>158-85-02172</t>
    <phoneticPr fontId="2" type="noConversion"/>
  </si>
  <si>
    <t>도소매업</t>
    <phoneticPr fontId="2" type="noConversion"/>
  </si>
  <si>
    <t>khpp91@naver.com</t>
    <phoneticPr fontId="2" type="noConversion"/>
  </si>
  <si>
    <t>010-8462-2388</t>
    <phoneticPr fontId="2" type="noConversion"/>
  </si>
  <si>
    <t>010-8743-8686</t>
    <phoneticPr fontId="2" type="noConversion"/>
  </si>
  <si>
    <t>12/31</t>
    <phoneticPr fontId="2" type="noConversion"/>
  </si>
  <si>
    <t>01/02</t>
  </si>
  <si>
    <t>01/02</t>
    <phoneticPr fontId="2" type="noConversion"/>
  </si>
  <si>
    <t>01/07</t>
    <phoneticPr fontId="2" type="noConversion"/>
  </si>
  <si>
    <t>길 달맞이점</t>
    <phoneticPr fontId="2" type="noConversion"/>
  </si>
  <si>
    <t>01/10</t>
    <phoneticPr fontId="2" type="noConversion"/>
  </si>
  <si>
    <t>라미랑드</t>
    <phoneticPr fontId="2" type="noConversion"/>
  </si>
  <si>
    <t>200/G</t>
    <phoneticPr fontId="2" type="noConversion"/>
  </si>
  <si>
    <t>루카</t>
    <phoneticPr fontId="2" type="noConversion"/>
  </si>
  <si>
    <t>블렌딩-라이트.</t>
    <phoneticPr fontId="2" type="noConversion"/>
  </si>
  <si>
    <t>1/KG</t>
    <phoneticPr fontId="2" type="noConversion"/>
  </si>
  <si>
    <t>까페 산성</t>
    <phoneticPr fontId="2" type="noConversion"/>
  </si>
  <si>
    <t>블렌딩-다크</t>
    <phoneticPr fontId="2" type="noConversion"/>
  </si>
  <si>
    <t>01/14</t>
    <phoneticPr fontId="2" type="noConversion"/>
  </si>
  <si>
    <t>케냐</t>
    <phoneticPr fontId="2" type="noConversion"/>
  </si>
  <si>
    <t>코케허니</t>
    <phoneticPr fontId="2" type="noConversion"/>
  </si>
  <si>
    <t>나리노</t>
    <phoneticPr fontId="2" type="noConversion"/>
  </si>
  <si>
    <t>01/15</t>
    <phoneticPr fontId="2" type="noConversion"/>
  </si>
  <si>
    <t>01/16</t>
    <phoneticPr fontId="2" type="noConversion"/>
  </si>
  <si>
    <t>길 연산점</t>
    <phoneticPr fontId="2" type="noConversion"/>
  </si>
  <si>
    <t>01/18</t>
    <phoneticPr fontId="2" type="noConversion"/>
  </si>
  <si>
    <t>01/22</t>
    <phoneticPr fontId="2" type="noConversion"/>
  </si>
  <si>
    <t>01/23</t>
    <phoneticPr fontId="2" type="noConversion"/>
  </si>
  <si>
    <t>01/24</t>
    <phoneticPr fontId="2" type="noConversion"/>
  </si>
  <si>
    <t>길 양산점</t>
    <phoneticPr fontId="2" type="noConversion"/>
  </si>
  <si>
    <t>01/26</t>
    <phoneticPr fontId="2" type="noConversion"/>
  </si>
  <si>
    <t>01/27</t>
    <phoneticPr fontId="2" type="noConversion"/>
  </si>
  <si>
    <t>디카페인(25도)</t>
    <phoneticPr fontId="2" type="noConversion"/>
  </si>
  <si>
    <t>01/30</t>
    <phoneticPr fontId="2" type="noConversion"/>
  </si>
  <si>
    <t>01/31</t>
  </si>
  <si>
    <t>01/31</t>
    <phoneticPr fontId="2" type="noConversion"/>
  </si>
  <si>
    <t>02/01</t>
    <phoneticPr fontId="2" type="noConversion"/>
  </si>
  <si>
    <t>02/03</t>
    <phoneticPr fontId="2" type="noConversion"/>
  </si>
  <si>
    <t>앤트힐</t>
    <phoneticPr fontId="2" type="noConversion"/>
  </si>
  <si>
    <t>블렌딩-라이트.</t>
    <phoneticPr fontId="2" type="noConversion"/>
  </si>
  <si>
    <t>팜에이트</t>
    <phoneticPr fontId="2" type="noConversion"/>
  </si>
  <si>
    <t>02/03</t>
    <phoneticPr fontId="2" type="noConversion"/>
  </si>
  <si>
    <t>블렌딩-다크</t>
    <phoneticPr fontId="2" type="noConversion"/>
  </si>
  <si>
    <t>02/05</t>
    <phoneticPr fontId="2" type="noConversion"/>
  </si>
  <si>
    <t>택배비</t>
    <phoneticPr fontId="2" type="noConversion"/>
  </si>
  <si>
    <t>02/06</t>
    <phoneticPr fontId="2" type="noConversion"/>
  </si>
  <si>
    <t>02/06</t>
    <phoneticPr fontId="2" type="noConversion"/>
  </si>
  <si>
    <t>길브런치 경기이천점</t>
    <phoneticPr fontId="2" type="noConversion"/>
  </si>
  <si>
    <t>372-75-00539</t>
    <phoneticPr fontId="2" type="noConversion"/>
  </si>
  <si>
    <t>김정원</t>
    <phoneticPr fontId="2" type="noConversion"/>
  </si>
  <si>
    <t>휴게음식</t>
    <phoneticPr fontId="2" type="noConversion"/>
  </si>
  <si>
    <t>02/11</t>
    <phoneticPr fontId="2" type="noConversion"/>
  </si>
  <si>
    <t>블렌딩-라이트.</t>
    <phoneticPr fontId="2" type="noConversion"/>
  </si>
  <si>
    <t>02/12</t>
    <phoneticPr fontId="2" type="noConversion"/>
  </si>
  <si>
    <t>카페시럽</t>
    <phoneticPr fontId="2" type="noConversion"/>
  </si>
  <si>
    <t>02/14</t>
    <phoneticPr fontId="2" type="noConversion"/>
  </si>
  <si>
    <t>1.5/L</t>
    <phoneticPr fontId="2" type="noConversion"/>
  </si>
  <si>
    <t>02/17</t>
    <phoneticPr fontId="2" type="noConversion"/>
  </si>
  <si>
    <t>메리본</t>
    <phoneticPr fontId="2" type="noConversion"/>
  </si>
  <si>
    <t>288-15-02640</t>
    <phoneticPr fontId="2" type="noConversion"/>
  </si>
  <si>
    <t>김혜란</t>
    <phoneticPr fontId="2" type="noConversion"/>
  </si>
  <si>
    <t>카페</t>
    <phoneticPr fontId="2" type="noConversion"/>
  </si>
  <si>
    <t>khr5190@naver.com</t>
    <phoneticPr fontId="2" type="noConversion"/>
  </si>
  <si>
    <t>010-8642-5190</t>
    <phoneticPr fontId="2" type="noConversion"/>
  </si>
  <si>
    <t>메리본</t>
    <phoneticPr fontId="2" type="noConversion"/>
  </si>
  <si>
    <t>02/18</t>
    <phoneticPr fontId="2" type="noConversion"/>
  </si>
  <si>
    <t>블렌딩-라이트.</t>
    <phoneticPr fontId="2" type="noConversion"/>
  </si>
  <si>
    <t>02/21</t>
    <phoneticPr fontId="2" type="noConversion"/>
  </si>
  <si>
    <t>02/24</t>
    <phoneticPr fontId="2" type="noConversion"/>
  </si>
  <si>
    <t>길 광안점</t>
    <phoneticPr fontId="2" type="noConversion"/>
  </si>
  <si>
    <t>02/25</t>
    <phoneticPr fontId="2" type="noConversion"/>
  </si>
  <si>
    <t>02/28</t>
    <phoneticPr fontId="2" type="noConversion"/>
  </si>
  <si>
    <t>카푸치노</t>
    <phoneticPr fontId="2" type="noConversion"/>
  </si>
  <si>
    <t>블렌딩-라이트.</t>
    <phoneticPr fontId="2" type="noConversion"/>
  </si>
  <si>
    <t>02/25</t>
  </si>
  <si>
    <t>03/01</t>
    <phoneticPr fontId="2" type="noConversion"/>
  </si>
  <si>
    <t>03/03</t>
    <phoneticPr fontId="2" type="noConversion"/>
  </si>
  <si>
    <t>03/04</t>
    <phoneticPr fontId="2" type="noConversion"/>
  </si>
  <si>
    <t>길 대연점</t>
    <phoneticPr fontId="2" type="noConversion"/>
  </si>
  <si>
    <t>03/05</t>
    <phoneticPr fontId="2" type="noConversion"/>
  </si>
  <si>
    <t>03/06</t>
    <phoneticPr fontId="2" type="noConversion"/>
  </si>
  <si>
    <t>200/G</t>
  </si>
  <si>
    <t>03/10</t>
    <phoneticPr fontId="2" type="noConversion"/>
  </si>
  <si>
    <t>03/10</t>
    <phoneticPr fontId="2" type="noConversion"/>
  </si>
  <si>
    <t>03/11</t>
    <phoneticPr fontId="2" type="noConversion"/>
  </si>
  <si>
    <t>03/12</t>
    <phoneticPr fontId="2" type="noConversion"/>
  </si>
  <si>
    <t>03/14</t>
    <phoneticPr fontId="2" type="noConversion"/>
  </si>
  <si>
    <t>03/17</t>
    <phoneticPr fontId="2" type="noConversion"/>
  </si>
  <si>
    <t>03/18</t>
    <phoneticPr fontId="2" type="noConversion"/>
  </si>
  <si>
    <t>블렌딩-라이트.</t>
    <phoneticPr fontId="2" type="noConversion"/>
  </si>
  <si>
    <t>03/19</t>
    <phoneticPr fontId="2" type="noConversion"/>
  </si>
  <si>
    <t>03/20</t>
    <phoneticPr fontId="2" type="noConversion"/>
  </si>
  <si>
    <t>03/24</t>
    <phoneticPr fontId="2" type="noConversion"/>
  </si>
  <si>
    <t>03/24</t>
    <phoneticPr fontId="2" type="noConversion"/>
  </si>
  <si>
    <t>03/25</t>
    <phoneticPr fontId="2" type="noConversion"/>
  </si>
  <si>
    <t>03/26</t>
    <phoneticPr fontId="2" type="noConversion"/>
  </si>
  <si>
    <t>메리본</t>
    <phoneticPr fontId="2" type="noConversion"/>
  </si>
  <si>
    <t>더치-예가체프(25도)</t>
    <phoneticPr fontId="2" type="noConversion"/>
  </si>
  <si>
    <t>03/29</t>
    <phoneticPr fontId="2" type="noConversion"/>
  </si>
  <si>
    <t>03/31</t>
    <phoneticPr fontId="2" type="noConversion"/>
  </si>
  <si>
    <t>03/25</t>
  </si>
  <si>
    <t>04/01</t>
    <phoneticPr fontId="2" type="noConversion"/>
  </si>
  <si>
    <t>04/02</t>
    <phoneticPr fontId="2" type="noConversion"/>
  </si>
  <si>
    <t>04/04</t>
    <phoneticPr fontId="2" type="noConversion"/>
  </si>
  <si>
    <t>04/07</t>
    <phoneticPr fontId="2" type="noConversion"/>
  </si>
  <si>
    <t>04/08</t>
    <phoneticPr fontId="2" type="noConversion"/>
  </si>
  <si>
    <t>메리본</t>
    <phoneticPr fontId="2" type="noConversion"/>
  </si>
  <si>
    <t>04/10</t>
    <phoneticPr fontId="2" type="noConversion"/>
  </si>
  <si>
    <t>04/14</t>
    <phoneticPr fontId="2" type="noConversion"/>
  </si>
  <si>
    <t>04/15</t>
  </si>
  <si>
    <t>04/21</t>
    <phoneticPr fontId="2" type="noConversion"/>
  </si>
  <si>
    <t>04/23</t>
    <phoneticPr fontId="2" type="noConversion"/>
  </si>
  <si>
    <t>04/24</t>
    <phoneticPr fontId="2" type="noConversion"/>
  </si>
  <si>
    <t>라미랑드</t>
    <phoneticPr fontId="2" type="noConversion"/>
  </si>
  <si>
    <t>04/25</t>
    <phoneticPr fontId="2" type="noConversion"/>
  </si>
  <si>
    <t>04/28</t>
    <phoneticPr fontId="2" type="noConversion"/>
  </si>
  <si>
    <t>04/29</t>
    <phoneticPr fontId="2" type="noConversion"/>
  </si>
  <si>
    <t>04/31</t>
    <phoneticPr fontId="2" type="noConversion"/>
  </si>
  <si>
    <t>블렌딩-다크.</t>
    <phoneticPr fontId="2" type="noConversion"/>
  </si>
  <si>
    <t>05/07</t>
    <phoneticPr fontId="2" type="noConversion"/>
  </si>
  <si>
    <t>05/08</t>
  </si>
  <si>
    <t>05/09</t>
  </si>
  <si>
    <t>05/12</t>
    <phoneticPr fontId="2" type="noConversion"/>
  </si>
  <si>
    <t>05/14</t>
    <phoneticPr fontId="2" type="noConversion"/>
  </si>
  <si>
    <t>05/15</t>
  </si>
  <si>
    <t>05/19</t>
    <phoneticPr fontId="2" type="noConversion"/>
  </si>
  <si>
    <t>메리본</t>
    <phoneticPr fontId="2" type="noConversion"/>
  </si>
  <si>
    <t>디카페인(납품).</t>
    <phoneticPr fontId="2" type="noConversion"/>
  </si>
  <si>
    <t>디카페인.</t>
    <phoneticPr fontId="2" type="noConversion"/>
  </si>
  <si>
    <t>05/22</t>
    <phoneticPr fontId="2" type="noConversion"/>
  </si>
  <si>
    <t>05/26</t>
    <phoneticPr fontId="2" type="noConversion"/>
  </si>
  <si>
    <t>05/28</t>
    <phoneticPr fontId="2" type="noConversion"/>
  </si>
  <si>
    <t>블렌딩-다크.</t>
    <phoneticPr fontId="2" type="noConversion"/>
  </si>
  <si>
    <t>블렌딩-라이트.</t>
    <phoneticPr fontId="2" type="noConversion"/>
  </si>
  <si>
    <t>05/31</t>
    <phoneticPr fontId="2" type="noConversion"/>
  </si>
  <si>
    <t>06/05</t>
    <phoneticPr fontId="2" type="noConversion"/>
  </si>
  <si>
    <t>06/09</t>
    <phoneticPr fontId="2" type="noConversion"/>
  </si>
  <si>
    <t>더치-길 다크.</t>
    <phoneticPr fontId="2" type="noConversion"/>
  </si>
  <si>
    <t>더치-길 디카페인.</t>
    <phoneticPr fontId="2" type="noConversion"/>
  </si>
  <si>
    <t>더치-디카페인.</t>
    <phoneticPr fontId="2" type="noConversion"/>
  </si>
  <si>
    <t>더치-디카페인(납품).</t>
    <phoneticPr fontId="2" type="noConversion"/>
  </si>
  <si>
    <t>06/10</t>
    <phoneticPr fontId="2" type="noConversion"/>
  </si>
  <si>
    <t>블렌딩-라이트.</t>
    <phoneticPr fontId="2" type="noConversion"/>
  </si>
  <si>
    <t>06/11</t>
    <phoneticPr fontId="2" type="noConversion"/>
  </si>
  <si>
    <t>블렌딩-라이트.</t>
    <phoneticPr fontId="2" type="noConversion"/>
  </si>
  <si>
    <t>06/17</t>
    <phoneticPr fontId="2" type="noConversion"/>
  </si>
  <si>
    <t>06/20</t>
    <phoneticPr fontId="2" type="noConversion"/>
  </si>
  <si>
    <t>06/24</t>
    <phoneticPr fontId="2" type="noConversion"/>
  </si>
  <si>
    <t>06/25</t>
    <phoneticPr fontId="2" type="noConversion"/>
  </si>
  <si>
    <t>06/26</t>
    <phoneticPr fontId="2" type="noConversion"/>
  </si>
  <si>
    <t>06/30</t>
    <phoneticPr fontId="2" type="noConversion"/>
  </si>
  <si>
    <t>07/02</t>
    <phoneticPr fontId="2" type="noConversion"/>
  </si>
  <si>
    <t>블렌딩-다크.</t>
    <phoneticPr fontId="2" type="noConversion"/>
  </si>
  <si>
    <t>블렌딩-라이트.</t>
    <phoneticPr fontId="2" type="noConversion"/>
  </si>
  <si>
    <t>07/03</t>
    <phoneticPr fontId="2" type="noConversion"/>
  </si>
  <si>
    <t>07/07</t>
    <phoneticPr fontId="2" type="noConversion"/>
  </si>
  <si>
    <t>07/08</t>
    <phoneticPr fontId="2" type="noConversion"/>
  </si>
  <si>
    <t>07/11</t>
    <phoneticPr fontId="2" type="noConversion"/>
  </si>
  <si>
    <t>07/14</t>
    <phoneticPr fontId="2" type="noConversion"/>
  </si>
  <si>
    <t>07/18</t>
    <phoneticPr fontId="2" type="noConversion"/>
  </si>
  <si>
    <t>07/21</t>
    <phoneticPr fontId="2" type="noConversion"/>
  </si>
  <si>
    <t>07/22</t>
    <phoneticPr fontId="2" type="noConversion"/>
  </si>
  <si>
    <t>07/24</t>
    <phoneticPr fontId="2" type="noConversion"/>
  </si>
  <si>
    <t>07/25</t>
    <phoneticPr fontId="2" type="noConversion"/>
  </si>
  <si>
    <t>블렌딩-라이트.</t>
    <phoneticPr fontId="2" type="noConversion"/>
  </si>
  <si>
    <t>07/28</t>
    <phoneticPr fontId="2" type="noConversion"/>
  </si>
  <si>
    <t>블렌딩-다크.</t>
    <phoneticPr fontId="2" type="noConversion"/>
  </si>
  <si>
    <t>07/29</t>
    <phoneticPr fontId="2" type="noConversion"/>
  </si>
  <si>
    <t>1/L</t>
    <phoneticPr fontId="2" type="noConversion"/>
  </si>
  <si>
    <t>07/31</t>
    <phoneticPr fontId="2" type="noConversion"/>
  </si>
  <si>
    <t>08/04</t>
    <phoneticPr fontId="2" type="noConversion"/>
  </si>
  <si>
    <t>08/07</t>
    <phoneticPr fontId="2" type="noConversion"/>
  </si>
  <si>
    <t>㈜ 바라컴퍼니</t>
    <phoneticPr fontId="2" type="noConversion"/>
  </si>
  <si>
    <t>337-81-03742</t>
    <phoneticPr fontId="2" type="noConversion"/>
  </si>
  <si>
    <t>강현권</t>
    <phoneticPr fontId="2" type="noConversion"/>
  </si>
  <si>
    <t>서비스업</t>
    <phoneticPr fontId="2" type="noConversion"/>
  </si>
  <si>
    <t>프랜차이즈업</t>
    <phoneticPr fontId="2" type="noConversion"/>
  </si>
  <si>
    <t>08/08</t>
    <phoneticPr fontId="2" type="noConversion"/>
  </si>
  <si>
    <t>메리본</t>
    <phoneticPr fontId="2" type="noConversion"/>
  </si>
  <si>
    <t>블렌딩-다크(길)</t>
    <phoneticPr fontId="2" type="noConversion"/>
  </si>
  <si>
    <t>다크 더치(길)</t>
    <phoneticPr fontId="2" type="noConversion"/>
  </si>
  <si>
    <t>디카페인 더치(길)</t>
    <phoneticPr fontId="2" type="noConversion"/>
  </si>
  <si>
    <t>08/11</t>
    <phoneticPr fontId="2" type="noConversion"/>
  </si>
  <si>
    <t>길 광안점</t>
    <phoneticPr fontId="2" type="noConversion"/>
  </si>
  <si>
    <t>08/11</t>
    <phoneticPr fontId="2" type="noConversion"/>
  </si>
  <si>
    <t>08/15</t>
    <phoneticPr fontId="2" type="noConversion"/>
  </si>
  <si>
    <t>08/18</t>
    <phoneticPr fontId="2" type="noConversion"/>
  </si>
  <si>
    <t>08/21</t>
    <phoneticPr fontId="2" type="noConversion"/>
  </si>
  <si>
    <t>08/22</t>
  </si>
  <si>
    <t>08/26</t>
    <phoneticPr fontId="2" type="noConversion"/>
  </si>
  <si>
    <t>카푸치노</t>
    <phoneticPr fontId="2" type="noConversion"/>
  </si>
  <si>
    <t>08/28</t>
    <phoneticPr fontId="2" type="noConversion"/>
  </si>
  <si>
    <t>08/29</t>
    <phoneticPr fontId="2" type="noConversion"/>
  </si>
  <si>
    <t>09/01</t>
    <phoneticPr fontId="2" type="noConversion"/>
  </si>
  <si>
    <t>08/25</t>
    <phoneticPr fontId="2" type="noConversion"/>
  </si>
  <si>
    <t>09/02</t>
    <phoneticPr fontId="2" type="noConversion"/>
  </si>
  <si>
    <t>블렌딩-다크.</t>
    <phoneticPr fontId="2" type="noConversion"/>
  </si>
  <si>
    <t>디카페인(납품)</t>
    <phoneticPr fontId="2" type="noConversion"/>
  </si>
  <si>
    <t>09/10</t>
    <phoneticPr fontId="2" type="noConversion"/>
  </si>
  <si>
    <t>길 달맞이점</t>
    <phoneticPr fontId="2" type="noConversion"/>
  </si>
  <si>
    <t>1/L</t>
    <phoneticPr fontId="2" type="noConversion"/>
  </si>
  <si>
    <t>09/11</t>
    <phoneticPr fontId="2" type="noConversion"/>
  </si>
  <si>
    <t>09/12</t>
    <phoneticPr fontId="2" type="noConversion"/>
  </si>
  <si>
    <t>09/15</t>
    <phoneticPr fontId="2" type="noConversion"/>
  </si>
  <si>
    <t>09/16</t>
    <phoneticPr fontId="2" type="noConversion"/>
  </si>
  <si>
    <t>블렌딩-라이트.</t>
    <phoneticPr fontId="2" type="noConversion"/>
  </si>
  <si>
    <t>09/17</t>
    <phoneticPr fontId="2" type="noConversion"/>
  </si>
  <si>
    <t>09/18</t>
    <phoneticPr fontId="2" type="noConversion"/>
  </si>
  <si>
    <t>09/22</t>
    <phoneticPr fontId="2" type="noConversion"/>
  </si>
  <si>
    <t>09/23</t>
    <phoneticPr fontId="2" type="noConversion"/>
  </si>
  <si>
    <t>주식회사 브릿지로지스틱스</t>
    <phoneticPr fontId="2" type="noConversion"/>
  </si>
  <si>
    <t>602-82-61160</t>
    <phoneticPr fontId="2" type="noConversion"/>
  </si>
  <si>
    <t>박동조</t>
    <phoneticPr fontId="2" type="noConversion"/>
  </si>
  <si>
    <t>운수업</t>
    <phoneticPr fontId="2" type="noConversion"/>
  </si>
  <si>
    <t>일반 화물</t>
    <phoneticPr fontId="2" type="noConversion"/>
  </si>
  <si>
    <t>bridge303@naver.com</t>
    <phoneticPr fontId="2" type="noConversion"/>
  </si>
  <si>
    <t>070-7327-4096</t>
    <phoneticPr fontId="2" type="noConversion"/>
  </si>
  <si>
    <t>09/26</t>
    <phoneticPr fontId="2" type="noConversion"/>
  </si>
  <si>
    <t>09/25</t>
    <phoneticPr fontId="2" type="noConversion"/>
  </si>
  <si>
    <t>09/30</t>
    <phoneticPr fontId="2" type="noConversion"/>
  </si>
  <si>
    <t>09/30</t>
    <phoneticPr fontId="2" type="noConversion"/>
  </si>
  <si>
    <t>10/01</t>
    <phoneticPr fontId="2" type="noConversion"/>
  </si>
  <si>
    <t>메리본</t>
    <phoneticPr fontId="2" type="noConversion"/>
  </si>
  <si>
    <t>10/02</t>
    <phoneticPr fontId="2" type="noConversion"/>
  </si>
  <si>
    <t>10/10</t>
    <phoneticPr fontId="2" type="noConversion"/>
  </si>
  <si>
    <t>10/13</t>
    <phoneticPr fontId="2" type="noConversion"/>
  </si>
  <si>
    <t>길 광안점</t>
    <phoneticPr fontId="2" type="noConversion"/>
  </si>
  <si>
    <t>10/14</t>
    <phoneticPr fontId="2" type="noConversion"/>
  </si>
  <si>
    <t>카푸치노</t>
    <phoneticPr fontId="2" type="noConversion"/>
  </si>
  <si>
    <t>10/15</t>
    <phoneticPr fontId="2" type="noConversion"/>
  </si>
  <si>
    <t>10/17</t>
    <phoneticPr fontId="2" type="noConversion"/>
  </si>
  <si>
    <t>10/20</t>
    <phoneticPr fontId="2" type="noConversion"/>
  </si>
  <si>
    <t>10/21</t>
    <phoneticPr fontId="2" type="noConversion"/>
  </si>
  <si>
    <t>블렌딩-라이트.</t>
    <phoneticPr fontId="2" type="noConversion"/>
  </si>
  <si>
    <t>10/29</t>
    <phoneticPr fontId="2" type="noConversion"/>
  </si>
  <si>
    <t>10/30</t>
    <phoneticPr fontId="2" type="noConversion"/>
  </si>
  <si>
    <t>10/25</t>
    <phoneticPr fontId="2" type="noConversion"/>
  </si>
  <si>
    <t>11/03</t>
    <phoneticPr fontId="2" type="noConversion"/>
  </si>
  <si>
    <t>11/05</t>
    <phoneticPr fontId="2" type="noConversion"/>
  </si>
  <si>
    <t>11/06</t>
    <phoneticPr fontId="2" type="noConversion"/>
  </si>
  <si>
    <t>11/10</t>
    <phoneticPr fontId="2" type="noConversion"/>
  </si>
  <si>
    <t>11/14</t>
    <phoneticPr fontId="2" type="noConversion"/>
  </si>
  <si>
    <t>11/18</t>
    <phoneticPr fontId="2" type="noConversion"/>
  </si>
  <si>
    <t>11/20</t>
  </si>
  <si>
    <t>11/20</t>
    <phoneticPr fontId="2" type="noConversion"/>
  </si>
  <si>
    <t>라미랑드</t>
  </si>
  <si>
    <t>라미랑드</t>
    <phoneticPr fontId="2" type="noConversion"/>
  </si>
  <si>
    <t>11/25</t>
    <phoneticPr fontId="2" type="noConversion"/>
  </si>
  <si>
    <t>11/26</t>
    <phoneticPr fontId="2" type="noConversion"/>
  </si>
  <si>
    <t>11/30</t>
    <phoneticPr fontId="2" type="noConversion"/>
  </si>
  <si>
    <t>12/01</t>
    <phoneticPr fontId="2" type="noConversion"/>
  </si>
  <si>
    <t>12/02</t>
    <phoneticPr fontId="2" type="noConversion"/>
  </si>
  <si>
    <t>12/04</t>
    <phoneticPr fontId="2" type="noConversion"/>
  </si>
  <si>
    <t>팜에이트</t>
    <phoneticPr fontId="2" type="noConversion"/>
  </si>
  <si>
    <t>블렌딩-라이트.</t>
    <phoneticPr fontId="2" type="noConversion"/>
  </si>
  <si>
    <t>12/09</t>
    <phoneticPr fontId="2" type="noConversion"/>
  </si>
  <si>
    <t>12/11</t>
    <phoneticPr fontId="2" type="noConversion"/>
  </si>
  <si>
    <t>라미랑드</t>
    <phoneticPr fontId="2" type="noConversion"/>
  </si>
  <si>
    <t>12/16</t>
    <phoneticPr fontId="2" type="noConversion"/>
  </si>
  <si>
    <t>길 광안점</t>
    <phoneticPr fontId="2" type="noConversion"/>
  </si>
  <si>
    <t>12/18</t>
    <phoneticPr fontId="2" type="noConversion"/>
  </si>
  <si>
    <t>12/22</t>
    <phoneticPr fontId="2" type="noConversion"/>
  </si>
  <si>
    <t>12/23</t>
    <phoneticPr fontId="2" type="noConversion"/>
  </si>
  <si>
    <t>12/24</t>
    <phoneticPr fontId="2" type="noConversion"/>
  </si>
  <si>
    <t>12/25</t>
    <phoneticPr fontId="2" type="noConversion"/>
  </si>
  <si>
    <t>12/31</t>
    <phoneticPr fontId="2" type="noConversion"/>
  </si>
  <si>
    <t>01/02</t>
    <phoneticPr fontId="2" type="noConversion"/>
  </si>
  <si>
    <t>01/05</t>
    <phoneticPr fontId="2" type="noConversion"/>
  </si>
  <si>
    <t>라미랑드</t>
    <phoneticPr fontId="2" type="noConversion"/>
  </si>
  <si>
    <t>예가체프(25도)</t>
    <phoneticPr fontId="2" type="noConversion"/>
  </si>
  <si>
    <t>200/G</t>
    <phoneticPr fontId="2" type="noConversion"/>
  </si>
  <si>
    <t>01/08</t>
    <phoneticPr fontId="2" type="noConversion"/>
  </si>
  <si>
    <t>케냐(25도)</t>
    <phoneticPr fontId="2" type="noConversion"/>
  </si>
  <si>
    <t>코케허니(25도)</t>
    <phoneticPr fontId="2" type="noConversion"/>
  </si>
  <si>
    <t>01/13</t>
    <phoneticPr fontId="2" type="noConversion"/>
  </si>
  <si>
    <t>아체가요마운틴(25도)</t>
    <phoneticPr fontId="2" type="noConversion"/>
  </si>
  <si>
    <t>만델링(25도)</t>
    <phoneticPr fontId="2" type="noConversion"/>
  </si>
  <si>
    <t>안티구아(25도)</t>
    <phoneticPr fontId="2" type="noConversion"/>
  </si>
  <si>
    <t>유로(25도)</t>
    <phoneticPr fontId="2" type="noConversion"/>
  </si>
  <si>
    <t>나리노(25도)</t>
    <phoneticPr fontId="2" type="noConversion"/>
  </si>
  <si>
    <t>모모라(25도)</t>
    <phoneticPr fontId="2" type="noConversion"/>
  </si>
  <si>
    <t>01/14</t>
    <phoneticPr fontId="2" type="noConversion"/>
  </si>
  <si>
    <t>메리본</t>
    <phoneticPr fontId="2" type="noConversion"/>
  </si>
  <si>
    <t>길 연산점</t>
    <phoneticPr fontId="2" type="noConversion"/>
  </si>
  <si>
    <t>01/22</t>
    <phoneticPr fontId="2" type="noConversion"/>
  </si>
  <si>
    <t>길 달맞이점</t>
    <phoneticPr fontId="2" type="noConversion"/>
  </si>
  <si>
    <t>01/23</t>
    <phoneticPr fontId="2" type="noConversion"/>
  </si>
  <si>
    <t>01/26</t>
    <phoneticPr fontId="2" type="noConversion"/>
  </si>
  <si>
    <t>01/29</t>
    <phoneticPr fontId="2" type="noConversion"/>
  </si>
  <si>
    <t>그랜드타이어 기장지점</t>
    <phoneticPr fontId="2" type="noConversion"/>
  </si>
  <si>
    <t>그랜드타이어 기장지점</t>
    <phoneticPr fontId="2" type="noConversion"/>
  </si>
  <si>
    <t>819-85-03131</t>
    <phoneticPr fontId="2" type="noConversion"/>
  </si>
  <si>
    <t>02/02</t>
    <phoneticPr fontId="2" type="noConversion"/>
  </si>
  <si>
    <t>02/03</t>
    <phoneticPr fontId="2" type="noConversion"/>
  </si>
  <si>
    <t>02/04</t>
    <phoneticPr fontId="2" type="noConversion"/>
  </si>
  <si>
    <t>02/05</t>
    <phoneticPr fontId="2" type="noConversion"/>
  </si>
  <si>
    <t>라미랑드</t>
    <phoneticPr fontId="2" type="noConversion"/>
  </si>
  <si>
    <t>02/06</t>
    <phoneticPr fontId="2" type="noConversion"/>
  </si>
  <si>
    <t>02/10</t>
    <phoneticPr fontId="2" type="noConversion"/>
  </si>
  <si>
    <t>02/10</t>
    <phoneticPr fontId="2" type="noConversion"/>
  </si>
  <si>
    <t>02/11</t>
    <phoneticPr fontId="2" type="noConversion"/>
  </si>
  <si>
    <t>팜에이트</t>
    <phoneticPr fontId="2" type="noConversion"/>
  </si>
  <si>
    <t>02/12</t>
    <phoneticPr fontId="2" type="noConversion"/>
  </si>
  <si>
    <t>02/15</t>
    <phoneticPr fontId="2" type="noConversion"/>
  </si>
  <si>
    <t>02/16</t>
    <phoneticPr fontId="2" type="noConversion"/>
  </si>
  <si>
    <t>02/19</t>
    <phoneticPr fontId="2" type="noConversion"/>
  </si>
  <si>
    <t>02/23</t>
    <phoneticPr fontId="2" type="noConversion"/>
  </si>
  <si>
    <t>02/24</t>
    <phoneticPr fontId="2" type="noConversion"/>
  </si>
  <si>
    <t>티스테이션거제고현점 주식회사</t>
    <phoneticPr fontId="2" type="noConversion"/>
  </si>
  <si>
    <t>667-88-02264</t>
    <phoneticPr fontId="2" type="noConversion"/>
  </si>
  <si>
    <t>김경희</t>
    <phoneticPr fontId="2" type="noConversion"/>
  </si>
  <si>
    <t>타이어 자동차부품</t>
    <phoneticPr fontId="2" type="noConversion"/>
  </si>
  <si>
    <t>02/25</t>
    <phoneticPr fontId="2" type="noConversion"/>
  </si>
  <si>
    <t>길 광안점</t>
    <phoneticPr fontId="2" type="noConversion"/>
  </si>
  <si>
    <t>02/26</t>
    <phoneticPr fontId="2" type="noConversion"/>
  </si>
  <si>
    <t>03/02</t>
    <phoneticPr fontId="2" type="noConversion"/>
  </si>
  <si>
    <t>3권</t>
    <phoneticPr fontId="11" type="noConversion"/>
  </si>
  <si>
    <t>㈜그랜드타이어</t>
    <phoneticPr fontId="2" type="noConversion"/>
  </si>
  <si>
    <t>㈜그레이트타이어 창원지점</t>
    <phoneticPr fontId="2" type="noConversion"/>
  </si>
  <si>
    <t>그랜드타이어 부산시청점</t>
    <phoneticPr fontId="2" type="noConversion"/>
  </si>
  <si>
    <t>그랜드타이어 강변지점</t>
    <phoneticPr fontId="2" type="noConversion"/>
  </si>
  <si>
    <t>그랜드타이어 연지점</t>
    <phoneticPr fontId="2" type="noConversion"/>
  </si>
  <si>
    <t>그레이트타이어 서김해지점</t>
    <phoneticPr fontId="2" type="noConversion"/>
  </si>
  <si>
    <t>그랜드타이어 양산지점</t>
    <phoneticPr fontId="2" type="noConversion"/>
  </si>
  <si>
    <t>그랜드타이어 정관지점</t>
    <phoneticPr fontId="2" type="noConversion"/>
  </si>
  <si>
    <t>티스테이션 거제 고현점</t>
    <phoneticPr fontId="2" type="noConversion"/>
  </si>
  <si>
    <t>02/25</t>
    <phoneticPr fontId="2" type="noConversion"/>
  </si>
  <si>
    <t>03/04</t>
    <phoneticPr fontId="2" type="noConversion"/>
  </si>
  <si>
    <t>그랜드타이어 거제지점</t>
    <phoneticPr fontId="2" type="noConversion"/>
  </si>
  <si>
    <t>03/05</t>
    <phoneticPr fontId="2" type="noConversion"/>
  </si>
  <si>
    <t>03/06</t>
    <phoneticPr fontId="2" type="noConversion"/>
  </si>
  <si>
    <t>03/10</t>
    <phoneticPr fontId="2" type="noConversion"/>
  </si>
  <si>
    <t>03/12</t>
    <phoneticPr fontId="2" type="noConversion"/>
  </si>
  <si>
    <t>03/16</t>
    <phoneticPr fontId="2" type="noConversion"/>
  </si>
  <si>
    <t>03/16</t>
    <phoneticPr fontId="2" type="noConversion"/>
  </si>
  <si>
    <t>길 달맞이점</t>
    <phoneticPr fontId="2" type="noConversion"/>
  </si>
  <si>
    <t>03/17</t>
    <phoneticPr fontId="2" type="noConversion"/>
  </si>
  <si>
    <t>03/19</t>
    <phoneticPr fontId="2" type="noConversion"/>
  </si>
  <si>
    <t>03/20</t>
    <phoneticPr fontId="2" type="noConversion"/>
  </si>
  <si>
    <t>03/23</t>
    <phoneticPr fontId="2" type="noConversion"/>
  </si>
  <si>
    <t>03/25</t>
    <phoneticPr fontId="2" type="noConversion"/>
  </si>
  <si>
    <t>03/26</t>
    <phoneticPr fontId="2" type="noConversion"/>
  </si>
  <si>
    <t>03/27</t>
    <phoneticPr fontId="2" type="noConversion"/>
  </si>
  <si>
    <t>03/31</t>
    <phoneticPr fontId="2" type="noConversion"/>
  </si>
  <si>
    <t>팜에이트</t>
  </si>
  <si>
    <t>팜에이트</t>
    <phoneticPr fontId="2" type="noConversion"/>
  </si>
  <si>
    <t>31호</t>
    <phoneticPr fontId="11" type="noConversion"/>
  </si>
  <si>
    <t>블렌딩-라이트.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</si>
</sst>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mm&quot;월&quot;\ dd&quot;일&quot;"/>
    <numFmt numFmtId="178" formatCode="yyyy&quot;년&quot;\ m&quot;월&quot;\ d&quot;일&quot;;@"/>
    <numFmt numFmtId="179" formatCode="[DBNum4][$-150000]General"/>
  </numFmts>
  <fonts count="26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10"/>
      <name val="맑은 고딕"/>
      <family val="3"/>
      <charset val="129"/>
      <scheme val="minor"/>
    </font>
    <font>
      <sz val="8"/>
      <name val="바탕체"/>
      <family val="1"/>
      <charset val="129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u/>
      <sz val="9"/>
      <name val="맑은 고딕"/>
      <family val="3"/>
      <charset val="129"/>
      <scheme val="minor"/>
    </font>
    <font>
      <u/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4" fillId="0" borderId="0"/>
    <xf numFmtId="176" fontId="8" fillId="0" borderId="0" applyFont="0" applyFill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13" fillId="0" borderId="27" xfId="4" applyNumberFormat="1" applyFont="1" applyBorder="1" applyAlignment="1">
      <alignment horizontal="center" vertical="center"/>
    </xf>
    <xf numFmtId="176" fontId="13" fillId="0" borderId="10" xfId="4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0" fontId="10" fillId="0" borderId="0" xfId="3" applyFont="1" applyAlignment="1">
      <alignment horizontal="center" vertical="center" wrapText="1"/>
    </xf>
    <xf numFmtId="0" fontId="18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3" fillId="0" borderId="41" xfId="3" applyFont="1" applyBorder="1" applyAlignment="1">
      <alignment vertical="center"/>
    </xf>
    <xf numFmtId="0" fontId="13" fillId="0" borderId="43" xfId="3" applyFont="1" applyBorder="1" applyAlignment="1">
      <alignment vertical="center"/>
    </xf>
    <xf numFmtId="176" fontId="5" fillId="0" borderId="40" xfId="2" applyFont="1" applyBorder="1">
      <alignment vertical="center"/>
    </xf>
    <xf numFmtId="176" fontId="5" fillId="0" borderId="0" xfId="2" applyFont="1">
      <alignment vertical="center"/>
    </xf>
    <xf numFmtId="0" fontId="5" fillId="0" borderId="44" xfId="0" applyFont="1" applyBorder="1">
      <alignment vertical="center"/>
    </xf>
    <xf numFmtId="176" fontId="5" fillId="0" borderId="45" xfId="0" applyNumberFormat="1" applyFont="1" applyBorder="1">
      <alignment vertical="center"/>
    </xf>
    <xf numFmtId="0" fontId="5" fillId="0" borderId="46" xfId="0" applyFont="1" applyBorder="1">
      <alignment vertical="center"/>
    </xf>
    <xf numFmtId="176" fontId="5" fillId="0" borderId="44" xfId="0" applyNumberFormat="1" applyFont="1" applyBorder="1">
      <alignment vertical="center"/>
    </xf>
    <xf numFmtId="0" fontId="5" fillId="0" borderId="0" xfId="0" applyFont="1" applyAlignment="1">
      <alignment vertical="center" wrapText="1"/>
    </xf>
    <xf numFmtId="176" fontId="5" fillId="0" borderId="0" xfId="2" applyFont="1" applyAlignment="1">
      <alignment vertical="center" wrapText="1"/>
    </xf>
    <xf numFmtId="176" fontId="5" fillId="0" borderId="0" xfId="0" applyNumberFormat="1" applyFont="1">
      <alignment vertical="center"/>
    </xf>
    <xf numFmtId="176" fontId="5" fillId="0" borderId="47" xfId="2" applyFont="1" applyBorder="1">
      <alignment vertical="center"/>
    </xf>
    <xf numFmtId="176" fontId="5" fillId="0" borderId="48" xfId="0" applyNumberFormat="1" applyFont="1" applyBorder="1">
      <alignment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1" fillId="2" borderId="5" xfId="0" applyFont="1" applyFill="1" applyBorder="1">
      <alignment vertical="center"/>
    </xf>
    <xf numFmtId="176" fontId="5" fillId="2" borderId="5" xfId="2" applyFont="1" applyFill="1" applyBorder="1">
      <alignment vertical="center"/>
    </xf>
    <xf numFmtId="176" fontId="5" fillId="2" borderId="5" xfId="0" applyNumberFormat="1" applyFont="1" applyFill="1" applyBorder="1">
      <alignment vertical="center"/>
    </xf>
    <xf numFmtId="176" fontId="3" fillId="4" borderId="49" xfId="2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76" fontId="3" fillId="4" borderId="5" xfId="2" applyFont="1" applyFill="1" applyBorder="1" applyAlignment="1">
      <alignment horizontal="center" vertical="center"/>
    </xf>
    <xf numFmtId="177" fontId="5" fillId="0" borderId="5" xfId="0" quotePrefix="1" applyNumberFormat="1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176" fontId="5" fillId="0" borderId="5" xfId="2" applyFont="1" applyBorder="1">
      <alignment vertical="center"/>
    </xf>
    <xf numFmtId="176" fontId="5" fillId="0" borderId="5" xfId="0" applyNumberFormat="1" applyFont="1" applyBorder="1">
      <alignment vertical="center"/>
    </xf>
    <xf numFmtId="0" fontId="5" fillId="0" borderId="5" xfId="0" quotePrefix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176" fontId="6" fillId="0" borderId="5" xfId="2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76" fontId="5" fillId="0" borderId="5" xfId="2" applyFont="1" applyBorder="1" applyAlignment="1">
      <alignment horizontal="left" vertical="center"/>
    </xf>
    <xf numFmtId="176" fontId="5" fillId="0" borderId="5" xfId="0" applyNumberFormat="1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176" fontId="5" fillId="0" borderId="44" xfId="0" applyNumberFormat="1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5" fillId="0" borderId="0" xfId="2" applyFont="1" applyAlignment="1">
      <alignment horizontal="left" vertical="center"/>
    </xf>
    <xf numFmtId="0" fontId="5" fillId="0" borderId="0" xfId="0" quotePrefix="1" applyFont="1" applyAlignment="1">
      <alignment horizontal="center" vertical="center"/>
    </xf>
    <xf numFmtId="176" fontId="5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176" fontId="5" fillId="0" borderId="0" xfId="2" applyFont="1" applyFill="1" applyBorder="1">
      <alignment vertical="center"/>
    </xf>
    <xf numFmtId="176" fontId="5" fillId="0" borderId="0" xfId="2" applyFont="1" applyFill="1" applyBorder="1" applyAlignment="1">
      <alignment vertical="center" wrapText="1"/>
    </xf>
    <xf numFmtId="0" fontId="10" fillId="0" borderId="50" xfId="3" applyFont="1" applyBorder="1" applyAlignment="1">
      <alignment horizontal="center" vertical="center"/>
    </xf>
    <xf numFmtId="0" fontId="10" fillId="0" borderId="51" xfId="3" applyFont="1" applyBorder="1" applyAlignment="1">
      <alignment horizontal="center" vertical="center"/>
    </xf>
    <xf numFmtId="0" fontId="5" fillId="0" borderId="5" xfId="0" quotePrefix="1" applyFont="1" applyBorder="1" applyAlignment="1">
      <alignment horizontal="left" vertical="center"/>
    </xf>
    <xf numFmtId="0" fontId="13" fillId="2" borderId="5" xfId="3" applyFont="1" applyFill="1" applyBorder="1" applyAlignment="1">
      <alignment horizontal="center" vertical="center"/>
    </xf>
    <xf numFmtId="0" fontId="10" fillId="0" borderId="56" xfId="3" applyFont="1" applyBorder="1" applyAlignment="1">
      <alignment horizontal="center" vertical="center"/>
    </xf>
    <xf numFmtId="0" fontId="10" fillId="0" borderId="57" xfId="3" applyFont="1" applyBorder="1" applyAlignment="1">
      <alignment horizontal="center" vertical="center"/>
    </xf>
    <xf numFmtId="177" fontId="5" fillId="0" borderId="5" xfId="0" quotePrefix="1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/>
    </xf>
    <xf numFmtId="0" fontId="1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176" fontId="3" fillId="4" borderId="5" xfId="2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25" fillId="0" borderId="5" xfId="3" applyFont="1" applyBorder="1" applyAlignment="1">
      <alignment horizontal="left" vertical="center"/>
    </xf>
    <xf numFmtId="176" fontId="25" fillId="0" borderId="5" xfId="2" applyFont="1" applyBorder="1" applyAlignment="1">
      <alignment horizontal="left" vertical="center"/>
    </xf>
    <xf numFmtId="0" fontId="24" fillId="0" borderId="5" xfId="5" applyFont="1" applyBorder="1" applyAlignment="1">
      <alignment horizontal="left" vertical="center"/>
    </xf>
    <xf numFmtId="176" fontId="5" fillId="0" borderId="5" xfId="2" applyFont="1" applyFill="1" applyBorder="1" applyAlignment="1">
      <alignment horizontal="left" vertical="center" wrapText="1"/>
    </xf>
    <xf numFmtId="176" fontId="5" fillId="0" borderId="5" xfId="2" applyFont="1" applyFill="1" applyBorder="1" applyAlignment="1">
      <alignment horizontal="left" vertical="center"/>
    </xf>
    <xf numFmtId="176" fontId="5" fillId="0" borderId="5" xfId="2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176" fontId="25" fillId="0" borderId="5" xfId="2" applyFont="1" applyBorder="1" applyAlignment="1">
      <alignment horizontal="right" vertical="center"/>
    </xf>
    <xf numFmtId="176" fontId="5" fillId="0" borderId="5" xfId="2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176" fontId="6" fillId="0" borderId="5" xfId="2" applyFont="1" applyBorder="1" applyAlignment="1">
      <alignment horizontal="left" vertical="center"/>
    </xf>
    <xf numFmtId="176" fontId="6" fillId="0" borderId="5" xfId="2" applyFont="1" applyBorder="1" applyAlignment="1">
      <alignment horizontal="right" vertical="center"/>
    </xf>
    <xf numFmtId="176" fontId="3" fillId="0" borderId="5" xfId="2" applyFont="1" applyBorder="1" applyAlignment="1">
      <alignment horizontal="right" vertical="center"/>
    </xf>
    <xf numFmtId="0" fontId="5" fillId="0" borderId="0" xfId="0" quotePrefix="1" applyFont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76" fontId="5" fillId="2" borderId="5" xfId="2" applyFont="1" applyFill="1" applyBorder="1" applyAlignment="1">
      <alignment horizontal="left" vertical="center"/>
    </xf>
    <xf numFmtId="176" fontId="5" fillId="2" borderId="5" xfId="0" applyNumberFormat="1" applyFont="1" applyFill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24" fillId="0" borderId="40" xfId="5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3" fillId="4" borderId="5" xfId="0" applyFont="1" applyFill="1" applyBorder="1">
      <alignment vertical="center"/>
    </xf>
    <xf numFmtId="0" fontId="5" fillId="0" borderId="47" xfId="0" applyFont="1" applyBorder="1">
      <alignment vertical="center"/>
    </xf>
    <xf numFmtId="0" fontId="5" fillId="0" borderId="40" xfId="0" applyFont="1" applyBorder="1">
      <alignment vertical="center"/>
    </xf>
    <xf numFmtId="0" fontId="10" fillId="3" borderId="53" xfId="3" applyFont="1" applyFill="1" applyBorder="1" applyAlignment="1">
      <alignment horizontal="center" vertical="center"/>
    </xf>
    <xf numFmtId="0" fontId="10" fillId="3" borderId="54" xfId="3" applyFont="1" applyFill="1" applyBorder="1" applyAlignment="1">
      <alignment horizontal="center" vertical="center"/>
    </xf>
    <xf numFmtId="0" fontId="10" fillId="3" borderId="55" xfId="3" applyFont="1" applyFill="1" applyBorder="1" applyAlignment="1">
      <alignment horizontal="center" vertical="center"/>
    </xf>
    <xf numFmtId="176" fontId="10" fillId="3" borderId="10" xfId="4" applyFont="1" applyFill="1" applyBorder="1" applyAlignment="1">
      <alignment horizontal="center" vertical="center"/>
    </xf>
    <xf numFmtId="176" fontId="10" fillId="3" borderId="11" xfId="4" applyFont="1" applyFill="1" applyBorder="1" applyAlignment="1">
      <alignment horizontal="center" vertical="center"/>
    </xf>
    <xf numFmtId="176" fontId="10" fillId="3" borderId="28" xfId="4" applyFont="1" applyFill="1" applyBorder="1" applyAlignment="1">
      <alignment horizontal="center" vertical="center"/>
    </xf>
    <xf numFmtId="176" fontId="10" fillId="3" borderId="29" xfId="4" applyFont="1" applyFill="1" applyBorder="1" applyAlignment="1">
      <alignment horizontal="center" vertical="center"/>
    </xf>
    <xf numFmtId="176" fontId="10" fillId="3" borderId="30" xfId="4" applyFont="1" applyFill="1" applyBorder="1" applyAlignment="1">
      <alignment horizontal="center" vertical="center"/>
    </xf>
    <xf numFmtId="176" fontId="10" fillId="3" borderId="31" xfId="4" applyFont="1" applyFill="1" applyBorder="1" applyAlignment="1">
      <alignment horizontal="center" vertical="center"/>
    </xf>
    <xf numFmtId="176" fontId="10" fillId="3" borderId="32" xfId="4" applyFont="1" applyFill="1" applyBorder="1" applyAlignment="1">
      <alignment horizontal="center" vertical="center"/>
    </xf>
    <xf numFmtId="0" fontId="10" fillId="0" borderId="34" xfId="3" applyFont="1" applyBorder="1" applyAlignment="1">
      <alignment horizontal="center" vertical="center"/>
    </xf>
    <xf numFmtId="0" fontId="13" fillId="0" borderId="34" xfId="3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/>
    </xf>
    <xf numFmtId="0" fontId="10" fillId="0" borderId="33" xfId="3" applyFont="1" applyBorder="1" applyAlignment="1">
      <alignment horizontal="center" vertical="center" wrapText="1"/>
    </xf>
    <xf numFmtId="0" fontId="10" fillId="0" borderId="34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/>
    </xf>
    <xf numFmtId="176" fontId="13" fillId="0" borderId="10" xfId="4" applyFont="1" applyBorder="1" applyAlignment="1">
      <alignment horizontal="center" vertical="center"/>
    </xf>
    <xf numFmtId="176" fontId="13" fillId="0" borderId="11" xfId="4" applyFont="1" applyBorder="1" applyAlignment="1">
      <alignment horizontal="center" vertical="center"/>
    </xf>
    <xf numFmtId="0" fontId="13" fillId="2" borderId="5" xfId="3" applyFont="1" applyFill="1" applyBorder="1" applyAlignment="1">
      <alignment horizontal="center" vertical="center"/>
    </xf>
    <xf numFmtId="176" fontId="13" fillId="0" borderId="5" xfId="4" applyFont="1" applyBorder="1" applyAlignment="1">
      <alignment horizontal="center" vertical="center"/>
    </xf>
    <xf numFmtId="10" fontId="13" fillId="0" borderId="5" xfId="6" applyNumberFormat="1" applyFont="1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13" fillId="2" borderId="6" xfId="3" applyFont="1" applyFill="1" applyBorder="1" applyAlignment="1">
      <alignment horizontal="center" vertical="center"/>
    </xf>
    <xf numFmtId="0" fontId="13" fillId="2" borderId="7" xfId="3" applyFont="1" applyFill="1" applyBorder="1" applyAlignment="1">
      <alignment horizontal="center" vertical="center"/>
    </xf>
    <xf numFmtId="0" fontId="13" fillId="2" borderId="8" xfId="3" applyFont="1" applyFill="1" applyBorder="1" applyAlignment="1">
      <alignment horizontal="center" vertical="center"/>
    </xf>
    <xf numFmtId="0" fontId="10" fillId="0" borderId="51" xfId="3" applyFont="1" applyBorder="1" applyAlignment="1">
      <alignment horizontal="center" vertical="center"/>
    </xf>
    <xf numFmtId="0" fontId="10" fillId="0" borderId="52" xfId="3" applyFont="1" applyBorder="1" applyAlignment="1">
      <alignment horizontal="center" vertical="center"/>
    </xf>
    <xf numFmtId="0" fontId="10" fillId="0" borderId="57" xfId="3" applyFont="1" applyBorder="1" applyAlignment="1">
      <alignment horizontal="center" vertical="center"/>
    </xf>
    <xf numFmtId="0" fontId="10" fillId="0" borderId="58" xfId="3" applyFont="1" applyBorder="1" applyAlignment="1">
      <alignment horizontal="center" vertical="center"/>
    </xf>
    <xf numFmtId="0" fontId="13" fillId="0" borderId="13" xfId="3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/>
    </xf>
    <xf numFmtId="0" fontId="13" fillId="0" borderId="15" xfId="3" applyFont="1" applyBorder="1" applyAlignment="1">
      <alignment horizontal="center" vertical="center"/>
    </xf>
    <xf numFmtId="0" fontId="13" fillId="0" borderId="19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0" fontId="13" fillId="0" borderId="16" xfId="3" applyFont="1" applyBorder="1" applyAlignment="1">
      <alignment horizontal="center" vertical="center"/>
    </xf>
    <xf numFmtId="0" fontId="13" fillId="0" borderId="21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179" fontId="10" fillId="0" borderId="24" xfId="3" applyNumberFormat="1" applyFont="1" applyBorder="1" applyAlignment="1">
      <alignment horizontal="center" vertical="center"/>
    </xf>
    <xf numFmtId="179" fontId="10" fillId="0" borderId="25" xfId="3" applyNumberFormat="1" applyFont="1" applyBorder="1" applyAlignment="1">
      <alignment horizontal="center" vertical="center"/>
    </xf>
    <xf numFmtId="179" fontId="10" fillId="0" borderId="26" xfId="3" applyNumberFormat="1" applyFont="1" applyBorder="1" applyAlignment="1">
      <alignment horizontal="center" vertical="center"/>
    </xf>
    <xf numFmtId="0" fontId="10" fillId="0" borderId="24" xfId="3" applyFont="1" applyBorder="1" applyAlignment="1">
      <alignment horizontal="center" vertical="center"/>
    </xf>
    <xf numFmtId="0" fontId="10" fillId="0" borderId="25" xfId="3" applyFont="1" applyBorder="1" applyAlignment="1">
      <alignment horizontal="center" vertical="center"/>
    </xf>
    <xf numFmtId="0" fontId="10" fillId="0" borderId="26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0" fillId="0" borderId="17" xfId="3" applyFont="1" applyBorder="1" applyAlignment="1">
      <alignment horizontal="center" vertical="center"/>
    </xf>
    <xf numFmtId="0" fontId="10" fillId="0" borderId="18" xfId="3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/>
    </xf>
    <xf numFmtId="0" fontId="13" fillId="0" borderId="11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21" fillId="0" borderId="5" xfId="3" applyFont="1" applyBorder="1" applyAlignment="1">
      <alignment horizontal="right" vertical="center"/>
    </xf>
    <xf numFmtId="0" fontId="22" fillId="0" borderId="5" xfId="3" applyFont="1" applyBorder="1" applyAlignment="1">
      <alignment horizontal="right" vertical="center"/>
    </xf>
    <xf numFmtId="0" fontId="10" fillId="2" borderId="1" xfId="3" applyFont="1" applyFill="1" applyBorder="1" applyAlignment="1">
      <alignment horizontal="right" vertical="center"/>
    </xf>
    <xf numFmtId="0" fontId="10" fillId="2" borderId="2" xfId="3" applyFont="1" applyFill="1" applyBorder="1" applyAlignment="1">
      <alignment horizontal="right" vertical="center"/>
    </xf>
    <xf numFmtId="0" fontId="12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0" fillId="0" borderId="1" xfId="3" applyFont="1" applyBorder="1" applyAlignment="1">
      <alignment horizontal="right" vertical="center"/>
    </xf>
    <xf numFmtId="0" fontId="10" fillId="0" borderId="2" xfId="3" applyFont="1" applyBorder="1" applyAlignment="1">
      <alignment horizontal="right" vertical="center"/>
    </xf>
    <xf numFmtId="0" fontId="10" fillId="0" borderId="38" xfId="3" applyFont="1" applyBorder="1" applyAlignment="1">
      <alignment horizontal="right" vertical="center"/>
    </xf>
    <xf numFmtId="0" fontId="10" fillId="0" borderId="39" xfId="3" applyFont="1" applyBorder="1" applyAlignment="1">
      <alignment horizontal="right" vertical="center"/>
    </xf>
    <xf numFmtId="0" fontId="21" fillId="2" borderId="5" xfId="3" applyFont="1" applyFill="1" applyBorder="1" applyAlignment="1">
      <alignment horizontal="right" vertical="center" wrapText="1"/>
    </xf>
    <xf numFmtId="0" fontId="21" fillId="2" borderId="5" xfId="3" applyFont="1" applyFill="1" applyBorder="1" applyAlignment="1">
      <alignment horizontal="right" vertical="center"/>
    </xf>
    <xf numFmtId="178" fontId="10" fillId="0" borderId="6" xfId="3" applyNumberFormat="1" applyFont="1" applyBorder="1" applyAlignment="1">
      <alignment horizontal="center" vertical="center"/>
    </xf>
    <xf numFmtId="178" fontId="10" fillId="0" borderId="7" xfId="3" applyNumberFormat="1" applyFont="1" applyBorder="1" applyAlignment="1">
      <alignment horizontal="center" vertical="center"/>
    </xf>
    <xf numFmtId="178" fontId="10" fillId="0" borderId="8" xfId="3" applyNumberFormat="1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5" fillId="0" borderId="0" xfId="0" applyFont="1">
      <alignment vertical="center"/>
    </xf>
  </cellXfs>
  <cellStyles count="7">
    <cellStyle name="백분율" xfId="6" builtinId="5"/>
    <cellStyle name="쉼표 [0]" xfId="2" builtinId="6"/>
    <cellStyle name="쉼표 [0] 2" xfId="4" xr:uid="{00000000-0005-0000-0000-000001000000}"/>
    <cellStyle name="표준" xfId="0" builtinId="0"/>
    <cellStyle name="표준 2" xfId="3" xr:uid="{00000000-0005-0000-0000-000003000000}"/>
    <cellStyle name="표준 91" xfId="1" xr:uid="{00000000-0005-0000-0000-000004000000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66675</xdr:colOff>
      <xdr:row>0</xdr:row>
      <xdr:rowOff>3175</xdr:rowOff>
    </xdr:from>
    <xdr:to>
      <xdr:col>18</xdr:col>
      <xdr:colOff>82550</xdr:colOff>
      <xdr:row>26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319993" y="3175"/>
          <a:ext cx="15875" cy="7007225"/>
        </a:xfrm>
        <a:prstGeom prst="line">
          <a:avLst/>
        </a:prstGeom>
        <a:ln w="1905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appuccinooo@naver.com" TargetMode="External"/><Relationship Id="rId13" Type="http://schemas.openxmlformats.org/officeDocument/2006/relationships/hyperlink" Target="mailto:khpp1054@bill36524.com" TargetMode="External"/><Relationship Id="rId18" Type="http://schemas.openxmlformats.org/officeDocument/2006/relationships/hyperlink" Target="mailto:khpp1222@bill36524.com" TargetMode="External"/><Relationship Id="rId3" Type="http://schemas.openxmlformats.org/officeDocument/2006/relationships/hyperlink" Target="mailto:anthilljeju@gmail.com" TargetMode="External"/><Relationship Id="rId21" Type="http://schemas.openxmlformats.org/officeDocument/2006/relationships/hyperlink" Target="mailto:u_uyoo@naver.com" TargetMode="External"/><Relationship Id="rId7" Type="http://schemas.openxmlformats.org/officeDocument/2006/relationships/hyperlink" Target="mailto:farmtom@farm8.co.kr" TargetMode="External"/><Relationship Id="rId12" Type="http://schemas.openxmlformats.org/officeDocument/2006/relationships/hyperlink" Target="mailto:style4445@naver.com" TargetMode="External"/><Relationship Id="rId17" Type="http://schemas.openxmlformats.org/officeDocument/2006/relationships/hyperlink" Target="mailto:khpp7737@bill36524.com" TargetMode="External"/><Relationship Id="rId2" Type="http://schemas.openxmlformats.org/officeDocument/2006/relationships/hyperlink" Target="mailto:u_uyoo@naver.com" TargetMode="External"/><Relationship Id="rId16" Type="http://schemas.openxmlformats.org/officeDocument/2006/relationships/hyperlink" Target="mailto:khpp245@bill36524.com" TargetMode="External"/><Relationship Id="rId20" Type="http://schemas.openxmlformats.org/officeDocument/2006/relationships/hyperlink" Target="mailto:khr5190@naver.com" TargetMode="External"/><Relationship Id="rId1" Type="http://schemas.openxmlformats.org/officeDocument/2006/relationships/hyperlink" Target="mailto:wow6954@naver.com" TargetMode="External"/><Relationship Id="rId6" Type="http://schemas.openxmlformats.org/officeDocument/2006/relationships/hyperlink" Target="mailto:cutty1917@kakao.com" TargetMode="External"/><Relationship Id="rId11" Type="http://schemas.openxmlformats.org/officeDocument/2006/relationships/hyperlink" Target="mailto:khpp1868@naver.com" TargetMode="External"/><Relationship Id="rId5" Type="http://schemas.openxmlformats.org/officeDocument/2006/relationships/hyperlink" Target="mailto:khpp4598@naver.com" TargetMode="External"/><Relationship Id="rId15" Type="http://schemas.openxmlformats.org/officeDocument/2006/relationships/hyperlink" Target="mailto:khpp1014@naver.com" TargetMode="External"/><Relationship Id="rId23" Type="http://schemas.openxmlformats.org/officeDocument/2006/relationships/printerSettings" Target="../printerSettings/printerSettings5.bin"/><Relationship Id="rId10" Type="http://schemas.openxmlformats.org/officeDocument/2006/relationships/hyperlink" Target="mailto:khppms8428@bill36524.com" TargetMode="External"/><Relationship Id="rId19" Type="http://schemas.openxmlformats.org/officeDocument/2006/relationships/hyperlink" Target="mailto:khpp91@naver.com" TargetMode="External"/><Relationship Id="rId4" Type="http://schemas.openxmlformats.org/officeDocument/2006/relationships/hyperlink" Target="mailto:dimtao2019@naver.com" TargetMode="External"/><Relationship Id="rId9" Type="http://schemas.openxmlformats.org/officeDocument/2006/relationships/hyperlink" Target="mailto:gullira12@naver.com" TargetMode="External"/><Relationship Id="rId14" Type="http://schemas.openxmlformats.org/officeDocument/2006/relationships/hyperlink" Target="mailto:khpp18@bill36524.com" TargetMode="External"/><Relationship Id="rId22" Type="http://schemas.openxmlformats.org/officeDocument/2006/relationships/hyperlink" Target="mailto:bridge303@naver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28"/>
  <sheetViews>
    <sheetView showZeros="0" tabSelected="1" zoomScale="85" zoomScaleNormal="85" workbookViewId="0">
      <selection activeCell="R28" sqref="R28"/>
    </sheetView>
  </sheetViews>
  <sheetFormatPr baseColWidth="10" defaultColWidth="9" defaultRowHeight="15"/>
  <cols>
    <col min="1" max="1" width="3.83203125" style="7" customWidth="1"/>
    <col min="2" max="4" width="3.6640625" style="7" customWidth="1"/>
    <col min="5" max="5" width="10.6640625" style="7" customWidth="1"/>
    <col min="6" max="8" width="2.6640625" style="7" customWidth="1"/>
    <col min="9" max="9" width="4.6640625" style="7" customWidth="1"/>
    <col min="10" max="12" width="3.1640625" style="7" customWidth="1"/>
    <col min="13" max="15" width="4.1640625" style="7" customWidth="1"/>
    <col min="16" max="18" width="3.1640625" style="7" customWidth="1"/>
    <col min="19" max="19" width="2.1640625" style="7" customWidth="1"/>
    <col min="20" max="20" width="4.33203125" style="7" bestFit="1" customWidth="1"/>
    <col min="21" max="23" width="3.6640625" style="7" customWidth="1"/>
    <col min="24" max="24" width="10.6640625" style="7" customWidth="1"/>
    <col min="25" max="25" width="2.6640625" style="7" customWidth="1"/>
    <col min="26" max="26" width="4.83203125" style="7" customWidth="1"/>
    <col min="27" max="27" width="2.1640625" style="7" customWidth="1"/>
    <col min="28" max="28" width="4.6640625" style="7" customWidth="1"/>
    <col min="29" max="31" width="3.1640625" style="7" customWidth="1"/>
    <col min="32" max="34" width="4.1640625" style="7" customWidth="1"/>
    <col min="35" max="37" width="3.1640625" style="7" customWidth="1"/>
    <col min="38" max="47" width="4.6640625" style="7" customWidth="1"/>
    <col min="48" max="16384" width="9" style="7"/>
  </cols>
  <sheetData>
    <row r="1" spans="1:48" ht="24" customHeight="1">
      <c r="A1" s="157" t="s">
        <v>825</v>
      </c>
      <c r="B1" s="158"/>
      <c r="C1" s="158" t="s">
        <v>855</v>
      </c>
      <c r="D1" s="158"/>
      <c r="E1" s="159" t="s">
        <v>23</v>
      </c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60"/>
      <c r="S1" s="18"/>
      <c r="T1" s="161" t="str">
        <f>A1</f>
        <v>3권</v>
      </c>
      <c r="U1" s="162"/>
      <c r="V1" s="163" t="str">
        <f>C1</f>
        <v>31호</v>
      </c>
      <c r="W1" s="164"/>
      <c r="X1" s="159" t="s">
        <v>23</v>
      </c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60"/>
    </row>
    <row r="2" spans="1:48" ht="21" customHeight="1">
      <c r="A2" s="147" t="s">
        <v>24</v>
      </c>
      <c r="B2" s="148"/>
      <c r="C2" s="148"/>
      <c r="D2" s="167">
        <f ca="1">TODAY()</f>
        <v>46113</v>
      </c>
      <c r="E2" s="168"/>
      <c r="F2" s="168"/>
      <c r="G2" s="168"/>
      <c r="H2" s="169"/>
      <c r="I2" s="151" t="s">
        <v>25</v>
      </c>
      <c r="J2" s="122" t="s">
        <v>26</v>
      </c>
      <c r="K2" s="122"/>
      <c r="L2" s="122"/>
      <c r="M2" s="122"/>
      <c r="N2" s="122" t="s">
        <v>105</v>
      </c>
      <c r="O2" s="122"/>
      <c r="P2" s="122"/>
      <c r="Q2" s="122"/>
      <c r="R2" s="152"/>
      <c r="T2" s="147" t="s">
        <v>24</v>
      </c>
      <c r="U2" s="148"/>
      <c r="V2" s="148"/>
      <c r="W2" s="167">
        <f ca="1">D2</f>
        <v>46113</v>
      </c>
      <c r="X2" s="170"/>
      <c r="Y2" s="170"/>
      <c r="Z2" s="170"/>
      <c r="AA2" s="171"/>
      <c r="AB2" s="151" t="s">
        <v>25</v>
      </c>
      <c r="AC2" s="122" t="s">
        <v>26</v>
      </c>
      <c r="AD2" s="122"/>
      <c r="AE2" s="122"/>
      <c r="AF2" s="122"/>
      <c r="AG2" s="122" t="str">
        <f>N2</f>
        <v>560.17.02264</v>
      </c>
      <c r="AH2" s="122"/>
      <c r="AI2" s="122"/>
      <c r="AJ2" s="122"/>
      <c r="AK2" s="152"/>
      <c r="AM2" s="8"/>
      <c r="AN2" s="8"/>
      <c r="AO2" s="8"/>
      <c r="AP2" s="8"/>
      <c r="AQ2" s="8"/>
      <c r="AR2" s="8"/>
      <c r="AS2" s="8"/>
      <c r="AT2" s="8"/>
    </row>
    <row r="3" spans="1:48" ht="21" customHeight="1">
      <c r="A3" s="147" t="s">
        <v>27</v>
      </c>
      <c r="B3" s="148"/>
      <c r="C3" s="148"/>
      <c r="D3" s="165" t="s">
        <v>853</v>
      </c>
      <c r="E3" s="166"/>
      <c r="F3" s="166"/>
      <c r="G3" s="166"/>
      <c r="H3" s="166"/>
      <c r="I3" s="151"/>
      <c r="J3" s="153" t="s">
        <v>28</v>
      </c>
      <c r="K3" s="153"/>
      <c r="L3" s="153" t="s">
        <v>104</v>
      </c>
      <c r="M3" s="153"/>
      <c r="N3" s="153"/>
      <c r="O3" s="153" t="s">
        <v>29</v>
      </c>
      <c r="P3" s="153"/>
      <c r="Q3" s="153" t="s">
        <v>103</v>
      </c>
      <c r="R3" s="154"/>
      <c r="T3" s="147" t="s">
        <v>27</v>
      </c>
      <c r="U3" s="148"/>
      <c r="V3" s="148"/>
      <c r="W3" s="155" t="str">
        <f>D3</f>
        <v>팜에이트</v>
      </c>
      <c r="X3" s="156"/>
      <c r="Y3" s="156"/>
      <c r="Z3" s="156"/>
      <c r="AA3" s="156"/>
      <c r="AB3" s="151"/>
      <c r="AC3" s="153" t="s">
        <v>28</v>
      </c>
      <c r="AD3" s="153"/>
      <c r="AE3" s="153" t="str">
        <f>L3</f>
        <v>이오도</v>
      </c>
      <c r="AF3" s="153"/>
      <c r="AG3" s="153"/>
      <c r="AH3" s="153" t="s">
        <v>29</v>
      </c>
      <c r="AI3" s="153"/>
      <c r="AJ3" s="153" t="str">
        <f>Q3</f>
        <v>유 성덕</v>
      </c>
      <c r="AK3" s="154"/>
      <c r="AM3" s="8"/>
      <c r="AN3" s="8"/>
      <c r="AO3" s="8"/>
      <c r="AP3" s="8"/>
      <c r="AQ3" s="8"/>
      <c r="AR3" s="8"/>
      <c r="AS3" s="8"/>
      <c r="AT3" s="8"/>
    </row>
    <row r="4" spans="1:48" ht="21" customHeight="1">
      <c r="A4" s="147"/>
      <c r="B4" s="148"/>
      <c r="C4" s="148"/>
      <c r="D4" s="166"/>
      <c r="E4" s="166"/>
      <c r="F4" s="166"/>
      <c r="G4" s="166"/>
      <c r="H4" s="166"/>
      <c r="I4" s="151" t="s">
        <v>30</v>
      </c>
      <c r="J4" s="153" t="s">
        <v>31</v>
      </c>
      <c r="K4" s="153"/>
      <c r="L4" s="153" t="s">
        <v>51</v>
      </c>
      <c r="M4" s="153"/>
      <c r="N4" s="153"/>
      <c r="O4" s="153"/>
      <c r="P4" s="153"/>
      <c r="Q4" s="153"/>
      <c r="R4" s="154"/>
      <c r="T4" s="147"/>
      <c r="U4" s="148"/>
      <c r="V4" s="148"/>
      <c r="W4" s="156"/>
      <c r="X4" s="156"/>
      <c r="Y4" s="156"/>
      <c r="Z4" s="156"/>
      <c r="AA4" s="156"/>
      <c r="AB4" s="151" t="s">
        <v>30</v>
      </c>
      <c r="AC4" s="153" t="s">
        <v>31</v>
      </c>
      <c r="AD4" s="153"/>
      <c r="AE4" s="153" t="str">
        <f>L4</f>
        <v>부산시 남구 용소로34번길 24-6</v>
      </c>
      <c r="AF4" s="153"/>
      <c r="AG4" s="153"/>
      <c r="AH4" s="153"/>
      <c r="AI4" s="153"/>
      <c r="AJ4" s="153"/>
      <c r="AK4" s="154"/>
      <c r="AM4" s="8"/>
      <c r="AN4" s="8"/>
      <c r="AO4" s="8"/>
      <c r="AP4" s="8"/>
      <c r="AQ4" s="8"/>
      <c r="AR4" s="8"/>
      <c r="AS4" s="8"/>
      <c r="AT4" s="8"/>
    </row>
    <row r="5" spans="1:48" ht="21" customHeight="1">
      <c r="A5" s="147"/>
      <c r="B5" s="148"/>
      <c r="C5" s="148"/>
      <c r="D5" s="166"/>
      <c r="E5" s="166"/>
      <c r="F5" s="166"/>
      <c r="G5" s="166"/>
      <c r="H5" s="166"/>
      <c r="I5" s="151"/>
      <c r="J5" s="153" t="s">
        <v>32</v>
      </c>
      <c r="K5" s="153"/>
      <c r="L5" s="153" t="s">
        <v>50</v>
      </c>
      <c r="M5" s="153"/>
      <c r="N5" s="153" t="s">
        <v>33</v>
      </c>
      <c r="O5" s="153"/>
      <c r="P5" s="153" t="s">
        <v>49</v>
      </c>
      <c r="Q5" s="153"/>
      <c r="R5" s="154"/>
      <c r="T5" s="147"/>
      <c r="U5" s="148"/>
      <c r="V5" s="148"/>
      <c r="W5" s="156"/>
      <c r="X5" s="156"/>
      <c r="Y5" s="156"/>
      <c r="Z5" s="156"/>
      <c r="AA5" s="156"/>
      <c r="AB5" s="151"/>
      <c r="AC5" s="153" t="s">
        <v>32</v>
      </c>
      <c r="AD5" s="153"/>
      <c r="AE5" s="153" t="str">
        <f>L5</f>
        <v>제조外</v>
      </c>
      <c r="AF5" s="153"/>
      <c r="AG5" s="153" t="s">
        <v>33</v>
      </c>
      <c r="AH5" s="153"/>
      <c r="AI5" s="153" t="str">
        <f>P5</f>
        <v>커피外</v>
      </c>
      <c r="AJ5" s="153"/>
      <c r="AK5" s="154"/>
      <c r="AM5" s="8"/>
      <c r="AN5" s="8"/>
      <c r="AO5" s="8"/>
      <c r="AP5" s="8"/>
      <c r="AQ5" s="8"/>
      <c r="AR5" s="8"/>
      <c r="AS5" s="8"/>
      <c r="AT5" s="8"/>
    </row>
    <row r="6" spans="1:48">
      <c r="A6" s="147" t="s">
        <v>36</v>
      </c>
      <c r="B6" s="148"/>
      <c r="C6" s="148"/>
      <c r="D6" s="148"/>
      <c r="E6" s="148"/>
      <c r="F6" s="148"/>
      <c r="G6" s="148"/>
      <c r="H6" s="148"/>
      <c r="I6" s="151" t="s">
        <v>34</v>
      </c>
      <c r="J6" s="131" t="s">
        <v>35</v>
      </c>
      <c r="K6" s="132"/>
      <c r="L6" s="133"/>
      <c r="M6" s="131" t="s">
        <v>48</v>
      </c>
      <c r="N6" s="132"/>
      <c r="O6" s="132"/>
      <c r="P6" s="132"/>
      <c r="Q6" s="132"/>
      <c r="R6" s="137"/>
      <c r="T6" s="147" t="s">
        <v>36</v>
      </c>
      <c r="U6" s="148"/>
      <c r="V6" s="148"/>
      <c r="W6" s="148"/>
      <c r="X6" s="148"/>
      <c r="Y6" s="148"/>
      <c r="Z6" s="148"/>
      <c r="AA6" s="148"/>
      <c r="AB6" s="151" t="s">
        <v>34</v>
      </c>
      <c r="AC6" s="131" t="s">
        <v>35</v>
      </c>
      <c r="AD6" s="132"/>
      <c r="AE6" s="133"/>
      <c r="AF6" s="131" t="str">
        <f>M6</f>
        <v>051.621.9771</v>
      </c>
      <c r="AG6" s="132"/>
      <c r="AH6" s="132"/>
      <c r="AI6" s="132"/>
      <c r="AJ6" s="132"/>
      <c r="AK6" s="137"/>
      <c r="AM6" s="8"/>
      <c r="AN6" s="8"/>
      <c r="AO6" s="8"/>
      <c r="AP6" s="8"/>
      <c r="AQ6" s="8"/>
      <c r="AR6" s="8"/>
      <c r="AS6" s="8"/>
      <c r="AT6" s="8"/>
    </row>
    <row r="7" spans="1:48" ht="16" thickBot="1">
      <c r="A7" s="149"/>
      <c r="B7" s="150"/>
      <c r="C7" s="150"/>
      <c r="D7" s="150"/>
      <c r="E7" s="150"/>
      <c r="F7" s="150"/>
      <c r="G7" s="150"/>
      <c r="H7" s="150"/>
      <c r="I7" s="151"/>
      <c r="J7" s="134"/>
      <c r="K7" s="135"/>
      <c r="L7" s="136"/>
      <c r="M7" s="134"/>
      <c r="N7" s="135"/>
      <c r="O7" s="135"/>
      <c r="P7" s="135"/>
      <c r="Q7" s="135"/>
      <c r="R7" s="138"/>
      <c r="T7" s="149"/>
      <c r="U7" s="150"/>
      <c r="V7" s="150"/>
      <c r="W7" s="150"/>
      <c r="X7" s="150"/>
      <c r="Y7" s="150"/>
      <c r="Z7" s="150"/>
      <c r="AA7" s="150"/>
      <c r="AB7" s="151"/>
      <c r="AC7" s="134"/>
      <c r="AD7" s="135"/>
      <c r="AE7" s="136"/>
      <c r="AF7" s="134"/>
      <c r="AG7" s="135"/>
      <c r="AH7" s="135"/>
      <c r="AI7" s="135"/>
      <c r="AJ7" s="135"/>
      <c r="AK7" s="138"/>
      <c r="AM7" s="8"/>
      <c r="AN7" s="8"/>
      <c r="AO7" s="8"/>
      <c r="AP7" s="8"/>
      <c r="AQ7" s="8"/>
      <c r="AR7" s="8"/>
      <c r="AS7" s="8"/>
      <c r="AT7" s="8"/>
      <c r="AU7" s="9"/>
      <c r="AV7" s="9"/>
    </row>
    <row r="8" spans="1:48" ht="30.75" customHeight="1" thickBot="1">
      <c r="A8" s="139" t="s">
        <v>37</v>
      </c>
      <c r="B8" s="140"/>
      <c r="C8" s="140"/>
      <c r="D8" s="140"/>
      <c r="E8" s="141" t="str">
        <f>"일금"&amp;TEXT(M25+P25,"[DBNum4]")&amp;"원정(\"&amp;TEXT(M25+P25,"#,###")&amp;")"</f>
        <v>일금이십사만이천원정(\242,000)</v>
      </c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3"/>
      <c r="T8" s="139" t="s">
        <v>38</v>
      </c>
      <c r="U8" s="140"/>
      <c r="V8" s="140"/>
      <c r="W8" s="140"/>
      <c r="X8" s="144" t="str">
        <f>E8</f>
        <v>일금이십사만이천원정(\242,000)</v>
      </c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6"/>
      <c r="AM8" s="8"/>
      <c r="AN8" s="8"/>
      <c r="AO8" s="8"/>
      <c r="AP8" s="8"/>
      <c r="AQ8" s="8"/>
      <c r="AR8" s="8"/>
      <c r="AS8" s="8"/>
      <c r="AT8" s="8"/>
      <c r="AU8" s="9"/>
      <c r="AV8" s="9"/>
    </row>
    <row r="9" spans="1:48" ht="21" customHeight="1" thickBot="1">
      <c r="A9" s="64" t="s">
        <v>39</v>
      </c>
      <c r="B9" s="129" t="s">
        <v>40</v>
      </c>
      <c r="C9" s="129"/>
      <c r="D9" s="129"/>
      <c r="E9" s="129"/>
      <c r="F9" s="129" t="s">
        <v>41</v>
      </c>
      <c r="G9" s="129"/>
      <c r="H9" s="129"/>
      <c r="I9" s="65" t="s">
        <v>42</v>
      </c>
      <c r="J9" s="129" t="s">
        <v>43</v>
      </c>
      <c r="K9" s="129"/>
      <c r="L9" s="129"/>
      <c r="M9" s="129" t="s">
        <v>44</v>
      </c>
      <c r="N9" s="129"/>
      <c r="O9" s="129"/>
      <c r="P9" s="129" t="s">
        <v>45</v>
      </c>
      <c r="Q9" s="129"/>
      <c r="R9" s="130"/>
      <c r="T9" s="60" t="s">
        <v>39</v>
      </c>
      <c r="U9" s="127" t="s">
        <v>40</v>
      </c>
      <c r="V9" s="127"/>
      <c r="W9" s="127"/>
      <c r="X9" s="127"/>
      <c r="Y9" s="127" t="s">
        <v>41</v>
      </c>
      <c r="Z9" s="127"/>
      <c r="AA9" s="127"/>
      <c r="AB9" s="61" t="s">
        <v>42</v>
      </c>
      <c r="AC9" s="127" t="s">
        <v>43</v>
      </c>
      <c r="AD9" s="127"/>
      <c r="AE9" s="127"/>
      <c r="AF9" s="127" t="s">
        <v>44</v>
      </c>
      <c r="AG9" s="127"/>
      <c r="AH9" s="127"/>
      <c r="AI9" s="127" t="s">
        <v>45</v>
      </c>
      <c r="AJ9" s="127"/>
      <c r="AK9" s="128"/>
      <c r="AM9" s="8"/>
      <c r="AN9" s="8"/>
      <c r="AO9" s="8"/>
      <c r="AP9" s="8"/>
      <c r="AQ9" s="8"/>
      <c r="AR9" s="8"/>
      <c r="AS9" s="8"/>
      <c r="AT9" s="8"/>
    </row>
    <row r="10" spans="1:48" ht="21" customHeight="1" thickTop="1">
      <c r="A10" s="81">
        <v>1</v>
      </c>
      <c r="B10" s="119" t="s">
        <v>856</v>
      </c>
      <c r="C10" s="119"/>
      <c r="D10" s="119"/>
      <c r="E10" s="119"/>
      <c r="F10" s="119" t="str">
        <f>IF(ISERROR(VLOOKUP(B10,단가!B:C,2,FALSE)),"",VLOOKUP(B10,단가!B:C,2,FALSE))</f>
        <v>1/KG</v>
      </c>
      <c r="G10" s="119"/>
      <c r="H10" s="119"/>
      <c r="I10" s="48">
        <v>10</v>
      </c>
      <c r="J10" s="120">
        <f>IF(ISERROR(VLOOKUP(B10,단가!B:D,3,FALSE)),"",VLOOKUP(B10,단가!B:D,3,FALSE))</f>
        <v>22000</v>
      </c>
      <c r="K10" s="120"/>
      <c r="L10" s="120"/>
      <c r="M10" s="120">
        <f t="shared" ref="M10" si="0">J10*I10</f>
        <v>220000</v>
      </c>
      <c r="N10" s="120"/>
      <c r="O10" s="120"/>
      <c r="P10" s="120">
        <f>M10/10</f>
        <v>22000</v>
      </c>
      <c r="Q10" s="120"/>
      <c r="R10" s="120"/>
      <c r="T10" s="10">
        <f>A10</f>
        <v>1</v>
      </c>
      <c r="U10" s="122" t="str">
        <f>B10</f>
        <v>블렌딩-라이트.</v>
      </c>
      <c r="V10" s="122"/>
      <c r="W10" s="122"/>
      <c r="X10" s="122"/>
      <c r="Y10" s="122" t="str">
        <f>F10</f>
        <v>1/KG</v>
      </c>
      <c r="Z10" s="122"/>
      <c r="AA10" s="122"/>
      <c r="AB10" s="11">
        <f t="shared" ref="AB10:AC10" si="1">I10</f>
        <v>10</v>
      </c>
      <c r="AC10" s="117">
        <f t="shared" si="1"/>
        <v>22000</v>
      </c>
      <c r="AD10" s="117"/>
      <c r="AE10" s="117"/>
      <c r="AF10" s="117">
        <f>M10</f>
        <v>220000</v>
      </c>
      <c r="AG10" s="117"/>
      <c r="AH10" s="117"/>
      <c r="AI10" s="117">
        <f>P10</f>
        <v>22000</v>
      </c>
      <c r="AJ10" s="117"/>
      <c r="AK10" s="118"/>
      <c r="AM10" s="9"/>
    </row>
    <row r="11" spans="1:48" s="12" customFormat="1" ht="21" customHeight="1">
      <c r="A11" s="81"/>
      <c r="B11" s="119"/>
      <c r="C11" s="119"/>
      <c r="D11" s="119"/>
      <c r="E11" s="119"/>
      <c r="F11" s="119"/>
      <c r="G11" s="119"/>
      <c r="H11" s="119"/>
      <c r="I11" s="48"/>
      <c r="J11" s="120"/>
      <c r="K11" s="120"/>
      <c r="L11" s="120"/>
      <c r="M11" s="120"/>
      <c r="N11" s="120"/>
      <c r="O11" s="120"/>
      <c r="P11" s="120"/>
      <c r="Q11" s="120"/>
      <c r="R11" s="120"/>
      <c r="S11" s="7"/>
      <c r="T11" s="10"/>
      <c r="U11" s="122"/>
      <c r="V11" s="122"/>
      <c r="W11" s="122"/>
      <c r="X11" s="122"/>
      <c r="Y11" s="122"/>
      <c r="Z11" s="122"/>
      <c r="AA11" s="122"/>
      <c r="AB11" s="11"/>
      <c r="AC11" s="117"/>
      <c r="AD11" s="117"/>
      <c r="AE11" s="117"/>
      <c r="AF11" s="117"/>
      <c r="AG11" s="117"/>
      <c r="AH11" s="117"/>
      <c r="AI11" s="117"/>
      <c r="AJ11" s="117"/>
      <c r="AK11" s="118"/>
      <c r="AM11" s="7"/>
      <c r="AN11" s="7"/>
      <c r="AO11" s="7"/>
      <c r="AP11" s="7"/>
      <c r="AQ11" s="7"/>
      <c r="AR11" s="7"/>
      <c r="AS11" s="7"/>
      <c r="AT11" s="7"/>
    </row>
    <row r="12" spans="1:48" s="12" customFormat="1" ht="21" customHeight="1">
      <c r="A12" s="81"/>
      <c r="B12" s="124"/>
      <c r="C12" s="125"/>
      <c r="D12" s="125"/>
      <c r="E12" s="126"/>
      <c r="F12" s="119"/>
      <c r="G12" s="119"/>
      <c r="H12" s="119"/>
      <c r="I12" s="48"/>
      <c r="J12" s="120"/>
      <c r="K12" s="120"/>
      <c r="L12" s="120"/>
      <c r="M12" s="120"/>
      <c r="N12" s="120"/>
      <c r="O12" s="120"/>
      <c r="P12" s="120"/>
      <c r="Q12" s="120"/>
      <c r="R12" s="120"/>
      <c r="S12" s="7"/>
      <c r="T12" s="10"/>
      <c r="U12" s="122"/>
      <c r="V12" s="122"/>
      <c r="W12" s="122"/>
      <c r="X12" s="122"/>
      <c r="Y12" s="122"/>
      <c r="Z12" s="122"/>
      <c r="AA12" s="122"/>
      <c r="AB12" s="11"/>
      <c r="AC12" s="117"/>
      <c r="AD12" s="117"/>
      <c r="AE12" s="117"/>
      <c r="AF12" s="117"/>
      <c r="AG12" s="117"/>
      <c r="AH12" s="117"/>
      <c r="AI12" s="117"/>
      <c r="AJ12" s="117"/>
      <c r="AK12" s="118"/>
      <c r="AM12" s="7"/>
      <c r="AN12" s="7"/>
      <c r="AO12" s="7"/>
      <c r="AP12" s="7"/>
      <c r="AQ12" s="7"/>
      <c r="AR12" s="7"/>
      <c r="AS12" s="7"/>
      <c r="AT12" s="7"/>
    </row>
    <row r="13" spans="1:48" s="12" customFormat="1" ht="21" customHeight="1">
      <c r="A13" s="81"/>
      <c r="B13" s="124"/>
      <c r="C13" s="125"/>
      <c r="D13" s="125"/>
      <c r="E13" s="126"/>
      <c r="F13" s="119"/>
      <c r="G13" s="119"/>
      <c r="H13" s="119"/>
      <c r="I13" s="48"/>
      <c r="J13" s="120"/>
      <c r="K13" s="120"/>
      <c r="L13" s="120"/>
      <c r="M13" s="120"/>
      <c r="N13" s="120"/>
      <c r="O13" s="120"/>
      <c r="P13" s="120"/>
      <c r="Q13" s="120"/>
      <c r="R13" s="120"/>
      <c r="S13" s="7"/>
      <c r="T13" s="10"/>
      <c r="U13" s="122"/>
      <c r="V13" s="122"/>
      <c r="W13" s="122"/>
      <c r="X13" s="122"/>
      <c r="Y13" s="122"/>
      <c r="Z13" s="122"/>
      <c r="AA13" s="122"/>
      <c r="AB13" s="11"/>
      <c r="AC13" s="117"/>
      <c r="AD13" s="117"/>
      <c r="AE13" s="117"/>
      <c r="AF13" s="117"/>
      <c r="AG13" s="117"/>
      <c r="AH13" s="117"/>
      <c r="AI13" s="117"/>
      <c r="AJ13" s="117"/>
      <c r="AK13" s="118"/>
    </row>
    <row r="14" spans="1:48" s="12" customFormat="1" ht="21" customHeight="1">
      <c r="A14" s="81"/>
      <c r="B14" s="124"/>
      <c r="C14" s="125"/>
      <c r="D14" s="125"/>
      <c r="E14" s="126"/>
      <c r="F14" s="119"/>
      <c r="G14" s="119"/>
      <c r="H14" s="119"/>
      <c r="I14" s="48"/>
      <c r="J14" s="120"/>
      <c r="K14" s="120"/>
      <c r="L14" s="120"/>
      <c r="M14" s="120"/>
      <c r="N14" s="120"/>
      <c r="O14" s="120"/>
      <c r="P14" s="120"/>
      <c r="Q14" s="120"/>
      <c r="R14" s="120"/>
      <c r="S14" s="7"/>
      <c r="T14" s="10"/>
      <c r="U14" s="122"/>
      <c r="V14" s="122"/>
      <c r="W14" s="122"/>
      <c r="X14" s="122"/>
      <c r="Y14" s="122"/>
      <c r="Z14" s="122"/>
      <c r="AA14" s="122"/>
      <c r="AB14" s="11"/>
      <c r="AC14" s="117"/>
      <c r="AD14" s="117"/>
      <c r="AE14" s="117"/>
      <c r="AF14" s="117"/>
      <c r="AG14" s="117"/>
      <c r="AH14" s="117"/>
      <c r="AI14" s="117"/>
      <c r="AJ14" s="117"/>
      <c r="AK14" s="118"/>
    </row>
    <row r="15" spans="1:48" s="12" customFormat="1" ht="21" customHeight="1">
      <c r="A15" s="81"/>
      <c r="B15" s="124"/>
      <c r="C15" s="125"/>
      <c r="D15" s="125"/>
      <c r="E15" s="126"/>
      <c r="F15" s="119"/>
      <c r="G15" s="119"/>
      <c r="H15" s="119"/>
      <c r="I15" s="48"/>
      <c r="J15" s="120"/>
      <c r="K15" s="120"/>
      <c r="L15" s="120"/>
      <c r="M15" s="120"/>
      <c r="N15" s="120"/>
      <c r="O15" s="120"/>
      <c r="P15" s="120"/>
      <c r="Q15" s="120"/>
      <c r="R15" s="120"/>
      <c r="S15" s="7"/>
      <c r="T15" s="10"/>
      <c r="U15" s="122"/>
      <c r="V15" s="122"/>
      <c r="W15" s="122"/>
      <c r="X15" s="122"/>
      <c r="Y15" s="122"/>
      <c r="Z15" s="122"/>
      <c r="AA15" s="122"/>
      <c r="AB15" s="11"/>
      <c r="AC15" s="117"/>
      <c r="AD15" s="117"/>
      <c r="AE15" s="117"/>
      <c r="AF15" s="117"/>
      <c r="AG15" s="117"/>
      <c r="AH15" s="117"/>
      <c r="AI15" s="117"/>
      <c r="AJ15" s="117"/>
      <c r="AK15" s="118"/>
    </row>
    <row r="16" spans="1:48" s="12" customFormat="1" ht="21" customHeight="1">
      <c r="A16" s="81"/>
      <c r="B16" s="119"/>
      <c r="C16" s="119"/>
      <c r="D16" s="119"/>
      <c r="E16" s="119"/>
      <c r="F16" s="119"/>
      <c r="G16" s="119"/>
      <c r="H16" s="119"/>
      <c r="I16" s="48"/>
      <c r="J16" s="120"/>
      <c r="K16" s="120"/>
      <c r="L16" s="120"/>
      <c r="M16" s="120"/>
      <c r="N16" s="120"/>
      <c r="O16" s="120"/>
      <c r="P16" s="120"/>
      <c r="Q16" s="120"/>
      <c r="R16" s="120"/>
      <c r="S16" s="7"/>
      <c r="T16" s="10"/>
      <c r="U16" s="122"/>
      <c r="V16" s="122"/>
      <c r="W16" s="122"/>
      <c r="X16" s="122"/>
      <c r="Y16" s="122"/>
      <c r="Z16" s="122"/>
      <c r="AA16" s="122"/>
      <c r="AB16" s="11"/>
      <c r="AC16" s="117"/>
      <c r="AD16" s="117"/>
      <c r="AE16" s="117"/>
      <c r="AF16" s="117"/>
      <c r="AG16" s="117"/>
      <c r="AH16" s="117"/>
      <c r="AI16" s="117"/>
      <c r="AJ16" s="117"/>
      <c r="AK16" s="118"/>
    </row>
    <row r="17" spans="1:38" ht="21" customHeight="1">
      <c r="A17" s="81"/>
      <c r="B17" s="119"/>
      <c r="C17" s="119"/>
      <c r="D17" s="119"/>
      <c r="E17" s="119"/>
      <c r="F17" s="119"/>
      <c r="G17" s="119"/>
      <c r="H17" s="119"/>
      <c r="I17" s="48"/>
      <c r="J17" s="120"/>
      <c r="K17" s="120"/>
      <c r="L17" s="120"/>
      <c r="M17" s="120"/>
      <c r="N17" s="120"/>
      <c r="O17" s="120"/>
      <c r="P17" s="120"/>
      <c r="Q17" s="120"/>
      <c r="R17" s="120"/>
      <c r="S17" s="12"/>
      <c r="T17" s="10"/>
      <c r="U17" s="122"/>
      <c r="V17" s="122"/>
      <c r="W17" s="122"/>
      <c r="X17" s="122"/>
      <c r="Y17" s="122"/>
      <c r="Z17" s="122"/>
      <c r="AA17" s="122"/>
      <c r="AB17" s="11"/>
      <c r="AC17" s="117"/>
      <c r="AD17" s="117"/>
      <c r="AE17" s="117"/>
      <c r="AF17" s="117"/>
      <c r="AG17" s="117"/>
      <c r="AH17" s="117"/>
      <c r="AI17" s="117"/>
      <c r="AJ17" s="117"/>
      <c r="AK17" s="118"/>
    </row>
    <row r="18" spans="1:38" ht="21" customHeight="1">
      <c r="A18" s="81"/>
      <c r="B18" s="119"/>
      <c r="C18" s="119"/>
      <c r="D18" s="119"/>
      <c r="E18" s="119"/>
      <c r="F18" s="119"/>
      <c r="G18" s="119"/>
      <c r="H18" s="119"/>
      <c r="I18" s="48"/>
      <c r="J18" s="120"/>
      <c r="K18" s="120"/>
      <c r="L18" s="120"/>
      <c r="M18" s="120"/>
      <c r="N18" s="120"/>
      <c r="O18" s="120"/>
      <c r="P18" s="120"/>
      <c r="Q18" s="120"/>
      <c r="R18" s="120"/>
      <c r="S18" s="12"/>
      <c r="T18" s="10"/>
      <c r="U18" s="122"/>
      <c r="V18" s="122"/>
      <c r="W18" s="122"/>
      <c r="X18" s="122"/>
      <c r="Y18" s="122"/>
      <c r="Z18" s="122"/>
      <c r="AA18" s="122"/>
      <c r="AB18" s="11"/>
      <c r="AC18" s="117"/>
      <c r="AD18" s="117"/>
      <c r="AE18" s="117"/>
      <c r="AF18" s="117"/>
      <c r="AG18" s="117"/>
      <c r="AH18" s="117"/>
      <c r="AI18" s="117"/>
      <c r="AJ18" s="117"/>
      <c r="AK18" s="118"/>
      <c r="AL18" s="12"/>
    </row>
    <row r="19" spans="1:38" ht="21" customHeight="1">
      <c r="A19" s="81"/>
      <c r="B19" s="119"/>
      <c r="C19" s="119"/>
      <c r="D19" s="119"/>
      <c r="E19" s="119"/>
      <c r="F19" s="119"/>
      <c r="G19" s="119"/>
      <c r="H19" s="119"/>
      <c r="I19" s="48"/>
      <c r="J19" s="120"/>
      <c r="K19" s="120"/>
      <c r="L19" s="120"/>
      <c r="M19" s="120"/>
      <c r="N19" s="120"/>
      <c r="O19" s="120"/>
      <c r="P19" s="120"/>
      <c r="Q19" s="120"/>
      <c r="R19" s="120"/>
      <c r="S19" s="12"/>
      <c r="T19" s="10"/>
      <c r="U19" s="122"/>
      <c r="V19" s="122"/>
      <c r="W19" s="122"/>
      <c r="X19" s="122"/>
      <c r="Y19" s="122"/>
      <c r="Z19" s="122"/>
      <c r="AA19" s="122"/>
      <c r="AB19" s="11"/>
      <c r="AC19" s="117"/>
      <c r="AD19" s="117"/>
      <c r="AE19" s="117"/>
      <c r="AF19" s="117"/>
      <c r="AG19" s="117"/>
      <c r="AH19" s="117"/>
      <c r="AI19" s="117"/>
      <c r="AJ19" s="117"/>
      <c r="AK19" s="118"/>
      <c r="AL19" s="12"/>
    </row>
    <row r="20" spans="1:38" ht="21" customHeight="1">
      <c r="A20" s="81"/>
      <c r="B20" s="123"/>
      <c r="C20" s="123"/>
      <c r="D20" s="123"/>
      <c r="E20" s="123"/>
      <c r="F20" s="119"/>
      <c r="G20" s="119"/>
      <c r="H20" s="119"/>
      <c r="I20" s="48"/>
      <c r="J20" s="120"/>
      <c r="K20" s="120"/>
      <c r="L20" s="120"/>
      <c r="M20" s="120"/>
      <c r="N20" s="120"/>
      <c r="O20" s="120"/>
      <c r="P20" s="120"/>
      <c r="Q20" s="120"/>
      <c r="R20" s="120"/>
      <c r="S20" s="12"/>
      <c r="T20" s="10"/>
      <c r="U20" s="122"/>
      <c r="V20" s="122"/>
      <c r="W20" s="122"/>
      <c r="X20" s="122"/>
      <c r="Y20" s="122"/>
      <c r="Z20" s="122"/>
      <c r="AA20" s="122"/>
      <c r="AB20" s="11"/>
      <c r="AC20" s="117"/>
      <c r="AD20" s="117"/>
      <c r="AE20" s="117"/>
      <c r="AF20" s="117"/>
      <c r="AG20" s="117"/>
      <c r="AH20" s="117"/>
      <c r="AI20" s="117"/>
      <c r="AJ20" s="117"/>
      <c r="AK20" s="118"/>
      <c r="AL20" s="12"/>
    </row>
    <row r="21" spans="1:38" ht="21" customHeight="1">
      <c r="A21" s="81"/>
      <c r="B21" s="119"/>
      <c r="C21" s="119"/>
      <c r="D21" s="119"/>
      <c r="E21" s="119"/>
      <c r="F21" s="119"/>
      <c r="G21" s="119"/>
      <c r="H21" s="119"/>
      <c r="I21" s="48"/>
      <c r="J21" s="120"/>
      <c r="K21" s="120"/>
      <c r="L21" s="120"/>
      <c r="M21" s="120"/>
      <c r="N21" s="120"/>
      <c r="O21" s="120"/>
      <c r="P21" s="120"/>
      <c r="Q21" s="120"/>
      <c r="R21" s="120"/>
      <c r="T21" s="10"/>
      <c r="U21" s="122"/>
      <c r="V21" s="122"/>
      <c r="W21" s="122"/>
      <c r="X21" s="122"/>
      <c r="Y21" s="122"/>
      <c r="Z21" s="122"/>
      <c r="AA21" s="122"/>
      <c r="AB21" s="11"/>
      <c r="AC21" s="117"/>
      <c r="AD21" s="117"/>
      <c r="AE21" s="117"/>
      <c r="AF21" s="117"/>
      <c r="AG21" s="117"/>
      <c r="AH21" s="117"/>
      <c r="AI21" s="117"/>
      <c r="AJ21" s="117"/>
      <c r="AK21" s="118"/>
      <c r="AL21" s="12"/>
    </row>
    <row r="22" spans="1:38" ht="21" customHeight="1">
      <c r="A22" s="81"/>
      <c r="B22" s="119"/>
      <c r="C22" s="119"/>
      <c r="D22" s="119"/>
      <c r="E22" s="119"/>
      <c r="F22" s="119"/>
      <c r="G22" s="119"/>
      <c r="H22" s="119"/>
      <c r="I22" s="48"/>
      <c r="J22" s="120"/>
      <c r="K22" s="120"/>
      <c r="L22" s="120"/>
      <c r="M22" s="120"/>
      <c r="N22" s="120"/>
      <c r="O22" s="120"/>
      <c r="P22" s="120"/>
      <c r="Q22" s="120"/>
      <c r="R22" s="120"/>
      <c r="T22" s="10"/>
      <c r="U22" s="122"/>
      <c r="V22" s="122"/>
      <c r="W22" s="122"/>
      <c r="X22" s="122"/>
      <c r="Y22" s="122"/>
      <c r="Z22" s="122"/>
      <c r="AA22" s="122"/>
      <c r="AB22" s="11"/>
      <c r="AC22" s="117"/>
      <c r="AD22" s="117"/>
      <c r="AE22" s="117"/>
      <c r="AF22" s="117"/>
      <c r="AG22" s="117"/>
      <c r="AH22" s="117"/>
      <c r="AI22" s="117"/>
      <c r="AJ22" s="117"/>
      <c r="AK22" s="118"/>
    </row>
    <row r="23" spans="1:38" ht="21" customHeight="1">
      <c r="A23" s="63"/>
      <c r="B23" s="119"/>
      <c r="C23" s="119"/>
      <c r="D23" s="119"/>
      <c r="E23" s="119"/>
      <c r="F23" s="119"/>
      <c r="G23" s="119"/>
      <c r="H23" s="119"/>
      <c r="I23" s="48"/>
      <c r="J23" s="120"/>
      <c r="K23" s="120"/>
      <c r="L23" s="120"/>
      <c r="M23" s="121"/>
      <c r="N23" s="121"/>
      <c r="O23" s="121"/>
      <c r="P23" s="121"/>
      <c r="Q23" s="121"/>
      <c r="R23" s="121"/>
      <c r="T23" s="10"/>
      <c r="U23" s="122"/>
      <c r="V23" s="122"/>
      <c r="W23" s="122"/>
      <c r="X23" s="122"/>
      <c r="Y23" s="122"/>
      <c r="Z23" s="122"/>
      <c r="AA23" s="122"/>
      <c r="AB23" s="11"/>
      <c r="AC23" s="117"/>
      <c r="AD23" s="117"/>
      <c r="AE23" s="117"/>
      <c r="AF23" s="117"/>
      <c r="AG23" s="117"/>
      <c r="AH23" s="117"/>
      <c r="AI23" s="117"/>
      <c r="AJ23" s="117"/>
      <c r="AK23" s="118"/>
    </row>
    <row r="24" spans="1:38" ht="21" customHeight="1" thickBot="1">
      <c r="A24" s="63"/>
      <c r="B24" s="119"/>
      <c r="C24" s="119"/>
      <c r="D24" s="119"/>
      <c r="E24" s="119"/>
      <c r="F24" s="119"/>
      <c r="G24" s="119"/>
      <c r="H24" s="119"/>
      <c r="I24" s="48"/>
      <c r="J24" s="120"/>
      <c r="K24" s="120"/>
      <c r="L24" s="120"/>
      <c r="M24" s="121"/>
      <c r="N24" s="121"/>
      <c r="O24" s="121"/>
      <c r="P24" s="121"/>
      <c r="Q24" s="121"/>
      <c r="R24" s="121"/>
      <c r="T24" s="10"/>
      <c r="U24" s="122"/>
      <c r="V24" s="122"/>
      <c r="W24" s="122"/>
      <c r="X24" s="122"/>
      <c r="Y24" s="122"/>
      <c r="Z24" s="122"/>
      <c r="AA24" s="122"/>
      <c r="AB24" s="11"/>
      <c r="AC24" s="117"/>
      <c r="AD24" s="117"/>
      <c r="AE24" s="117"/>
      <c r="AF24" s="117"/>
      <c r="AG24" s="117"/>
      <c r="AH24" s="117"/>
      <c r="AI24" s="117"/>
      <c r="AJ24" s="117"/>
      <c r="AK24" s="118"/>
    </row>
    <row r="25" spans="1:38" ht="21" customHeight="1" thickTop="1">
      <c r="A25" s="99" t="s">
        <v>46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1"/>
      <c r="M25" s="102">
        <f>SUM(M10:O24)</f>
        <v>220000</v>
      </c>
      <c r="N25" s="102"/>
      <c r="O25" s="102"/>
      <c r="P25" s="102">
        <f>SUM(P10:R24)</f>
        <v>22000</v>
      </c>
      <c r="Q25" s="102"/>
      <c r="R25" s="103"/>
      <c r="T25" s="104" t="s">
        <v>46</v>
      </c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6"/>
      <c r="AF25" s="107">
        <f t="shared" ref="AF25" si="2">M25</f>
        <v>220000</v>
      </c>
      <c r="AG25" s="107"/>
      <c r="AH25" s="107"/>
      <c r="AI25" s="107">
        <f t="shared" ref="AI25" si="3">P25</f>
        <v>22000</v>
      </c>
      <c r="AJ25" s="107"/>
      <c r="AK25" s="108"/>
    </row>
    <row r="26" spans="1:38" ht="21" customHeight="1" thickBot="1">
      <c r="A26" s="112" t="s">
        <v>106</v>
      </c>
      <c r="B26" s="113"/>
      <c r="C26" s="114" t="s">
        <v>107</v>
      </c>
      <c r="D26" s="115"/>
      <c r="E26" s="115"/>
      <c r="F26" s="115"/>
      <c r="G26" s="115"/>
      <c r="H26" s="115"/>
      <c r="I26" s="115"/>
      <c r="J26" s="115"/>
      <c r="K26" s="115"/>
      <c r="L26" s="116"/>
      <c r="M26" s="109" t="s">
        <v>47</v>
      </c>
      <c r="N26" s="109"/>
      <c r="O26" s="109"/>
      <c r="P26" s="110"/>
      <c r="Q26" s="110"/>
      <c r="R26" s="111"/>
      <c r="S26" s="19"/>
      <c r="T26" s="112" t="str">
        <f>A26</f>
        <v>입금계좌</v>
      </c>
      <c r="U26" s="113"/>
      <c r="V26" s="114" t="str">
        <f>C26</f>
        <v>부산B 101.2087.7763.06 / 이오도 유 성덕</v>
      </c>
      <c r="W26" s="115"/>
      <c r="X26" s="115"/>
      <c r="Y26" s="115"/>
      <c r="Z26" s="115"/>
      <c r="AA26" s="115"/>
      <c r="AB26" s="115"/>
      <c r="AC26" s="115"/>
      <c r="AD26" s="115"/>
      <c r="AE26" s="116"/>
      <c r="AF26" s="109" t="s">
        <v>47</v>
      </c>
      <c r="AG26" s="109"/>
      <c r="AH26" s="109"/>
      <c r="AI26" s="110"/>
      <c r="AJ26" s="110"/>
      <c r="AK26" s="111"/>
    </row>
    <row r="27" spans="1:38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5"/>
      <c r="O27" s="15"/>
      <c r="P27" s="16"/>
      <c r="Q27" s="16"/>
      <c r="R27" s="16"/>
      <c r="T27" s="13"/>
      <c r="U27" s="13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5"/>
      <c r="AH27" s="15"/>
      <c r="AI27" s="16"/>
      <c r="AJ27" s="16"/>
      <c r="AK27" s="16"/>
    </row>
    <row r="28" spans="1:38" ht="23" customHeight="1"/>
  </sheetData>
  <mergeCells count="228">
    <mergeCell ref="A1:B1"/>
    <mergeCell ref="C1:D1"/>
    <mergeCell ref="E1:R1"/>
    <mergeCell ref="T1:U1"/>
    <mergeCell ref="V1:W1"/>
    <mergeCell ref="X1:AK1"/>
    <mergeCell ref="A3:C5"/>
    <mergeCell ref="D3:H5"/>
    <mergeCell ref="J3:K3"/>
    <mergeCell ref="L3:N3"/>
    <mergeCell ref="O3:P3"/>
    <mergeCell ref="Q3:R3"/>
    <mergeCell ref="A2:C2"/>
    <mergeCell ref="D2:H2"/>
    <mergeCell ref="I2:I3"/>
    <mergeCell ref="J2:M2"/>
    <mergeCell ref="N2:R2"/>
    <mergeCell ref="I4:I5"/>
    <mergeCell ref="J4:K4"/>
    <mergeCell ref="L4:R4"/>
    <mergeCell ref="AB4:AB5"/>
    <mergeCell ref="AC4:AD4"/>
    <mergeCell ref="W2:AA2"/>
    <mergeCell ref="AB2:AB3"/>
    <mergeCell ref="AC2:AF2"/>
    <mergeCell ref="AG2:AK2"/>
    <mergeCell ref="T2:V2"/>
    <mergeCell ref="T3:V5"/>
    <mergeCell ref="AE4:AK4"/>
    <mergeCell ref="J5:K5"/>
    <mergeCell ref="L5:M5"/>
    <mergeCell ref="N5:O5"/>
    <mergeCell ref="P5:R5"/>
    <mergeCell ref="AC5:AD5"/>
    <mergeCell ref="AE5:AF5"/>
    <mergeCell ref="AG5:AH5"/>
    <mergeCell ref="AI5:AK5"/>
    <mergeCell ref="W3:AA5"/>
    <mergeCell ref="AC3:AD3"/>
    <mergeCell ref="AE3:AG3"/>
    <mergeCell ref="AH3:AI3"/>
    <mergeCell ref="AJ3:AK3"/>
    <mergeCell ref="AC6:AE7"/>
    <mergeCell ref="AF6:AK7"/>
    <mergeCell ref="A8:D8"/>
    <mergeCell ref="E8:R8"/>
    <mergeCell ref="T8:W8"/>
    <mergeCell ref="X8:AK8"/>
    <mergeCell ref="A6:H7"/>
    <mergeCell ref="I6:I7"/>
    <mergeCell ref="J6:L7"/>
    <mergeCell ref="M6:R7"/>
    <mergeCell ref="T6:AA7"/>
    <mergeCell ref="AB6:AB7"/>
    <mergeCell ref="Y9:AA9"/>
    <mergeCell ref="AC9:AE9"/>
    <mergeCell ref="AF9:AH9"/>
    <mergeCell ref="AI9:AK9"/>
    <mergeCell ref="B10:E10"/>
    <mergeCell ref="F10:H10"/>
    <mergeCell ref="J10:L10"/>
    <mergeCell ref="M10:O10"/>
    <mergeCell ref="P10:R10"/>
    <mergeCell ref="U10:X10"/>
    <mergeCell ref="B9:E9"/>
    <mergeCell ref="F9:H9"/>
    <mergeCell ref="J9:L9"/>
    <mergeCell ref="M9:O9"/>
    <mergeCell ref="P9:R9"/>
    <mergeCell ref="U9:X9"/>
    <mergeCell ref="Y10:AA10"/>
    <mergeCell ref="AC10:AE10"/>
    <mergeCell ref="AF10:AH10"/>
    <mergeCell ref="AI10:AK10"/>
    <mergeCell ref="AI11:AK11"/>
    <mergeCell ref="B12:E12"/>
    <mergeCell ref="F12:H12"/>
    <mergeCell ref="J12:L12"/>
    <mergeCell ref="M12:O12"/>
    <mergeCell ref="P12:R12"/>
    <mergeCell ref="U12:X12"/>
    <mergeCell ref="Y12:AA12"/>
    <mergeCell ref="AC12:AE12"/>
    <mergeCell ref="AF12:AH12"/>
    <mergeCell ref="AI12:AK12"/>
    <mergeCell ref="B11:E11"/>
    <mergeCell ref="F11:H11"/>
    <mergeCell ref="J11:L11"/>
    <mergeCell ref="M11:O11"/>
    <mergeCell ref="P11:R11"/>
    <mergeCell ref="U11:X11"/>
    <mergeCell ref="Y11:AA11"/>
    <mergeCell ref="AC11:AE11"/>
    <mergeCell ref="AF11:AH11"/>
    <mergeCell ref="AI13:AK13"/>
    <mergeCell ref="B14:E14"/>
    <mergeCell ref="F14:H14"/>
    <mergeCell ref="J14:L14"/>
    <mergeCell ref="M14:O14"/>
    <mergeCell ref="P14:R14"/>
    <mergeCell ref="U14:X14"/>
    <mergeCell ref="Y14:AA14"/>
    <mergeCell ref="AC14:AE14"/>
    <mergeCell ref="AF14:AH14"/>
    <mergeCell ref="AI14:AK14"/>
    <mergeCell ref="B13:E13"/>
    <mergeCell ref="F13:H13"/>
    <mergeCell ref="J13:L13"/>
    <mergeCell ref="M13:O13"/>
    <mergeCell ref="P13:R13"/>
    <mergeCell ref="U13:X13"/>
    <mergeCell ref="Y13:AA13"/>
    <mergeCell ref="AC13:AE13"/>
    <mergeCell ref="AF13:AH13"/>
    <mergeCell ref="AI15:AK15"/>
    <mergeCell ref="B16:E16"/>
    <mergeCell ref="F16:H16"/>
    <mergeCell ref="J16:L16"/>
    <mergeCell ref="M16:O16"/>
    <mergeCell ref="P16:R16"/>
    <mergeCell ref="U16:X16"/>
    <mergeCell ref="Y16:AA16"/>
    <mergeCell ref="AC16:AE16"/>
    <mergeCell ref="AF16:AH16"/>
    <mergeCell ref="AI16:AK16"/>
    <mergeCell ref="B15:E15"/>
    <mergeCell ref="F15:H15"/>
    <mergeCell ref="J15:L15"/>
    <mergeCell ref="M15:O15"/>
    <mergeCell ref="P15:R15"/>
    <mergeCell ref="U15:X15"/>
    <mergeCell ref="Y15:AA15"/>
    <mergeCell ref="AC15:AE15"/>
    <mergeCell ref="AF15:AH15"/>
    <mergeCell ref="AI17:AK17"/>
    <mergeCell ref="B18:E18"/>
    <mergeCell ref="F18:H18"/>
    <mergeCell ref="J18:L18"/>
    <mergeCell ref="M18:O18"/>
    <mergeCell ref="P18:R18"/>
    <mergeCell ref="U18:X18"/>
    <mergeCell ref="Y18:AA18"/>
    <mergeCell ref="AC18:AE18"/>
    <mergeCell ref="AF18:AH18"/>
    <mergeCell ref="AI18:AK18"/>
    <mergeCell ref="B17:E17"/>
    <mergeCell ref="F17:H17"/>
    <mergeCell ref="J17:L17"/>
    <mergeCell ref="M17:O17"/>
    <mergeCell ref="P17:R17"/>
    <mergeCell ref="U17:X17"/>
    <mergeCell ref="Y17:AA17"/>
    <mergeCell ref="AC17:AE17"/>
    <mergeCell ref="AF17:AH17"/>
    <mergeCell ref="AI19:AK19"/>
    <mergeCell ref="B20:E20"/>
    <mergeCell ref="F20:H20"/>
    <mergeCell ref="J20:L20"/>
    <mergeCell ref="M20:O20"/>
    <mergeCell ref="P20:R20"/>
    <mergeCell ref="U20:X20"/>
    <mergeCell ref="Y20:AA20"/>
    <mergeCell ref="AC20:AE20"/>
    <mergeCell ref="AF20:AH20"/>
    <mergeCell ref="AI20:AK20"/>
    <mergeCell ref="B19:E19"/>
    <mergeCell ref="F19:H19"/>
    <mergeCell ref="J19:L19"/>
    <mergeCell ref="M19:O19"/>
    <mergeCell ref="P19:R19"/>
    <mergeCell ref="U19:X19"/>
    <mergeCell ref="Y19:AA19"/>
    <mergeCell ref="AC19:AE19"/>
    <mergeCell ref="AF19:AH19"/>
    <mergeCell ref="AI21:AK21"/>
    <mergeCell ref="B22:E22"/>
    <mergeCell ref="F22:H22"/>
    <mergeCell ref="J22:L22"/>
    <mergeCell ref="M22:O22"/>
    <mergeCell ref="P22:R22"/>
    <mergeCell ref="U22:X22"/>
    <mergeCell ref="Y22:AA22"/>
    <mergeCell ref="AC22:AE22"/>
    <mergeCell ref="AF22:AH22"/>
    <mergeCell ref="AI22:AK22"/>
    <mergeCell ref="B21:E21"/>
    <mergeCell ref="F21:H21"/>
    <mergeCell ref="J21:L21"/>
    <mergeCell ref="M21:O21"/>
    <mergeCell ref="P21:R21"/>
    <mergeCell ref="U21:X21"/>
    <mergeCell ref="Y21:AA21"/>
    <mergeCell ref="AC21:AE21"/>
    <mergeCell ref="AF21:AH21"/>
    <mergeCell ref="AI23:AK23"/>
    <mergeCell ref="B24:E24"/>
    <mergeCell ref="F24:H24"/>
    <mergeCell ref="J24:L24"/>
    <mergeCell ref="M24:O24"/>
    <mergeCell ref="P24:R24"/>
    <mergeCell ref="U24:X24"/>
    <mergeCell ref="Y24:AA24"/>
    <mergeCell ref="AC24:AE24"/>
    <mergeCell ref="AF24:AH24"/>
    <mergeCell ref="AI24:AK24"/>
    <mergeCell ref="B23:E23"/>
    <mergeCell ref="F23:H23"/>
    <mergeCell ref="J23:L23"/>
    <mergeCell ref="M23:O23"/>
    <mergeCell ref="P23:R23"/>
    <mergeCell ref="U23:X23"/>
    <mergeCell ref="Y23:AA23"/>
    <mergeCell ref="AC23:AE23"/>
    <mergeCell ref="AF23:AH23"/>
    <mergeCell ref="A25:L25"/>
    <mergeCell ref="M25:O25"/>
    <mergeCell ref="P25:R25"/>
    <mergeCell ref="T25:AE25"/>
    <mergeCell ref="AF25:AH25"/>
    <mergeCell ref="AI25:AK25"/>
    <mergeCell ref="AF26:AH26"/>
    <mergeCell ref="AI26:AK26"/>
    <mergeCell ref="A26:B26"/>
    <mergeCell ref="C26:L26"/>
    <mergeCell ref="M26:O26"/>
    <mergeCell ref="P26:R26"/>
    <mergeCell ref="T26:U26"/>
    <mergeCell ref="V26:AE26"/>
  </mergeCells>
  <phoneticPr fontId="11" type="noConversion"/>
  <pageMargins left="0.19685039370078741" right="0.19685039370078741" top="0.19685039370078741" bottom="0.19685039370078741" header="0" footer="0"/>
  <pageSetup paperSize="9" scale="9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7387-E739-4F85-8BEE-128D1D3DD889}">
  <sheetPr>
    <tabColor theme="3"/>
  </sheetPr>
  <dimension ref="A1:R848"/>
  <sheetViews>
    <sheetView topLeftCell="A93" zoomScale="125" zoomScaleNormal="70" workbookViewId="0">
      <selection activeCell="A106" sqref="A106:J154"/>
    </sheetView>
  </sheetViews>
  <sheetFormatPr baseColWidth="10" defaultColWidth="8.6640625" defaultRowHeight="19" customHeight="1"/>
  <cols>
    <col min="1" max="1" width="12.33203125" style="47" customWidth="1"/>
    <col min="2" max="2" width="5.6640625" style="47" customWidth="1"/>
    <col min="3" max="3" width="28.33203125" style="47" customWidth="1"/>
    <col min="4" max="4" width="24.83203125" style="47" customWidth="1"/>
    <col min="5" max="5" width="8.6640625" style="47"/>
    <col min="6" max="7" width="8.83203125" style="48" bestFit="1" customWidth="1"/>
    <col min="8" max="8" width="12.83203125" style="48" customWidth="1"/>
    <col min="9" max="9" width="8.83203125" style="48" bestFit="1" customWidth="1"/>
    <col min="10" max="10" width="9.83203125" style="47" bestFit="1" customWidth="1"/>
    <col min="11" max="11" width="8.6640625" style="47"/>
    <col min="12" max="12" width="11.33203125" style="53" bestFit="1" customWidth="1"/>
    <col min="13" max="13" width="8.83203125" style="53" bestFit="1" customWidth="1"/>
    <col min="14" max="16384" width="8.6640625" style="53"/>
  </cols>
  <sheetData>
    <row r="1" spans="1:13" ht="19" customHeight="1">
      <c r="A1" s="71" t="s">
        <v>1</v>
      </c>
      <c r="B1" s="71" t="s">
        <v>5</v>
      </c>
      <c r="C1" s="71" t="s">
        <v>20</v>
      </c>
      <c r="D1" s="71" t="s">
        <v>21</v>
      </c>
      <c r="E1" s="71" t="s">
        <v>3</v>
      </c>
      <c r="F1" s="72" t="s">
        <v>2</v>
      </c>
      <c r="G1" s="72" t="s">
        <v>0</v>
      </c>
      <c r="H1" s="72" t="s">
        <v>4</v>
      </c>
      <c r="I1" s="72" t="s">
        <v>120</v>
      </c>
      <c r="J1" s="72" t="s">
        <v>121</v>
      </c>
      <c r="K1" s="72" t="s">
        <v>135</v>
      </c>
      <c r="L1" s="54"/>
      <c r="M1" s="53" t="e">
        <f>SUBTOTAL(9,J:J)</f>
        <v>#N/A</v>
      </c>
    </row>
    <row r="2" spans="1:13" ht="19" customHeight="1">
      <c r="A2" s="66" t="s">
        <v>775</v>
      </c>
      <c r="C2" s="47" t="s">
        <v>467</v>
      </c>
      <c r="D2" s="47" t="s">
        <v>315</v>
      </c>
      <c r="E2" s="47" t="s">
        <v>57</v>
      </c>
      <c r="F2" s="48">
        <v>2</v>
      </c>
      <c r="G2" s="48">
        <f>VLOOKUP(D2,단가!B:D,3,0)</f>
        <v>32000</v>
      </c>
      <c r="H2" s="48">
        <f>F2*G2</f>
        <v>64000</v>
      </c>
      <c r="I2" s="48">
        <f>H2*0.1</f>
        <v>6400</v>
      </c>
      <c r="J2" s="49">
        <f t="shared" ref="J2:J65" si="0">H2+I2</f>
        <v>70400</v>
      </c>
    </row>
    <row r="3" spans="1:13" ht="19" customHeight="1">
      <c r="A3" s="66" t="s">
        <v>776</v>
      </c>
      <c r="C3" s="47" t="s">
        <v>486</v>
      </c>
      <c r="D3" s="47" t="s">
        <v>315</v>
      </c>
      <c r="E3" s="47" t="s">
        <v>57</v>
      </c>
      <c r="F3" s="48">
        <v>3</v>
      </c>
      <c r="G3" s="48">
        <f>VLOOKUP(D3,단가!B:D,3,0)</f>
        <v>32000</v>
      </c>
      <c r="H3" s="48">
        <f t="shared" ref="H3:H66" si="1">F3*G3</f>
        <v>96000</v>
      </c>
      <c r="I3" s="48">
        <f t="shared" ref="I3:I66" si="2">H3*0.1</f>
        <v>9600</v>
      </c>
      <c r="J3" s="49">
        <f t="shared" si="0"/>
        <v>105600</v>
      </c>
    </row>
    <row r="4" spans="1:13" ht="19" customHeight="1">
      <c r="A4" s="66" t="s">
        <v>776</v>
      </c>
      <c r="C4" s="47" t="s">
        <v>777</v>
      </c>
      <c r="D4" s="47" t="s">
        <v>627</v>
      </c>
      <c r="E4" s="47" t="s">
        <v>57</v>
      </c>
      <c r="F4" s="48">
        <v>22</v>
      </c>
      <c r="G4" s="48">
        <f>VLOOKUP(D4,단가!B:D,3,0)</f>
        <v>25000</v>
      </c>
      <c r="H4" s="48">
        <f t="shared" si="1"/>
        <v>550000</v>
      </c>
      <c r="I4" s="48">
        <f t="shared" si="2"/>
        <v>55000</v>
      </c>
      <c r="J4" s="49">
        <f t="shared" si="0"/>
        <v>605000</v>
      </c>
    </row>
    <row r="5" spans="1:13" ht="19" customHeight="1">
      <c r="A5" s="66" t="s">
        <v>776</v>
      </c>
      <c r="C5" s="47" t="s">
        <v>777</v>
      </c>
      <c r="D5" s="47" t="s">
        <v>778</v>
      </c>
      <c r="E5" s="47" t="s">
        <v>779</v>
      </c>
      <c r="F5" s="48">
        <v>5</v>
      </c>
      <c r="G5" s="48">
        <f>VLOOKUP(D5,단가!B:D,3,0)</f>
        <v>10500</v>
      </c>
      <c r="H5" s="48">
        <f t="shared" si="1"/>
        <v>52500</v>
      </c>
      <c r="I5" s="48">
        <f t="shared" si="2"/>
        <v>5250</v>
      </c>
      <c r="J5" s="49">
        <f t="shared" si="0"/>
        <v>57750</v>
      </c>
    </row>
    <row r="6" spans="1:13" ht="19" customHeight="1">
      <c r="A6" s="66" t="s">
        <v>780</v>
      </c>
      <c r="C6" s="47" t="s">
        <v>217</v>
      </c>
      <c r="D6" s="47" t="s">
        <v>627</v>
      </c>
      <c r="E6" s="47" t="s">
        <v>57</v>
      </c>
      <c r="F6" s="48">
        <v>5</v>
      </c>
      <c r="G6" s="48">
        <f>VLOOKUP(D6,단가!B:D,3,0)</f>
        <v>25000</v>
      </c>
      <c r="H6" s="48">
        <f t="shared" si="1"/>
        <v>125000</v>
      </c>
      <c r="I6" s="48">
        <f t="shared" si="2"/>
        <v>12500</v>
      </c>
      <c r="J6" s="49">
        <f t="shared" si="0"/>
        <v>137500</v>
      </c>
    </row>
    <row r="7" spans="1:13" ht="19" customHeight="1">
      <c r="A7" s="66" t="s">
        <v>780</v>
      </c>
      <c r="C7" s="47" t="s">
        <v>217</v>
      </c>
      <c r="D7" s="47" t="s">
        <v>781</v>
      </c>
      <c r="E7" s="47" t="s">
        <v>60</v>
      </c>
      <c r="F7" s="48">
        <v>5</v>
      </c>
      <c r="G7" s="48">
        <f>VLOOKUP(D7,단가!B:D,3,0)</f>
        <v>10500</v>
      </c>
      <c r="H7" s="48">
        <f t="shared" si="1"/>
        <v>52500</v>
      </c>
      <c r="I7" s="48">
        <f t="shared" si="2"/>
        <v>5250</v>
      </c>
      <c r="J7" s="49">
        <f t="shared" si="0"/>
        <v>57750</v>
      </c>
    </row>
    <row r="8" spans="1:13" ht="19" customHeight="1">
      <c r="A8" s="66" t="s">
        <v>780</v>
      </c>
      <c r="C8" s="47" t="s">
        <v>217</v>
      </c>
      <c r="D8" s="47" t="s">
        <v>782</v>
      </c>
      <c r="E8" s="47" t="s">
        <v>60</v>
      </c>
      <c r="F8" s="48">
        <v>5</v>
      </c>
      <c r="G8" s="48">
        <f>VLOOKUP(D8,단가!B:D,3,0)</f>
        <v>10500</v>
      </c>
      <c r="H8" s="48">
        <f t="shared" si="1"/>
        <v>52500</v>
      </c>
      <c r="I8" s="48">
        <f t="shared" si="2"/>
        <v>5250</v>
      </c>
      <c r="J8" s="49">
        <f t="shared" si="0"/>
        <v>57750</v>
      </c>
    </row>
    <row r="9" spans="1:13" ht="19" customHeight="1">
      <c r="A9" s="66" t="s">
        <v>780</v>
      </c>
      <c r="C9" s="47" t="s">
        <v>217</v>
      </c>
      <c r="D9" s="47" t="s">
        <v>146</v>
      </c>
      <c r="E9" s="47" t="s">
        <v>60</v>
      </c>
      <c r="F9" s="48">
        <v>5</v>
      </c>
      <c r="G9" s="48">
        <f>VLOOKUP(D9,단가!B:D,3,0)</f>
        <v>10500</v>
      </c>
      <c r="H9" s="48">
        <f t="shared" si="1"/>
        <v>52500</v>
      </c>
      <c r="I9" s="48">
        <f t="shared" si="2"/>
        <v>5250</v>
      </c>
      <c r="J9" s="49">
        <f t="shared" si="0"/>
        <v>57750</v>
      </c>
      <c r="K9" s="49"/>
    </row>
    <row r="10" spans="1:13" ht="19" customHeight="1">
      <c r="A10" s="66" t="s">
        <v>783</v>
      </c>
      <c r="C10" s="47" t="s">
        <v>217</v>
      </c>
      <c r="D10" s="47" t="s">
        <v>627</v>
      </c>
      <c r="E10" s="47" t="s">
        <v>57</v>
      </c>
      <c r="F10" s="48">
        <v>25</v>
      </c>
      <c r="G10" s="48">
        <f>VLOOKUP(D10,단가!B:D,3,0)</f>
        <v>25000</v>
      </c>
      <c r="H10" s="48">
        <f t="shared" si="1"/>
        <v>625000</v>
      </c>
      <c r="I10" s="48">
        <f t="shared" si="2"/>
        <v>62500</v>
      </c>
      <c r="J10" s="49">
        <f t="shared" si="0"/>
        <v>687500</v>
      </c>
    </row>
    <row r="11" spans="1:13" ht="19" customHeight="1">
      <c r="A11" s="66" t="s">
        <v>783</v>
      </c>
      <c r="C11" s="47" t="s">
        <v>217</v>
      </c>
      <c r="D11" s="47" t="s">
        <v>784</v>
      </c>
      <c r="E11" s="47" t="s">
        <v>60</v>
      </c>
      <c r="F11" s="48">
        <v>5</v>
      </c>
      <c r="G11" s="48">
        <f>VLOOKUP(D11,단가!B:D,3,0)</f>
        <v>10500</v>
      </c>
      <c r="H11" s="48">
        <f t="shared" si="1"/>
        <v>52500</v>
      </c>
      <c r="I11" s="48">
        <f t="shared" si="2"/>
        <v>5250</v>
      </c>
      <c r="J11" s="49">
        <f t="shared" si="0"/>
        <v>57750</v>
      </c>
    </row>
    <row r="12" spans="1:13" ht="19" customHeight="1">
      <c r="A12" s="66" t="s">
        <v>783</v>
      </c>
      <c r="C12" s="47" t="s">
        <v>217</v>
      </c>
      <c r="D12" s="47" t="s">
        <v>785</v>
      </c>
      <c r="E12" s="47" t="s">
        <v>60</v>
      </c>
      <c r="F12" s="48">
        <v>5</v>
      </c>
      <c r="G12" s="48">
        <f>VLOOKUP(D12,단가!B:D,3,0)</f>
        <v>10500</v>
      </c>
      <c r="H12" s="48">
        <f t="shared" si="1"/>
        <v>52500</v>
      </c>
      <c r="I12" s="48">
        <f t="shared" si="2"/>
        <v>5250</v>
      </c>
      <c r="J12" s="49">
        <f t="shared" si="0"/>
        <v>57750</v>
      </c>
    </row>
    <row r="13" spans="1:13" ht="19" customHeight="1">
      <c r="A13" s="66" t="s">
        <v>783</v>
      </c>
      <c r="C13" s="47" t="s">
        <v>217</v>
      </c>
      <c r="D13" s="47" t="s">
        <v>786</v>
      </c>
      <c r="E13" s="47" t="s">
        <v>60</v>
      </c>
      <c r="F13" s="48">
        <v>5</v>
      </c>
      <c r="G13" s="48">
        <f>VLOOKUP(D13,단가!B:D,3,0)</f>
        <v>10500</v>
      </c>
      <c r="H13" s="48">
        <f t="shared" si="1"/>
        <v>52500</v>
      </c>
      <c r="I13" s="48">
        <f t="shared" si="2"/>
        <v>5250</v>
      </c>
      <c r="J13" s="49">
        <f t="shared" si="0"/>
        <v>57750</v>
      </c>
    </row>
    <row r="14" spans="1:13" ht="19" customHeight="1">
      <c r="A14" s="66" t="s">
        <v>783</v>
      </c>
      <c r="C14" s="47" t="s">
        <v>217</v>
      </c>
      <c r="D14" s="47" t="s">
        <v>787</v>
      </c>
      <c r="E14" s="47" t="s">
        <v>60</v>
      </c>
      <c r="F14" s="48">
        <v>5</v>
      </c>
      <c r="G14" s="48">
        <f>VLOOKUP(D14,단가!B:D,3,0)</f>
        <v>10500</v>
      </c>
      <c r="H14" s="48">
        <f t="shared" si="1"/>
        <v>52500</v>
      </c>
      <c r="I14" s="48">
        <f t="shared" si="2"/>
        <v>5250</v>
      </c>
      <c r="J14" s="49">
        <f t="shared" si="0"/>
        <v>57750</v>
      </c>
    </row>
    <row r="15" spans="1:13" ht="19" customHeight="1">
      <c r="A15" s="66" t="s">
        <v>783</v>
      </c>
      <c r="C15" s="47" t="s">
        <v>217</v>
      </c>
      <c r="D15" s="47" t="s">
        <v>788</v>
      </c>
      <c r="E15" s="47" t="s">
        <v>60</v>
      </c>
      <c r="F15" s="48">
        <v>5</v>
      </c>
      <c r="G15" s="48">
        <f>VLOOKUP(D15,단가!B:D,3,0)</f>
        <v>10500</v>
      </c>
      <c r="H15" s="48">
        <f t="shared" si="1"/>
        <v>52500</v>
      </c>
      <c r="I15" s="48">
        <f t="shared" si="2"/>
        <v>5250</v>
      </c>
      <c r="J15" s="49">
        <f t="shared" si="0"/>
        <v>57750</v>
      </c>
    </row>
    <row r="16" spans="1:13" ht="19" customHeight="1">
      <c r="A16" s="66" t="s">
        <v>783</v>
      </c>
      <c r="C16" s="47" t="s">
        <v>217</v>
      </c>
      <c r="D16" s="47" t="s">
        <v>149</v>
      </c>
      <c r="E16" s="47" t="s">
        <v>60</v>
      </c>
      <c r="F16" s="48">
        <v>5</v>
      </c>
      <c r="G16" s="48">
        <f>VLOOKUP(D16,단가!B:D,3,0)</f>
        <v>10500</v>
      </c>
      <c r="H16" s="48">
        <f t="shared" si="1"/>
        <v>52500</v>
      </c>
      <c r="I16" s="48">
        <f t="shared" si="2"/>
        <v>5250</v>
      </c>
      <c r="J16" s="49">
        <f t="shared" si="0"/>
        <v>57750</v>
      </c>
    </row>
    <row r="17" spans="1:10" ht="19" customHeight="1">
      <c r="A17" s="66" t="s">
        <v>783</v>
      </c>
      <c r="C17" s="47" t="s">
        <v>217</v>
      </c>
      <c r="D17" s="47" t="s">
        <v>148</v>
      </c>
      <c r="E17" s="47" t="s">
        <v>60</v>
      </c>
      <c r="F17" s="48">
        <v>5</v>
      </c>
      <c r="G17" s="48">
        <f>VLOOKUP(D17,단가!B:D,3,0)</f>
        <v>10500</v>
      </c>
      <c r="H17" s="48">
        <f t="shared" si="1"/>
        <v>52500</v>
      </c>
      <c r="I17" s="48">
        <f t="shared" si="2"/>
        <v>5250</v>
      </c>
      <c r="J17" s="49">
        <f t="shared" si="0"/>
        <v>57750</v>
      </c>
    </row>
    <row r="18" spans="1:10" ht="19" customHeight="1">
      <c r="A18" s="66" t="s">
        <v>783</v>
      </c>
      <c r="C18" s="47" t="s">
        <v>217</v>
      </c>
      <c r="D18" s="47" t="s">
        <v>146</v>
      </c>
      <c r="E18" s="47" t="s">
        <v>60</v>
      </c>
      <c r="F18" s="48">
        <v>5</v>
      </c>
      <c r="G18" s="48">
        <f>VLOOKUP(D18,단가!B:D,3,0)</f>
        <v>10500</v>
      </c>
      <c r="H18" s="48">
        <f t="shared" si="1"/>
        <v>52500</v>
      </c>
      <c r="I18" s="48">
        <f t="shared" si="2"/>
        <v>5250</v>
      </c>
      <c r="J18" s="49">
        <f t="shared" si="0"/>
        <v>57750</v>
      </c>
    </row>
    <row r="19" spans="1:10" ht="19" customHeight="1">
      <c r="A19" s="66" t="s">
        <v>783</v>
      </c>
      <c r="C19" s="47" t="s">
        <v>217</v>
      </c>
      <c r="D19" s="47" t="s">
        <v>789</v>
      </c>
      <c r="E19" s="47" t="s">
        <v>60</v>
      </c>
      <c r="F19" s="48">
        <v>5</v>
      </c>
      <c r="G19" s="48">
        <f>VLOOKUP(D19,단가!B:D,3,0)</f>
        <v>10500</v>
      </c>
      <c r="H19" s="48">
        <f t="shared" si="1"/>
        <v>52500</v>
      </c>
      <c r="I19" s="48">
        <f t="shared" si="2"/>
        <v>5250</v>
      </c>
      <c r="J19" s="49">
        <f t="shared" si="0"/>
        <v>57750</v>
      </c>
    </row>
    <row r="20" spans="1:10" ht="19" customHeight="1">
      <c r="A20" s="66" t="s">
        <v>783</v>
      </c>
      <c r="C20" s="47" t="s">
        <v>217</v>
      </c>
      <c r="D20" s="47" t="s">
        <v>636</v>
      </c>
      <c r="E20" s="47" t="s">
        <v>60</v>
      </c>
      <c r="F20" s="48">
        <v>1</v>
      </c>
      <c r="G20" s="48">
        <f>VLOOKUP(D20,단가!B:D,3,0)</f>
        <v>14000</v>
      </c>
      <c r="H20" s="48">
        <f t="shared" si="1"/>
        <v>14000</v>
      </c>
      <c r="I20" s="48">
        <f t="shared" si="2"/>
        <v>1400</v>
      </c>
      <c r="J20" s="49">
        <f t="shared" si="0"/>
        <v>15400</v>
      </c>
    </row>
    <row r="21" spans="1:10" ht="19" customHeight="1">
      <c r="A21" s="66" t="s">
        <v>790</v>
      </c>
      <c r="C21" s="47" t="s">
        <v>791</v>
      </c>
      <c r="D21" s="47" t="s">
        <v>627</v>
      </c>
      <c r="E21" s="47" t="s">
        <v>57</v>
      </c>
      <c r="F21" s="48">
        <v>3</v>
      </c>
      <c r="G21" s="48">
        <f>VLOOKUP(D21,단가!B:D,3,0)</f>
        <v>25000</v>
      </c>
      <c r="H21" s="48">
        <f t="shared" si="1"/>
        <v>75000</v>
      </c>
      <c r="J21" s="49">
        <f t="shared" si="0"/>
        <v>75000</v>
      </c>
    </row>
    <row r="22" spans="1:10" ht="19" customHeight="1">
      <c r="A22" s="66" t="s">
        <v>790</v>
      </c>
      <c r="C22" s="47" t="s">
        <v>792</v>
      </c>
      <c r="D22" s="47" t="s">
        <v>688</v>
      </c>
      <c r="E22" s="47" t="s">
        <v>57</v>
      </c>
      <c r="F22" s="48">
        <v>10</v>
      </c>
      <c r="G22" s="48">
        <f>VLOOKUP(D22,단가!B:D,3,0)</f>
        <v>26000</v>
      </c>
      <c r="H22" s="48">
        <f t="shared" si="1"/>
        <v>260000</v>
      </c>
      <c r="I22" s="48">
        <f t="shared" si="2"/>
        <v>26000</v>
      </c>
      <c r="J22" s="49">
        <f t="shared" si="0"/>
        <v>286000</v>
      </c>
    </row>
    <row r="23" spans="1:10" ht="19" customHeight="1">
      <c r="A23" s="66" t="s">
        <v>790</v>
      </c>
      <c r="C23" s="47" t="s">
        <v>792</v>
      </c>
      <c r="D23" s="47" t="s">
        <v>690</v>
      </c>
      <c r="E23" s="47" t="s">
        <v>131</v>
      </c>
      <c r="F23" s="48">
        <v>1</v>
      </c>
      <c r="G23" s="48">
        <f>VLOOKUP(D23,단가!B:D,3,0)</f>
        <v>15000</v>
      </c>
      <c r="H23" s="48">
        <f t="shared" si="1"/>
        <v>15000</v>
      </c>
      <c r="I23" s="48">
        <f t="shared" si="2"/>
        <v>1500</v>
      </c>
      <c r="J23" s="49">
        <f t="shared" si="0"/>
        <v>16500</v>
      </c>
    </row>
    <row r="24" spans="1:10" ht="19" customHeight="1">
      <c r="A24" s="66" t="s">
        <v>793</v>
      </c>
      <c r="C24" s="47" t="s">
        <v>794</v>
      </c>
      <c r="D24" s="47" t="s">
        <v>688</v>
      </c>
      <c r="E24" s="47" t="s">
        <v>57</v>
      </c>
      <c r="F24" s="48">
        <v>10</v>
      </c>
      <c r="G24" s="48">
        <f>VLOOKUP(D24,단가!B:D,3,0)</f>
        <v>26000</v>
      </c>
      <c r="H24" s="48">
        <f t="shared" si="1"/>
        <v>260000</v>
      </c>
      <c r="I24" s="48">
        <f t="shared" si="2"/>
        <v>26000</v>
      </c>
      <c r="J24" s="49">
        <f t="shared" si="0"/>
        <v>286000</v>
      </c>
    </row>
    <row r="25" spans="1:10" ht="19" customHeight="1">
      <c r="A25" s="66" t="s">
        <v>793</v>
      </c>
      <c r="C25" s="47" t="s">
        <v>794</v>
      </c>
      <c r="D25" s="47" t="s">
        <v>690</v>
      </c>
      <c r="E25" s="47" t="s">
        <v>131</v>
      </c>
      <c r="F25" s="48">
        <v>2</v>
      </c>
      <c r="G25" s="48">
        <f>VLOOKUP(D25,단가!B:D,3,0)</f>
        <v>15000</v>
      </c>
      <c r="H25" s="48">
        <f t="shared" si="1"/>
        <v>30000</v>
      </c>
      <c r="I25" s="48">
        <f t="shared" si="2"/>
        <v>3000</v>
      </c>
      <c r="J25" s="49">
        <f t="shared" si="0"/>
        <v>33000</v>
      </c>
    </row>
    <row r="26" spans="1:10" ht="19" customHeight="1">
      <c r="A26" s="66" t="s">
        <v>793</v>
      </c>
      <c r="C26" s="47" t="s">
        <v>217</v>
      </c>
      <c r="D26" s="47" t="s">
        <v>627</v>
      </c>
      <c r="E26" s="47" t="s">
        <v>57</v>
      </c>
      <c r="F26" s="48">
        <v>65</v>
      </c>
      <c r="G26" s="48">
        <f>VLOOKUP(D26,단가!B:D,3,0)</f>
        <v>25000</v>
      </c>
      <c r="H26" s="48">
        <f t="shared" si="1"/>
        <v>1625000</v>
      </c>
      <c r="I26" s="48">
        <f t="shared" si="2"/>
        <v>162500</v>
      </c>
      <c r="J26" s="49">
        <f t="shared" si="0"/>
        <v>1787500</v>
      </c>
    </row>
    <row r="27" spans="1:10" ht="19" customHeight="1">
      <c r="A27" s="66" t="s">
        <v>793</v>
      </c>
      <c r="C27" s="47" t="s">
        <v>217</v>
      </c>
      <c r="D27" s="47" t="s">
        <v>149</v>
      </c>
      <c r="E27" s="47" t="s">
        <v>60</v>
      </c>
      <c r="F27" s="48">
        <v>5</v>
      </c>
      <c r="G27" s="48">
        <f>VLOOKUP(D27,단가!B:D,3,0)</f>
        <v>10500</v>
      </c>
      <c r="H27" s="48">
        <f t="shared" si="1"/>
        <v>52500</v>
      </c>
      <c r="I27" s="48">
        <f t="shared" si="2"/>
        <v>5250</v>
      </c>
      <c r="J27" s="49">
        <f t="shared" si="0"/>
        <v>57750</v>
      </c>
    </row>
    <row r="28" spans="1:10" ht="19" customHeight="1">
      <c r="A28" s="66" t="s">
        <v>793</v>
      </c>
      <c r="C28" s="47" t="s">
        <v>217</v>
      </c>
      <c r="D28" s="47" t="s">
        <v>148</v>
      </c>
      <c r="E28" s="47" t="s">
        <v>60</v>
      </c>
      <c r="F28" s="48">
        <v>5</v>
      </c>
      <c r="G28" s="48">
        <f>VLOOKUP(D28,단가!B:D,3,0)</f>
        <v>10500</v>
      </c>
      <c r="H28" s="48">
        <f t="shared" si="1"/>
        <v>52500</v>
      </c>
      <c r="I28" s="48">
        <f t="shared" si="2"/>
        <v>5250</v>
      </c>
      <c r="J28" s="49">
        <f t="shared" si="0"/>
        <v>57750</v>
      </c>
    </row>
    <row r="29" spans="1:10" ht="19" customHeight="1">
      <c r="A29" s="66" t="s">
        <v>793</v>
      </c>
      <c r="C29" s="47" t="s">
        <v>217</v>
      </c>
      <c r="D29" s="47" t="s">
        <v>146</v>
      </c>
      <c r="E29" s="47" t="s">
        <v>60</v>
      </c>
      <c r="F29" s="48">
        <v>5</v>
      </c>
      <c r="G29" s="48">
        <f>VLOOKUP(D29,단가!B:D,3,0)</f>
        <v>10500</v>
      </c>
      <c r="H29" s="48">
        <f t="shared" si="1"/>
        <v>52500</v>
      </c>
      <c r="I29" s="48">
        <f t="shared" si="2"/>
        <v>5250</v>
      </c>
      <c r="J29" s="49">
        <f t="shared" si="0"/>
        <v>57750</v>
      </c>
    </row>
    <row r="30" spans="1:10" ht="19" customHeight="1">
      <c r="A30" s="66" t="s">
        <v>793</v>
      </c>
      <c r="C30" s="47" t="s">
        <v>217</v>
      </c>
      <c r="D30" s="47" t="s">
        <v>147</v>
      </c>
      <c r="E30" s="47" t="s">
        <v>60</v>
      </c>
      <c r="F30" s="48">
        <v>5</v>
      </c>
      <c r="G30" s="48">
        <f>VLOOKUP(D30,단가!B:D,3,0)</f>
        <v>10500</v>
      </c>
      <c r="H30" s="48">
        <f t="shared" si="1"/>
        <v>52500</v>
      </c>
      <c r="I30" s="48">
        <f t="shared" si="2"/>
        <v>5250</v>
      </c>
      <c r="J30" s="49">
        <f t="shared" si="0"/>
        <v>57750</v>
      </c>
    </row>
    <row r="31" spans="1:10" ht="19" customHeight="1">
      <c r="A31" s="66" t="s">
        <v>795</v>
      </c>
      <c r="C31" s="47" t="s">
        <v>567</v>
      </c>
      <c r="D31" s="47" t="s">
        <v>627</v>
      </c>
      <c r="E31" s="47" t="s">
        <v>57</v>
      </c>
      <c r="F31" s="48">
        <v>3</v>
      </c>
      <c r="G31" s="48">
        <f>VLOOKUP(D31,단가!B:D,3,0)</f>
        <v>25000</v>
      </c>
      <c r="H31" s="48">
        <f t="shared" si="1"/>
        <v>75000</v>
      </c>
      <c r="J31" s="49">
        <f t="shared" si="0"/>
        <v>75000</v>
      </c>
    </row>
    <row r="32" spans="1:10" ht="19" customHeight="1">
      <c r="A32" s="62" t="s">
        <v>796</v>
      </c>
      <c r="C32" s="47" t="s">
        <v>217</v>
      </c>
      <c r="D32" s="47" t="s">
        <v>627</v>
      </c>
      <c r="E32" s="47" t="s">
        <v>57</v>
      </c>
      <c r="F32" s="48">
        <v>6</v>
      </c>
      <c r="G32" s="48">
        <f>VLOOKUP(D32,단가!B:D,3,0)</f>
        <v>25000</v>
      </c>
      <c r="H32" s="48">
        <f t="shared" si="1"/>
        <v>150000</v>
      </c>
      <c r="I32" s="48">
        <f t="shared" si="2"/>
        <v>15000</v>
      </c>
      <c r="J32" s="49">
        <f t="shared" si="0"/>
        <v>165000</v>
      </c>
    </row>
    <row r="33" spans="1:10" ht="19" customHeight="1">
      <c r="A33" s="62" t="s">
        <v>796</v>
      </c>
      <c r="C33" s="47" t="s">
        <v>217</v>
      </c>
      <c r="D33" s="47" t="s">
        <v>154</v>
      </c>
      <c r="E33" s="47" t="s">
        <v>60</v>
      </c>
      <c r="F33" s="48">
        <v>5</v>
      </c>
      <c r="G33" s="48">
        <f>VLOOKUP(D33,단가!B:D,3,0)</f>
        <v>10500</v>
      </c>
      <c r="H33" s="48">
        <f t="shared" si="1"/>
        <v>52500</v>
      </c>
      <c r="I33" s="48">
        <f t="shared" si="2"/>
        <v>5250</v>
      </c>
      <c r="J33" s="49">
        <f t="shared" si="0"/>
        <v>57750</v>
      </c>
    </row>
    <row r="34" spans="1:10" ht="19" customHeight="1">
      <c r="A34" s="62" t="s">
        <v>796</v>
      </c>
      <c r="C34" s="47" t="s">
        <v>217</v>
      </c>
      <c r="D34" s="47" t="s">
        <v>153</v>
      </c>
      <c r="E34" s="47" t="s">
        <v>60</v>
      </c>
      <c r="F34" s="48">
        <v>5</v>
      </c>
      <c r="G34" s="48">
        <f>VLOOKUP(D34,단가!B:D,3,0)</f>
        <v>10500</v>
      </c>
      <c r="H34" s="48">
        <f t="shared" si="1"/>
        <v>52500</v>
      </c>
      <c r="I34" s="48">
        <f t="shared" si="2"/>
        <v>5250</v>
      </c>
      <c r="J34" s="49">
        <f t="shared" si="0"/>
        <v>57750</v>
      </c>
    </row>
    <row r="35" spans="1:10" ht="19" customHeight="1">
      <c r="A35" s="62" t="s">
        <v>796</v>
      </c>
      <c r="C35" s="47" t="s">
        <v>217</v>
      </c>
      <c r="D35" s="47" t="s">
        <v>151</v>
      </c>
      <c r="E35" s="47" t="s">
        <v>60</v>
      </c>
      <c r="F35" s="48">
        <v>5</v>
      </c>
      <c r="G35" s="48">
        <f>VLOOKUP(D35,단가!B:D,3,0)</f>
        <v>10500</v>
      </c>
      <c r="H35" s="48">
        <f t="shared" si="1"/>
        <v>52500</v>
      </c>
      <c r="I35" s="48">
        <f t="shared" si="2"/>
        <v>5250</v>
      </c>
      <c r="J35" s="49">
        <f t="shared" si="0"/>
        <v>57750</v>
      </c>
    </row>
    <row r="36" spans="1:10" ht="19" customHeight="1">
      <c r="A36" s="62" t="s">
        <v>796</v>
      </c>
      <c r="C36" s="47" t="s">
        <v>217</v>
      </c>
      <c r="D36" s="47" t="s">
        <v>152</v>
      </c>
      <c r="E36" s="47" t="s">
        <v>60</v>
      </c>
      <c r="F36" s="48">
        <v>5</v>
      </c>
      <c r="G36" s="48">
        <f>VLOOKUP(D36,단가!B:D,3,0)</f>
        <v>10500</v>
      </c>
      <c r="H36" s="48">
        <f t="shared" si="1"/>
        <v>52500</v>
      </c>
      <c r="I36" s="48">
        <f t="shared" si="2"/>
        <v>5250</v>
      </c>
      <c r="J36" s="49">
        <f t="shared" si="0"/>
        <v>57750</v>
      </c>
    </row>
    <row r="37" spans="1:10" ht="19" customHeight="1">
      <c r="A37" s="62" t="s">
        <v>796</v>
      </c>
      <c r="C37" s="47" t="s">
        <v>217</v>
      </c>
      <c r="D37" s="47" t="s">
        <v>150</v>
      </c>
      <c r="E37" s="47" t="s">
        <v>60</v>
      </c>
      <c r="F37" s="48">
        <v>5</v>
      </c>
      <c r="G37" s="48">
        <f>VLOOKUP(D37,단가!B:D,3,0)</f>
        <v>10500</v>
      </c>
      <c r="H37" s="48">
        <f t="shared" si="1"/>
        <v>52500</v>
      </c>
      <c r="I37" s="48">
        <f t="shared" si="2"/>
        <v>5250</v>
      </c>
      <c r="J37" s="49">
        <f t="shared" si="0"/>
        <v>57750</v>
      </c>
    </row>
    <row r="38" spans="1:10" ht="19" customHeight="1">
      <c r="A38" s="62" t="s">
        <v>796</v>
      </c>
      <c r="C38" s="47" t="s">
        <v>217</v>
      </c>
      <c r="D38" s="47" t="s">
        <v>148</v>
      </c>
      <c r="E38" s="47" t="s">
        <v>60</v>
      </c>
      <c r="F38" s="48">
        <v>5</v>
      </c>
      <c r="G38" s="48">
        <f>VLOOKUP(D38,단가!B:D,3,0)</f>
        <v>10500</v>
      </c>
      <c r="H38" s="48">
        <f t="shared" si="1"/>
        <v>52500</v>
      </c>
      <c r="I38" s="48">
        <f t="shared" si="2"/>
        <v>5250</v>
      </c>
      <c r="J38" s="49">
        <f t="shared" si="0"/>
        <v>57750</v>
      </c>
    </row>
    <row r="39" spans="1:10" ht="19" customHeight="1">
      <c r="A39" s="62" t="s">
        <v>797</v>
      </c>
      <c r="C39" s="47" t="s">
        <v>798</v>
      </c>
      <c r="D39" s="47" t="s">
        <v>315</v>
      </c>
      <c r="E39" s="47" t="s">
        <v>57</v>
      </c>
      <c r="F39" s="48">
        <v>2</v>
      </c>
      <c r="G39" s="48">
        <f>VLOOKUP(D39,단가!B:D,3,0)</f>
        <v>32000</v>
      </c>
      <c r="H39" s="48">
        <f t="shared" si="1"/>
        <v>64000</v>
      </c>
      <c r="I39" s="48">
        <f t="shared" si="2"/>
        <v>6400</v>
      </c>
      <c r="J39" s="49">
        <f t="shared" si="0"/>
        <v>70400</v>
      </c>
    </row>
    <row r="40" spans="1:10" ht="19" customHeight="1">
      <c r="A40" s="62" t="s">
        <v>801</v>
      </c>
      <c r="C40" s="47" t="s">
        <v>217</v>
      </c>
      <c r="D40" s="47" t="s">
        <v>149</v>
      </c>
      <c r="E40" s="47" t="s">
        <v>60</v>
      </c>
      <c r="F40" s="48">
        <v>5</v>
      </c>
      <c r="G40" s="48">
        <f>VLOOKUP(D40,단가!B:D,3,0)</f>
        <v>10500</v>
      </c>
      <c r="H40" s="48">
        <f t="shared" si="1"/>
        <v>52500</v>
      </c>
      <c r="I40" s="48">
        <f t="shared" si="2"/>
        <v>5250</v>
      </c>
      <c r="J40" s="49">
        <f t="shared" si="0"/>
        <v>57750</v>
      </c>
    </row>
    <row r="41" spans="1:10" ht="19" customHeight="1">
      <c r="A41" s="62" t="s">
        <v>801</v>
      </c>
      <c r="C41" s="47" t="s">
        <v>217</v>
      </c>
      <c r="D41" s="47" t="s">
        <v>148</v>
      </c>
      <c r="E41" s="47" t="s">
        <v>60</v>
      </c>
      <c r="F41" s="48">
        <v>5</v>
      </c>
      <c r="G41" s="48">
        <f>VLOOKUP(D41,단가!B:D,3,0)</f>
        <v>10500</v>
      </c>
      <c r="H41" s="48">
        <f t="shared" si="1"/>
        <v>52500</v>
      </c>
      <c r="I41" s="48">
        <f t="shared" si="2"/>
        <v>5250</v>
      </c>
      <c r="J41" s="49">
        <f t="shared" si="0"/>
        <v>57750</v>
      </c>
    </row>
    <row r="42" spans="1:10" ht="19" customHeight="1">
      <c r="A42" s="62" t="s">
        <v>801</v>
      </c>
      <c r="C42" s="47" t="s">
        <v>217</v>
      </c>
      <c r="D42" s="47" t="s">
        <v>146</v>
      </c>
      <c r="E42" s="47" t="s">
        <v>60</v>
      </c>
      <c r="F42" s="48">
        <v>5</v>
      </c>
      <c r="G42" s="48">
        <f>VLOOKUP(D42,단가!B:D,3,0)</f>
        <v>10500</v>
      </c>
      <c r="H42" s="48">
        <f t="shared" si="1"/>
        <v>52500</v>
      </c>
      <c r="I42" s="48">
        <f t="shared" si="2"/>
        <v>5250</v>
      </c>
      <c r="J42" s="49">
        <f t="shared" si="0"/>
        <v>57750</v>
      </c>
    </row>
    <row r="43" spans="1:10" ht="19" customHeight="1">
      <c r="A43" s="62" t="s">
        <v>801</v>
      </c>
      <c r="C43" s="47" t="s">
        <v>217</v>
      </c>
      <c r="D43" s="47" t="s">
        <v>147</v>
      </c>
      <c r="E43" s="47" t="s">
        <v>60</v>
      </c>
      <c r="F43" s="48">
        <v>5</v>
      </c>
      <c r="G43" s="48">
        <f>VLOOKUP(D43,단가!B:D,3,0)</f>
        <v>10500</v>
      </c>
      <c r="H43" s="48">
        <f t="shared" si="1"/>
        <v>52500</v>
      </c>
      <c r="I43" s="48">
        <f t="shared" si="2"/>
        <v>5250</v>
      </c>
      <c r="J43" s="49">
        <f t="shared" si="0"/>
        <v>57750</v>
      </c>
    </row>
    <row r="44" spans="1:10" ht="19" customHeight="1">
      <c r="A44" s="62" t="s">
        <v>802</v>
      </c>
      <c r="C44" s="47" t="s">
        <v>217</v>
      </c>
      <c r="D44" s="47" t="s">
        <v>151</v>
      </c>
      <c r="E44" s="47" t="s">
        <v>60</v>
      </c>
      <c r="F44" s="48">
        <v>10</v>
      </c>
      <c r="G44" s="48">
        <f>VLOOKUP(D44,단가!B:D,3,0)</f>
        <v>10500</v>
      </c>
      <c r="H44" s="48">
        <f t="shared" si="1"/>
        <v>105000</v>
      </c>
      <c r="I44" s="48">
        <f t="shared" si="2"/>
        <v>10500</v>
      </c>
      <c r="J44" s="49">
        <f t="shared" si="0"/>
        <v>115500</v>
      </c>
    </row>
    <row r="45" spans="1:10" ht="19" customHeight="1">
      <c r="A45" s="62" t="s">
        <v>802</v>
      </c>
      <c r="C45" s="47" t="s">
        <v>217</v>
      </c>
      <c r="D45" s="47" t="s">
        <v>636</v>
      </c>
      <c r="E45" s="47" t="s">
        <v>60</v>
      </c>
      <c r="F45" s="48">
        <v>10</v>
      </c>
      <c r="G45" s="48">
        <f>VLOOKUP(D45,단가!B:D,3,0)</f>
        <v>14000</v>
      </c>
      <c r="H45" s="48">
        <f t="shared" si="1"/>
        <v>140000</v>
      </c>
      <c r="I45" s="48">
        <f t="shared" si="2"/>
        <v>14000</v>
      </c>
      <c r="J45" s="49">
        <f t="shared" si="0"/>
        <v>154000</v>
      </c>
    </row>
    <row r="46" spans="1:10" ht="19" customHeight="1">
      <c r="A46" s="62" t="s">
        <v>803</v>
      </c>
      <c r="C46" s="47" t="s">
        <v>217</v>
      </c>
      <c r="D46" s="47" t="s">
        <v>148</v>
      </c>
      <c r="E46" s="47" t="s">
        <v>60</v>
      </c>
      <c r="F46" s="48">
        <v>5</v>
      </c>
      <c r="G46" s="48">
        <f>VLOOKUP(D46,단가!B:D,3,0)</f>
        <v>10500</v>
      </c>
      <c r="H46" s="48">
        <f t="shared" si="1"/>
        <v>52500</v>
      </c>
      <c r="I46" s="48">
        <f t="shared" si="2"/>
        <v>5250</v>
      </c>
      <c r="J46" s="49">
        <f t="shared" si="0"/>
        <v>57750</v>
      </c>
    </row>
    <row r="47" spans="1:10" ht="19" customHeight="1">
      <c r="A47" s="62" t="s">
        <v>803</v>
      </c>
      <c r="C47" s="47" t="s">
        <v>217</v>
      </c>
      <c r="D47" s="47" t="s">
        <v>146</v>
      </c>
      <c r="E47" s="47" t="s">
        <v>60</v>
      </c>
      <c r="F47" s="48">
        <v>5</v>
      </c>
      <c r="G47" s="48">
        <f>VLOOKUP(D47,단가!B:D,3,0)</f>
        <v>10500</v>
      </c>
      <c r="H47" s="48">
        <f t="shared" si="1"/>
        <v>52500</v>
      </c>
      <c r="I47" s="48">
        <f t="shared" si="2"/>
        <v>5250</v>
      </c>
      <c r="J47" s="49">
        <f t="shared" si="0"/>
        <v>57750</v>
      </c>
    </row>
    <row r="48" spans="1:10" ht="19" customHeight="1">
      <c r="A48" s="62" t="s">
        <v>804</v>
      </c>
      <c r="C48" s="47" t="s">
        <v>805</v>
      </c>
      <c r="D48" s="47" t="s">
        <v>154</v>
      </c>
      <c r="E48" s="47" t="s">
        <v>60</v>
      </c>
      <c r="F48" s="48">
        <v>5</v>
      </c>
      <c r="G48" s="48">
        <f>VLOOKUP(D48,단가!B:D,3,0)</f>
        <v>10500</v>
      </c>
      <c r="H48" s="48">
        <f t="shared" si="1"/>
        <v>52500</v>
      </c>
      <c r="I48" s="48">
        <f t="shared" si="2"/>
        <v>5250</v>
      </c>
      <c r="J48" s="49">
        <f t="shared" si="0"/>
        <v>57750</v>
      </c>
    </row>
    <row r="49" spans="1:10" ht="19" customHeight="1">
      <c r="A49" s="62" t="s">
        <v>804</v>
      </c>
      <c r="C49" s="47" t="s">
        <v>805</v>
      </c>
      <c r="D49" s="47" t="s">
        <v>153</v>
      </c>
      <c r="E49" s="47" t="s">
        <v>60</v>
      </c>
      <c r="F49" s="48">
        <v>5</v>
      </c>
      <c r="G49" s="48">
        <f>VLOOKUP(D49,단가!B:D,3,0)</f>
        <v>10500</v>
      </c>
      <c r="H49" s="48">
        <f t="shared" si="1"/>
        <v>52500</v>
      </c>
      <c r="I49" s="48">
        <f t="shared" si="2"/>
        <v>5250</v>
      </c>
      <c r="J49" s="49">
        <f t="shared" si="0"/>
        <v>57750</v>
      </c>
    </row>
    <row r="50" spans="1:10" ht="19" customHeight="1">
      <c r="A50" s="62" t="s">
        <v>804</v>
      </c>
      <c r="C50" s="47" t="s">
        <v>805</v>
      </c>
      <c r="D50" s="47" t="s">
        <v>151</v>
      </c>
      <c r="E50" s="47" t="s">
        <v>60</v>
      </c>
      <c r="F50" s="48">
        <v>5</v>
      </c>
      <c r="G50" s="48">
        <f>VLOOKUP(D50,단가!B:D,3,0)</f>
        <v>10500</v>
      </c>
      <c r="H50" s="48">
        <f t="shared" si="1"/>
        <v>52500</v>
      </c>
      <c r="I50" s="48">
        <f t="shared" si="2"/>
        <v>5250</v>
      </c>
      <c r="J50" s="49">
        <f t="shared" si="0"/>
        <v>57750</v>
      </c>
    </row>
    <row r="51" spans="1:10" ht="19" customHeight="1">
      <c r="A51" s="62" t="s">
        <v>804</v>
      </c>
      <c r="C51" s="47" t="s">
        <v>805</v>
      </c>
      <c r="D51" s="47" t="s">
        <v>152</v>
      </c>
      <c r="E51" s="47" t="s">
        <v>60</v>
      </c>
      <c r="F51" s="48">
        <v>5</v>
      </c>
      <c r="G51" s="48">
        <f>VLOOKUP(D51,단가!B:D,3,0)</f>
        <v>10500</v>
      </c>
      <c r="H51" s="48">
        <f t="shared" si="1"/>
        <v>52500</v>
      </c>
      <c r="I51" s="48">
        <f t="shared" si="2"/>
        <v>5250</v>
      </c>
      <c r="J51" s="49">
        <f t="shared" si="0"/>
        <v>57750</v>
      </c>
    </row>
    <row r="52" spans="1:10" ht="19" customHeight="1">
      <c r="A52" s="62" t="s">
        <v>804</v>
      </c>
      <c r="C52" s="47" t="s">
        <v>805</v>
      </c>
      <c r="D52" s="47" t="s">
        <v>150</v>
      </c>
      <c r="E52" s="47" t="s">
        <v>60</v>
      </c>
      <c r="F52" s="48">
        <v>5</v>
      </c>
      <c r="G52" s="48">
        <f>VLOOKUP(D52,단가!B:D,3,0)</f>
        <v>10500</v>
      </c>
      <c r="H52" s="48">
        <f t="shared" si="1"/>
        <v>52500</v>
      </c>
      <c r="I52" s="48">
        <f t="shared" si="2"/>
        <v>5250</v>
      </c>
      <c r="J52" s="49">
        <f t="shared" si="0"/>
        <v>57750</v>
      </c>
    </row>
    <row r="53" spans="1:10" ht="19" customHeight="1">
      <c r="A53" s="62" t="s">
        <v>804</v>
      </c>
      <c r="C53" s="47" t="s">
        <v>805</v>
      </c>
      <c r="D53" s="47" t="s">
        <v>148</v>
      </c>
      <c r="E53" s="47" t="s">
        <v>60</v>
      </c>
      <c r="F53" s="48">
        <v>5</v>
      </c>
      <c r="G53" s="48">
        <f>VLOOKUP(D53,단가!B:D,3,0)</f>
        <v>10500</v>
      </c>
      <c r="H53" s="48">
        <f t="shared" si="1"/>
        <v>52500</v>
      </c>
      <c r="I53" s="48">
        <f t="shared" si="2"/>
        <v>5250</v>
      </c>
      <c r="J53" s="49">
        <f t="shared" si="0"/>
        <v>57750</v>
      </c>
    </row>
    <row r="54" spans="1:10" ht="19" customHeight="1">
      <c r="A54" s="62" t="s">
        <v>806</v>
      </c>
      <c r="C54" s="47" t="s">
        <v>567</v>
      </c>
      <c r="D54" s="47" t="s">
        <v>627</v>
      </c>
      <c r="E54" s="47" t="s">
        <v>57</v>
      </c>
      <c r="F54" s="48">
        <v>3</v>
      </c>
      <c r="G54" s="48">
        <f>VLOOKUP(D54,단가!B:D,3,0)</f>
        <v>25000</v>
      </c>
      <c r="H54" s="48">
        <f t="shared" ref="H54" si="3">F54*G54</f>
        <v>75000</v>
      </c>
      <c r="J54" s="49">
        <f t="shared" ref="J54" si="4">H54+I54</f>
        <v>75000</v>
      </c>
    </row>
    <row r="55" spans="1:10" ht="19" customHeight="1">
      <c r="A55" s="62" t="s">
        <v>807</v>
      </c>
      <c r="C55" s="47" t="s">
        <v>217</v>
      </c>
      <c r="D55" s="47" t="s">
        <v>627</v>
      </c>
      <c r="E55" s="47" t="s">
        <v>57</v>
      </c>
      <c r="F55" s="48">
        <v>22</v>
      </c>
      <c r="G55" s="48">
        <f>VLOOKUP(D55,단가!B:D,3,0)</f>
        <v>25000</v>
      </c>
      <c r="H55" s="48">
        <f t="shared" si="1"/>
        <v>550000</v>
      </c>
      <c r="I55" s="48">
        <f t="shared" si="2"/>
        <v>55000</v>
      </c>
      <c r="J55" s="49">
        <f t="shared" si="0"/>
        <v>605000</v>
      </c>
    </row>
    <row r="56" spans="1:10" ht="19" customHeight="1">
      <c r="A56" s="62" t="s">
        <v>808</v>
      </c>
      <c r="C56" s="47" t="s">
        <v>217</v>
      </c>
      <c r="D56" s="47" t="s">
        <v>150</v>
      </c>
      <c r="E56" s="47" t="s">
        <v>60</v>
      </c>
      <c r="F56" s="48">
        <v>5</v>
      </c>
      <c r="G56" s="48">
        <f>VLOOKUP(D56,단가!B:D,3,0)</f>
        <v>10500</v>
      </c>
      <c r="H56" s="48">
        <f t="shared" si="1"/>
        <v>52500</v>
      </c>
      <c r="I56" s="48">
        <f t="shared" si="2"/>
        <v>5250</v>
      </c>
      <c r="J56" s="49">
        <f t="shared" si="0"/>
        <v>57750</v>
      </c>
    </row>
    <row r="57" spans="1:10" ht="19" customHeight="1">
      <c r="A57" s="62" t="s">
        <v>808</v>
      </c>
      <c r="C57" s="47" t="s">
        <v>217</v>
      </c>
      <c r="D57" s="47" t="s">
        <v>149</v>
      </c>
      <c r="E57" s="47" t="s">
        <v>60</v>
      </c>
      <c r="F57" s="48">
        <v>5</v>
      </c>
      <c r="G57" s="48">
        <f>VLOOKUP(D57,단가!B:D,3,0)</f>
        <v>10500</v>
      </c>
      <c r="H57" s="48">
        <f t="shared" si="1"/>
        <v>52500</v>
      </c>
      <c r="I57" s="48">
        <f t="shared" si="2"/>
        <v>5250</v>
      </c>
      <c r="J57" s="49">
        <f t="shared" si="0"/>
        <v>57750</v>
      </c>
    </row>
    <row r="58" spans="1:10" ht="19" customHeight="1">
      <c r="A58" s="62" t="s">
        <v>808</v>
      </c>
      <c r="C58" s="47" t="s">
        <v>217</v>
      </c>
      <c r="D58" s="47" t="s">
        <v>148</v>
      </c>
      <c r="E58" s="47" t="s">
        <v>60</v>
      </c>
      <c r="F58" s="48">
        <v>5</v>
      </c>
      <c r="G58" s="48">
        <f>VLOOKUP(D58,단가!B:D,3,0)</f>
        <v>10500</v>
      </c>
      <c r="H58" s="48">
        <f t="shared" si="1"/>
        <v>52500</v>
      </c>
      <c r="I58" s="48">
        <f t="shared" si="2"/>
        <v>5250</v>
      </c>
      <c r="J58" s="49">
        <f t="shared" si="0"/>
        <v>57750</v>
      </c>
    </row>
    <row r="59" spans="1:10" ht="19" customHeight="1">
      <c r="A59" s="62" t="s">
        <v>808</v>
      </c>
      <c r="C59" s="47" t="s">
        <v>217</v>
      </c>
      <c r="D59" s="47" t="s">
        <v>146</v>
      </c>
      <c r="E59" s="47" t="s">
        <v>60</v>
      </c>
      <c r="F59" s="48">
        <v>5</v>
      </c>
      <c r="G59" s="48">
        <f>VLOOKUP(D59,단가!B:D,3,0)</f>
        <v>10500</v>
      </c>
      <c r="H59" s="48">
        <f t="shared" si="1"/>
        <v>52500</v>
      </c>
      <c r="I59" s="48">
        <f t="shared" si="2"/>
        <v>5250</v>
      </c>
      <c r="J59" s="49">
        <f t="shared" si="0"/>
        <v>57750</v>
      </c>
    </row>
    <row r="60" spans="1:10" ht="19" customHeight="1">
      <c r="A60" s="62" t="s">
        <v>808</v>
      </c>
      <c r="C60" s="47" t="s">
        <v>217</v>
      </c>
      <c r="D60" s="47" t="s">
        <v>147</v>
      </c>
      <c r="E60" s="47" t="s">
        <v>60</v>
      </c>
      <c r="F60" s="48">
        <v>5</v>
      </c>
      <c r="G60" s="48">
        <f>VLOOKUP(D60,단가!B:D,3,0)</f>
        <v>10500</v>
      </c>
      <c r="H60" s="48">
        <f t="shared" si="1"/>
        <v>52500</v>
      </c>
      <c r="I60" s="48">
        <f t="shared" si="2"/>
        <v>5250</v>
      </c>
      <c r="J60" s="49">
        <f t="shared" si="0"/>
        <v>57750</v>
      </c>
    </row>
    <row r="61" spans="1:10" ht="19" customHeight="1">
      <c r="A61" s="62" t="s">
        <v>808</v>
      </c>
      <c r="C61" s="47" t="s">
        <v>505</v>
      </c>
      <c r="D61" s="47" t="s">
        <v>315</v>
      </c>
      <c r="E61" s="47" t="s">
        <v>57</v>
      </c>
      <c r="F61" s="48">
        <v>2</v>
      </c>
      <c r="G61" s="48">
        <f>VLOOKUP(D61,단가!B:D,3,0)</f>
        <v>32000</v>
      </c>
      <c r="H61" s="48">
        <f t="shared" si="1"/>
        <v>64000</v>
      </c>
      <c r="I61" s="48">
        <f t="shared" si="2"/>
        <v>6400</v>
      </c>
      <c r="J61" s="49">
        <f t="shared" si="0"/>
        <v>70400</v>
      </c>
    </row>
    <row r="62" spans="1:10" ht="19" customHeight="1">
      <c r="A62" s="62" t="s">
        <v>809</v>
      </c>
      <c r="C62" s="47" t="s">
        <v>810</v>
      </c>
      <c r="D62" s="47" t="s">
        <v>302</v>
      </c>
      <c r="E62" s="47" t="s">
        <v>57</v>
      </c>
      <c r="F62" s="48">
        <v>10</v>
      </c>
      <c r="G62" s="48">
        <f>VLOOKUP(D62,단가!B:D,3,0)</f>
        <v>22000</v>
      </c>
      <c r="H62" s="48">
        <f t="shared" si="1"/>
        <v>220000</v>
      </c>
      <c r="I62" s="48">
        <f t="shared" si="2"/>
        <v>22000</v>
      </c>
      <c r="J62" s="49">
        <f t="shared" si="0"/>
        <v>242000</v>
      </c>
    </row>
    <row r="63" spans="1:10" ht="19" customHeight="1">
      <c r="A63" s="62" t="s">
        <v>811</v>
      </c>
      <c r="C63" s="47" t="s">
        <v>217</v>
      </c>
      <c r="D63" s="47" t="s">
        <v>627</v>
      </c>
      <c r="E63" s="47" t="s">
        <v>57</v>
      </c>
      <c r="F63" s="48">
        <v>4</v>
      </c>
      <c r="G63" s="48">
        <f>VLOOKUP(D63,단가!B:D,3,0)</f>
        <v>25000</v>
      </c>
      <c r="H63" s="48">
        <f t="shared" si="1"/>
        <v>100000</v>
      </c>
      <c r="I63" s="48">
        <f t="shared" si="2"/>
        <v>10000</v>
      </c>
      <c r="J63" s="49">
        <f t="shared" si="0"/>
        <v>110000</v>
      </c>
    </row>
    <row r="64" spans="1:10" ht="19" customHeight="1">
      <c r="A64" s="62" t="s">
        <v>811</v>
      </c>
      <c r="C64" s="47" t="s">
        <v>217</v>
      </c>
      <c r="D64" s="47" t="s">
        <v>151</v>
      </c>
      <c r="E64" s="47" t="s">
        <v>60</v>
      </c>
      <c r="F64" s="48">
        <v>5</v>
      </c>
      <c r="G64" s="48">
        <f>VLOOKUP(D64,단가!B:D,3,0)</f>
        <v>10500</v>
      </c>
      <c r="H64" s="48">
        <f t="shared" si="1"/>
        <v>52500</v>
      </c>
      <c r="I64" s="48">
        <f t="shared" si="2"/>
        <v>5250</v>
      </c>
      <c r="J64" s="49">
        <f t="shared" si="0"/>
        <v>57750</v>
      </c>
    </row>
    <row r="65" spans="1:12" ht="19" customHeight="1">
      <c r="A65" s="62" t="s">
        <v>811</v>
      </c>
      <c r="C65" s="47" t="s">
        <v>217</v>
      </c>
      <c r="D65" s="47" t="s">
        <v>152</v>
      </c>
      <c r="E65" s="47" t="s">
        <v>60</v>
      </c>
      <c r="F65" s="48">
        <v>5</v>
      </c>
      <c r="G65" s="48">
        <f>VLOOKUP(D65,단가!B:D,3,0)</f>
        <v>10500</v>
      </c>
      <c r="H65" s="48">
        <f t="shared" si="1"/>
        <v>52500</v>
      </c>
      <c r="I65" s="48">
        <f t="shared" si="2"/>
        <v>5250</v>
      </c>
      <c r="J65" s="49">
        <f t="shared" si="0"/>
        <v>57750</v>
      </c>
    </row>
    <row r="66" spans="1:12" ht="19" customHeight="1">
      <c r="A66" s="62" t="s">
        <v>812</v>
      </c>
      <c r="C66" s="47" t="s">
        <v>355</v>
      </c>
      <c r="D66" s="47" t="s">
        <v>627</v>
      </c>
      <c r="E66" s="47" t="s">
        <v>57</v>
      </c>
      <c r="F66" s="48">
        <v>3</v>
      </c>
      <c r="G66" s="48">
        <f>VLOOKUP(D66,단가!B:D,3,0)</f>
        <v>25000</v>
      </c>
      <c r="H66" s="48">
        <f t="shared" si="1"/>
        <v>75000</v>
      </c>
      <c r="I66" s="48">
        <f t="shared" si="2"/>
        <v>7500</v>
      </c>
      <c r="J66" s="49">
        <v>117150</v>
      </c>
    </row>
    <row r="67" spans="1:12" ht="19" customHeight="1">
      <c r="A67" s="62" t="s">
        <v>813</v>
      </c>
      <c r="C67" s="47" t="s">
        <v>217</v>
      </c>
      <c r="D67" s="47" t="s">
        <v>627</v>
      </c>
      <c r="E67" s="47" t="s">
        <v>57</v>
      </c>
      <c r="F67" s="48">
        <v>4</v>
      </c>
      <c r="G67" s="48">
        <f>VLOOKUP(D67,단가!B:D,3,0)</f>
        <v>25000</v>
      </c>
      <c r="H67" s="48">
        <f t="shared" ref="H67:H154" si="5">F67*G67</f>
        <v>100000</v>
      </c>
      <c r="I67" s="48">
        <f t="shared" ref="I67:I154" si="6">H67*0.1</f>
        <v>10000</v>
      </c>
      <c r="J67" s="49">
        <f t="shared" ref="J67:J153" si="7">H67+I67</f>
        <v>110000</v>
      </c>
    </row>
    <row r="68" spans="1:12" ht="19" customHeight="1">
      <c r="A68" s="62" t="s">
        <v>813</v>
      </c>
      <c r="C68" s="47" t="s">
        <v>217</v>
      </c>
      <c r="D68" s="47" t="s">
        <v>148</v>
      </c>
      <c r="E68" s="47" t="s">
        <v>60</v>
      </c>
      <c r="F68" s="48">
        <v>5</v>
      </c>
      <c r="G68" s="48">
        <f>VLOOKUP(D68,단가!B:D,3,0)</f>
        <v>10500</v>
      </c>
      <c r="H68" s="48">
        <f t="shared" si="5"/>
        <v>52500</v>
      </c>
      <c r="I68" s="48">
        <f t="shared" si="6"/>
        <v>5250</v>
      </c>
      <c r="J68" s="49">
        <f t="shared" si="7"/>
        <v>57750</v>
      </c>
    </row>
    <row r="69" spans="1:12" ht="19" customHeight="1">
      <c r="A69" s="62" t="s">
        <v>813</v>
      </c>
      <c r="C69" s="47" t="s">
        <v>217</v>
      </c>
      <c r="D69" s="47" t="s">
        <v>146</v>
      </c>
      <c r="E69" s="47" t="s">
        <v>60</v>
      </c>
      <c r="F69" s="48">
        <v>5</v>
      </c>
      <c r="G69" s="48">
        <f>VLOOKUP(D69,단가!B:D,3,0)</f>
        <v>10500</v>
      </c>
      <c r="H69" s="48">
        <f t="shared" si="5"/>
        <v>52500</v>
      </c>
      <c r="I69" s="48">
        <f t="shared" si="6"/>
        <v>5250</v>
      </c>
      <c r="J69" s="49">
        <f t="shared" si="7"/>
        <v>57750</v>
      </c>
    </row>
    <row r="70" spans="1:12" ht="19" customHeight="1">
      <c r="A70" s="62" t="s">
        <v>813</v>
      </c>
      <c r="C70" s="47" t="s">
        <v>217</v>
      </c>
      <c r="D70" s="47" t="s">
        <v>147</v>
      </c>
      <c r="E70" s="47" t="s">
        <v>60</v>
      </c>
      <c r="F70" s="48">
        <v>5</v>
      </c>
      <c r="G70" s="48">
        <f>VLOOKUP(D70,단가!B:D,3,0)</f>
        <v>10500</v>
      </c>
      <c r="H70" s="48">
        <f t="shared" si="5"/>
        <v>52500</v>
      </c>
      <c r="I70" s="48">
        <f t="shared" si="6"/>
        <v>5250</v>
      </c>
      <c r="J70" s="49">
        <f t="shared" si="7"/>
        <v>57750</v>
      </c>
    </row>
    <row r="71" spans="1:12" ht="19" customHeight="1">
      <c r="A71" s="62" t="s">
        <v>814</v>
      </c>
      <c r="C71" s="47" t="s">
        <v>217</v>
      </c>
      <c r="D71" s="47" t="s">
        <v>627</v>
      </c>
      <c r="E71" s="47" t="s">
        <v>57</v>
      </c>
      <c r="F71" s="48">
        <v>28</v>
      </c>
      <c r="G71" s="48">
        <f>VLOOKUP(D71,단가!B:D,3,0)</f>
        <v>25000</v>
      </c>
      <c r="H71" s="48">
        <f t="shared" si="5"/>
        <v>700000</v>
      </c>
      <c r="I71" s="48">
        <v>300</v>
      </c>
      <c r="J71" s="49">
        <f t="shared" si="7"/>
        <v>700300</v>
      </c>
    </row>
    <row r="72" spans="1:12" ht="19" customHeight="1">
      <c r="A72" s="62" t="s">
        <v>814</v>
      </c>
      <c r="C72" s="47" t="s">
        <v>217</v>
      </c>
      <c r="D72" s="47" t="s">
        <v>154</v>
      </c>
      <c r="E72" s="47" t="s">
        <v>60</v>
      </c>
      <c r="F72" s="48">
        <v>5</v>
      </c>
      <c r="G72" s="48">
        <f>VLOOKUP(D72,단가!B:D,3,0)</f>
        <v>10500</v>
      </c>
      <c r="H72" s="48">
        <f t="shared" si="5"/>
        <v>52500</v>
      </c>
      <c r="I72" s="48">
        <f t="shared" si="6"/>
        <v>5250</v>
      </c>
      <c r="J72" s="49">
        <f t="shared" si="7"/>
        <v>57750</v>
      </c>
    </row>
    <row r="73" spans="1:12" ht="19" customHeight="1">
      <c r="A73" s="62" t="s">
        <v>814</v>
      </c>
      <c r="C73" s="47" t="s">
        <v>217</v>
      </c>
      <c r="D73" s="47" t="s">
        <v>153</v>
      </c>
      <c r="E73" s="47" t="s">
        <v>60</v>
      </c>
      <c r="F73" s="48">
        <v>5</v>
      </c>
      <c r="G73" s="48">
        <f>VLOOKUP(D73,단가!B:D,3,0)</f>
        <v>10500</v>
      </c>
      <c r="H73" s="48">
        <f t="shared" si="5"/>
        <v>52500</v>
      </c>
      <c r="I73" s="48">
        <f t="shared" si="6"/>
        <v>5250</v>
      </c>
      <c r="J73" s="49">
        <f t="shared" si="7"/>
        <v>57750</v>
      </c>
    </row>
    <row r="74" spans="1:12" ht="19" customHeight="1">
      <c r="A74" s="62" t="s">
        <v>814</v>
      </c>
      <c r="C74" s="47" t="s">
        <v>217</v>
      </c>
      <c r="D74" s="47" t="s">
        <v>151</v>
      </c>
      <c r="E74" s="47" t="s">
        <v>60</v>
      </c>
      <c r="F74" s="48">
        <v>5</v>
      </c>
      <c r="G74" s="48">
        <f>VLOOKUP(D74,단가!B:D,3,0)</f>
        <v>10500</v>
      </c>
      <c r="H74" s="48">
        <f t="shared" si="5"/>
        <v>52500</v>
      </c>
      <c r="I74" s="48">
        <f t="shared" si="6"/>
        <v>5250</v>
      </c>
      <c r="J74" s="49">
        <f t="shared" si="7"/>
        <v>57750</v>
      </c>
    </row>
    <row r="75" spans="1:12" ht="19" customHeight="1">
      <c r="A75" s="62" t="s">
        <v>814</v>
      </c>
      <c r="C75" s="47" t="s">
        <v>217</v>
      </c>
      <c r="D75" s="47" t="s">
        <v>152</v>
      </c>
      <c r="E75" s="47" t="s">
        <v>60</v>
      </c>
      <c r="F75" s="48">
        <v>5</v>
      </c>
      <c r="G75" s="48">
        <f>VLOOKUP(D75,단가!B:D,3,0)</f>
        <v>10500</v>
      </c>
      <c r="H75" s="48">
        <f t="shared" si="5"/>
        <v>52500</v>
      </c>
      <c r="I75" s="48">
        <f t="shared" si="6"/>
        <v>5250</v>
      </c>
      <c r="J75" s="49">
        <f t="shared" si="7"/>
        <v>57750</v>
      </c>
      <c r="L75" s="56"/>
    </row>
    <row r="76" spans="1:12" ht="19" customHeight="1">
      <c r="A76" s="62" t="s">
        <v>814</v>
      </c>
      <c r="C76" s="47" t="s">
        <v>217</v>
      </c>
      <c r="D76" s="47" t="s">
        <v>149</v>
      </c>
      <c r="E76" s="47" t="s">
        <v>60</v>
      </c>
      <c r="F76" s="48">
        <v>5</v>
      </c>
      <c r="G76" s="48">
        <f>VLOOKUP(D76,단가!B:D,3,0)</f>
        <v>10500</v>
      </c>
      <c r="H76" s="48">
        <f t="shared" si="5"/>
        <v>52500</v>
      </c>
      <c r="I76" s="48">
        <f t="shared" si="6"/>
        <v>5250</v>
      </c>
      <c r="J76" s="49">
        <f t="shared" si="7"/>
        <v>57750</v>
      </c>
      <c r="L76" s="56"/>
    </row>
    <row r="77" spans="1:12" ht="19" customHeight="1">
      <c r="A77" s="62" t="s">
        <v>814</v>
      </c>
      <c r="C77" s="47" t="s">
        <v>217</v>
      </c>
      <c r="D77" s="47" t="s">
        <v>146</v>
      </c>
      <c r="E77" s="47" t="s">
        <v>60</v>
      </c>
      <c r="F77" s="48">
        <v>5</v>
      </c>
      <c r="G77" s="48">
        <f>VLOOKUP(D77,단가!B:D,3,0)</f>
        <v>10500</v>
      </c>
      <c r="H77" s="48">
        <f t="shared" si="5"/>
        <v>52500</v>
      </c>
      <c r="I77" s="48">
        <f t="shared" si="6"/>
        <v>5250</v>
      </c>
      <c r="J77" s="49">
        <f t="shared" si="7"/>
        <v>57750</v>
      </c>
    </row>
    <row r="78" spans="1:12" ht="19" customHeight="1">
      <c r="A78" s="62" t="s">
        <v>815</v>
      </c>
      <c r="C78" s="47" t="s">
        <v>567</v>
      </c>
      <c r="D78" s="47" t="s">
        <v>627</v>
      </c>
      <c r="E78" s="47" t="s">
        <v>57</v>
      </c>
      <c r="F78" s="48">
        <v>3</v>
      </c>
      <c r="G78" s="48">
        <f>VLOOKUP(D78,단가!B:D,3,0)</f>
        <v>25000</v>
      </c>
      <c r="H78" s="48">
        <f t="shared" si="5"/>
        <v>75000</v>
      </c>
      <c r="J78" s="49">
        <f t="shared" si="7"/>
        <v>75000</v>
      </c>
      <c r="L78" s="56"/>
    </row>
    <row r="79" spans="1:12" ht="19" customHeight="1">
      <c r="A79" s="62" t="s">
        <v>816</v>
      </c>
      <c r="C79" s="53" t="s">
        <v>817</v>
      </c>
      <c r="D79" s="47" t="s">
        <v>315</v>
      </c>
      <c r="E79" s="47" t="s">
        <v>57</v>
      </c>
      <c r="F79" s="48">
        <v>2</v>
      </c>
      <c r="G79" s="48">
        <f>VLOOKUP(D79,단가!B:D,3,0)</f>
        <v>32000</v>
      </c>
      <c r="H79" s="48">
        <f t="shared" si="5"/>
        <v>64000</v>
      </c>
      <c r="I79" s="48">
        <f t="shared" si="6"/>
        <v>6400</v>
      </c>
      <c r="J79" s="49">
        <f t="shared" si="7"/>
        <v>70400</v>
      </c>
    </row>
    <row r="80" spans="1:12" ht="19" customHeight="1">
      <c r="A80" s="62" t="s">
        <v>816</v>
      </c>
      <c r="C80" s="47" t="s">
        <v>508</v>
      </c>
      <c r="D80" s="47" t="s">
        <v>315</v>
      </c>
      <c r="E80" s="47" t="s">
        <v>57</v>
      </c>
      <c r="F80" s="48">
        <v>2</v>
      </c>
      <c r="G80" s="48">
        <f>VLOOKUP(D80,단가!B:D,3,0)</f>
        <v>32000</v>
      </c>
      <c r="H80" s="48">
        <f t="shared" si="5"/>
        <v>64000</v>
      </c>
      <c r="I80" s="48">
        <f t="shared" si="6"/>
        <v>6400</v>
      </c>
      <c r="J80" s="49">
        <f t="shared" si="7"/>
        <v>70400</v>
      </c>
    </row>
    <row r="81" spans="1:18" ht="19" customHeight="1">
      <c r="A81" s="62" t="s">
        <v>816</v>
      </c>
      <c r="C81" s="47" t="s">
        <v>126</v>
      </c>
      <c r="D81" s="47" t="s">
        <v>688</v>
      </c>
      <c r="E81" s="47" t="s">
        <v>57</v>
      </c>
      <c r="F81" s="48">
        <v>10</v>
      </c>
      <c r="G81" s="48">
        <f>VLOOKUP(D81,단가!B:D,3,0)</f>
        <v>26000</v>
      </c>
      <c r="H81" s="48">
        <f t="shared" si="5"/>
        <v>260000</v>
      </c>
      <c r="I81" s="48">
        <f t="shared" si="6"/>
        <v>26000</v>
      </c>
      <c r="J81" s="49">
        <f t="shared" si="7"/>
        <v>286000</v>
      </c>
      <c r="L81" s="56"/>
    </row>
    <row r="82" spans="1:18" ht="19" customHeight="1">
      <c r="A82" s="62" t="s">
        <v>816</v>
      </c>
      <c r="C82" s="47" t="s">
        <v>126</v>
      </c>
      <c r="D82" s="47" t="s">
        <v>690</v>
      </c>
      <c r="E82" s="47" t="s">
        <v>131</v>
      </c>
      <c r="F82" s="48">
        <v>1</v>
      </c>
      <c r="G82" s="48">
        <f>VLOOKUP(D82,단가!B:D,3,0)</f>
        <v>15000</v>
      </c>
      <c r="H82" s="48">
        <f t="shared" si="5"/>
        <v>15000</v>
      </c>
      <c r="I82" s="48">
        <f t="shared" si="6"/>
        <v>1500</v>
      </c>
      <c r="J82" s="49">
        <f t="shared" si="7"/>
        <v>16500</v>
      </c>
    </row>
    <row r="83" spans="1:18" ht="19" customHeight="1">
      <c r="A83" s="62" t="s">
        <v>821</v>
      </c>
      <c r="C83" s="47" t="s">
        <v>822</v>
      </c>
      <c r="D83" s="47" t="s">
        <v>688</v>
      </c>
      <c r="E83" s="47" t="s">
        <v>57</v>
      </c>
      <c r="F83" s="48">
        <v>10</v>
      </c>
      <c r="G83" s="48">
        <f>VLOOKUP(D83,단가!B:D,3,0)</f>
        <v>26000</v>
      </c>
      <c r="H83" s="48">
        <f t="shared" si="5"/>
        <v>260000</v>
      </c>
      <c r="I83" s="48">
        <f t="shared" si="6"/>
        <v>26000</v>
      </c>
      <c r="J83" s="49">
        <f t="shared" si="7"/>
        <v>286000</v>
      </c>
    </row>
    <row r="84" spans="1:18" ht="19" customHeight="1">
      <c r="A84" s="62" t="s">
        <v>821</v>
      </c>
      <c r="C84" s="47" t="s">
        <v>822</v>
      </c>
      <c r="D84" s="47" t="s">
        <v>690</v>
      </c>
      <c r="E84" s="47" t="s">
        <v>131</v>
      </c>
      <c r="F84" s="48">
        <v>2</v>
      </c>
      <c r="G84" s="48">
        <f>VLOOKUP(D84,단가!B:D,3,0)</f>
        <v>15000</v>
      </c>
      <c r="H84" s="48">
        <f t="shared" si="5"/>
        <v>30000</v>
      </c>
      <c r="I84" s="48">
        <f t="shared" si="6"/>
        <v>3000</v>
      </c>
      <c r="J84" s="49">
        <f t="shared" si="7"/>
        <v>33000</v>
      </c>
      <c r="L84" s="56"/>
    </row>
    <row r="85" spans="1:18" ht="19" customHeight="1">
      <c r="A85" s="62" t="s">
        <v>821</v>
      </c>
      <c r="C85" s="47" t="s">
        <v>822</v>
      </c>
      <c r="D85" s="47" t="s">
        <v>689</v>
      </c>
      <c r="E85" s="47" t="s">
        <v>131</v>
      </c>
      <c r="F85" s="48">
        <v>1</v>
      </c>
      <c r="G85" s="48">
        <f>VLOOKUP(D85,단가!B:D,3,0)</f>
        <v>11500</v>
      </c>
      <c r="H85" s="48">
        <f t="shared" si="5"/>
        <v>11500</v>
      </c>
      <c r="I85" s="48">
        <f t="shared" si="6"/>
        <v>1150</v>
      </c>
      <c r="J85" s="49">
        <f t="shared" si="7"/>
        <v>12650</v>
      </c>
    </row>
    <row r="86" spans="1:18" ht="19" customHeight="1">
      <c r="A86" s="62" t="s">
        <v>821</v>
      </c>
      <c r="C86" s="47" t="s">
        <v>217</v>
      </c>
      <c r="D86" s="47" t="s">
        <v>627</v>
      </c>
      <c r="E86" s="47" t="s">
        <v>57</v>
      </c>
      <c r="F86" s="48">
        <v>5</v>
      </c>
      <c r="G86" s="48">
        <f>VLOOKUP(D86,단가!B:D,3,0)</f>
        <v>25000</v>
      </c>
      <c r="H86" s="48">
        <f t="shared" si="5"/>
        <v>125000</v>
      </c>
      <c r="I86" s="48">
        <f t="shared" si="6"/>
        <v>12500</v>
      </c>
      <c r="J86" s="49">
        <f t="shared" si="7"/>
        <v>137500</v>
      </c>
    </row>
    <row r="87" spans="1:18" ht="19" customHeight="1">
      <c r="A87" s="62" t="s">
        <v>821</v>
      </c>
      <c r="C87" s="47" t="s">
        <v>217</v>
      </c>
      <c r="D87" s="47" t="s">
        <v>153</v>
      </c>
      <c r="E87" s="47" t="s">
        <v>60</v>
      </c>
      <c r="F87" s="48">
        <v>5</v>
      </c>
      <c r="G87" s="48">
        <f>VLOOKUP(D87,단가!B:D,3,0)</f>
        <v>10500</v>
      </c>
      <c r="H87" s="48">
        <f t="shared" si="5"/>
        <v>52500</v>
      </c>
      <c r="I87" s="48">
        <f t="shared" si="6"/>
        <v>5250</v>
      </c>
      <c r="J87" s="49">
        <f t="shared" si="7"/>
        <v>57750</v>
      </c>
    </row>
    <row r="88" spans="1:18" ht="19" customHeight="1">
      <c r="A88" s="62" t="s">
        <v>821</v>
      </c>
      <c r="C88" s="47" t="s">
        <v>217</v>
      </c>
      <c r="D88" s="47" t="s">
        <v>151</v>
      </c>
      <c r="E88" s="47" t="s">
        <v>60</v>
      </c>
      <c r="F88" s="48">
        <v>5</v>
      </c>
      <c r="G88" s="48">
        <f>VLOOKUP(D88,단가!B:D,3,0)</f>
        <v>10500</v>
      </c>
      <c r="H88" s="48">
        <f t="shared" si="5"/>
        <v>52500</v>
      </c>
      <c r="I88" s="48">
        <f t="shared" si="6"/>
        <v>5250</v>
      </c>
      <c r="J88" s="49">
        <f t="shared" si="7"/>
        <v>57750</v>
      </c>
    </row>
    <row r="89" spans="1:18" ht="19" customHeight="1">
      <c r="A89" s="62" t="s">
        <v>821</v>
      </c>
      <c r="C89" s="47" t="s">
        <v>217</v>
      </c>
      <c r="D89" s="47" t="s">
        <v>150</v>
      </c>
      <c r="E89" s="47" t="s">
        <v>60</v>
      </c>
      <c r="F89" s="48">
        <v>5</v>
      </c>
      <c r="G89" s="48">
        <f>VLOOKUP(D89,단가!B:D,3,0)</f>
        <v>10500</v>
      </c>
      <c r="H89" s="48">
        <f t="shared" si="5"/>
        <v>52500</v>
      </c>
      <c r="I89" s="48">
        <f t="shared" si="6"/>
        <v>5250</v>
      </c>
      <c r="J89" s="49">
        <f t="shared" si="7"/>
        <v>57750</v>
      </c>
    </row>
    <row r="90" spans="1:18" ht="19" customHeight="1">
      <c r="A90" s="62" t="s">
        <v>821</v>
      </c>
      <c r="C90" s="47" t="s">
        <v>217</v>
      </c>
      <c r="D90" s="47" t="s">
        <v>148</v>
      </c>
      <c r="E90" s="47" t="s">
        <v>60</v>
      </c>
      <c r="F90" s="48">
        <v>5</v>
      </c>
      <c r="G90" s="48">
        <f>VLOOKUP(D90,단가!B:D,3,0)</f>
        <v>10500</v>
      </c>
      <c r="H90" s="48">
        <f t="shared" si="5"/>
        <v>52500</v>
      </c>
      <c r="I90" s="48">
        <f t="shared" si="6"/>
        <v>5250</v>
      </c>
      <c r="J90" s="49">
        <f t="shared" si="7"/>
        <v>57750</v>
      </c>
    </row>
    <row r="91" spans="1:18" ht="18.5" customHeight="1">
      <c r="A91" s="62" t="s">
        <v>821</v>
      </c>
      <c r="C91" s="47" t="s">
        <v>217</v>
      </c>
      <c r="D91" s="47" t="s">
        <v>146</v>
      </c>
      <c r="E91" s="47" t="s">
        <v>60</v>
      </c>
      <c r="F91" s="48">
        <v>5</v>
      </c>
      <c r="G91" s="48">
        <f>VLOOKUP(D91,단가!B:D,3,0)</f>
        <v>10500</v>
      </c>
      <c r="H91" s="48">
        <f t="shared" si="5"/>
        <v>52500</v>
      </c>
      <c r="I91" s="48">
        <f t="shared" si="6"/>
        <v>5250</v>
      </c>
      <c r="J91" s="49">
        <f t="shared" si="7"/>
        <v>57750</v>
      </c>
      <c r="R91" s="6"/>
    </row>
    <row r="92" spans="1:18" ht="19" customHeight="1">
      <c r="A92" s="62" t="s">
        <v>821</v>
      </c>
      <c r="C92" s="47" t="s">
        <v>217</v>
      </c>
      <c r="D92" s="47" t="s">
        <v>147</v>
      </c>
      <c r="E92" s="47" t="s">
        <v>60</v>
      </c>
      <c r="F92" s="48">
        <v>5</v>
      </c>
      <c r="G92" s="48">
        <f>VLOOKUP(D92,단가!B:D,3,0)</f>
        <v>10500</v>
      </c>
      <c r="H92" s="48">
        <f t="shared" si="5"/>
        <v>52500</v>
      </c>
      <c r="I92" s="48">
        <f t="shared" si="6"/>
        <v>5250</v>
      </c>
      <c r="J92" s="49">
        <f t="shared" si="7"/>
        <v>57750</v>
      </c>
      <c r="R92" s="6"/>
    </row>
    <row r="93" spans="1:18" ht="19" customHeight="1">
      <c r="A93" s="62" t="s">
        <v>835</v>
      </c>
      <c r="C93" s="47" t="s">
        <v>316</v>
      </c>
      <c r="D93" s="47" t="s">
        <v>405</v>
      </c>
      <c r="F93" s="48">
        <v>1</v>
      </c>
      <c r="G93" s="48">
        <f>VLOOKUP(D93,단가!B:D,3,0)</f>
        <v>30000</v>
      </c>
      <c r="H93" s="48">
        <f t="shared" ref="H93:H104" si="8">F93*G93</f>
        <v>30000</v>
      </c>
      <c r="I93" s="48">
        <f t="shared" ref="I93:I104" si="9">H93*0.1</f>
        <v>3000</v>
      </c>
      <c r="J93" s="49">
        <f t="shared" ref="J93:J104" si="10">H93+I93</f>
        <v>33000</v>
      </c>
      <c r="R93" s="6"/>
    </row>
    <row r="94" spans="1:18" ht="19" customHeight="1">
      <c r="A94" s="62" t="s">
        <v>835</v>
      </c>
      <c r="C94" s="47" t="s">
        <v>375</v>
      </c>
      <c r="D94" s="47" t="s">
        <v>405</v>
      </c>
      <c r="F94" s="48">
        <v>1</v>
      </c>
      <c r="G94" s="48">
        <f>VLOOKUP(D94,단가!B:D,3,0)</f>
        <v>30000</v>
      </c>
      <c r="H94" s="48">
        <f t="shared" si="8"/>
        <v>30000</v>
      </c>
      <c r="I94" s="48">
        <f t="shared" si="9"/>
        <v>3000</v>
      </c>
      <c r="J94" s="49">
        <f t="shared" si="10"/>
        <v>33000</v>
      </c>
      <c r="R94" s="6"/>
    </row>
    <row r="95" spans="1:18" ht="19" customHeight="1">
      <c r="A95" s="62" t="s">
        <v>835</v>
      </c>
      <c r="C95" s="47" t="s">
        <v>826</v>
      </c>
      <c r="D95" s="47" t="s">
        <v>405</v>
      </c>
      <c r="F95" s="48">
        <v>1</v>
      </c>
      <c r="G95" s="48">
        <f>VLOOKUP(D95,단가!B:D,3,0)</f>
        <v>30000</v>
      </c>
      <c r="H95" s="48">
        <f t="shared" si="8"/>
        <v>30000</v>
      </c>
      <c r="I95" s="48">
        <f t="shared" si="9"/>
        <v>3000</v>
      </c>
      <c r="J95" s="49">
        <f t="shared" si="10"/>
        <v>33000</v>
      </c>
      <c r="R95" s="6"/>
    </row>
    <row r="96" spans="1:18" ht="19" customHeight="1">
      <c r="A96" s="62" t="s">
        <v>835</v>
      </c>
      <c r="C96" s="47" t="s">
        <v>827</v>
      </c>
      <c r="D96" s="47" t="s">
        <v>405</v>
      </c>
      <c r="F96" s="48">
        <v>1</v>
      </c>
      <c r="G96" s="48">
        <f>VLOOKUP(D96,단가!B:D,3,0)</f>
        <v>30000</v>
      </c>
      <c r="H96" s="48">
        <f t="shared" si="8"/>
        <v>30000</v>
      </c>
      <c r="I96" s="48">
        <f t="shared" si="9"/>
        <v>3000</v>
      </c>
      <c r="J96" s="49">
        <f t="shared" si="10"/>
        <v>33000</v>
      </c>
      <c r="R96" s="6"/>
    </row>
    <row r="97" spans="1:18" ht="19" customHeight="1">
      <c r="A97" s="62" t="s">
        <v>835</v>
      </c>
      <c r="C97" s="47" t="s">
        <v>828</v>
      </c>
      <c r="D97" s="47" t="s">
        <v>405</v>
      </c>
      <c r="F97" s="48">
        <v>1</v>
      </c>
      <c r="G97" s="48">
        <f>VLOOKUP(D97,단가!B:D,3,0)</f>
        <v>30000</v>
      </c>
      <c r="H97" s="48">
        <f t="shared" si="8"/>
        <v>30000</v>
      </c>
      <c r="I97" s="48">
        <f t="shared" si="9"/>
        <v>3000</v>
      </c>
      <c r="J97" s="49">
        <f t="shared" si="10"/>
        <v>33000</v>
      </c>
      <c r="R97" s="6"/>
    </row>
    <row r="98" spans="1:18" ht="19" customHeight="1">
      <c r="A98" s="62" t="s">
        <v>835</v>
      </c>
      <c r="C98" s="47" t="s">
        <v>479</v>
      </c>
      <c r="D98" s="47" t="s">
        <v>405</v>
      </c>
      <c r="F98" s="48">
        <v>1</v>
      </c>
      <c r="G98" s="48">
        <f>VLOOKUP(D98,단가!B:D,3,0)</f>
        <v>30000</v>
      </c>
      <c r="H98" s="48">
        <f t="shared" si="8"/>
        <v>30000</v>
      </c>
      <c r="I98" s="48">
        <f t="shared" si="9"/>
        <v>3000</v>
      </c>
      <c r="J98" s="49">
        <f t="shared" si="10"/>
        <v>33000</v>
      </c>
      <c r="R98" s="6"/>
    </row>
    <row r="99" spans="1:18" ht="19" customHeight="1">
      <c r="A99" s="62" t="s">
        <v>835</v>
      </c>
      <c r="C99" s="47" t="s">
        <v>829</v>
      </c>
      <c r="D99" s="47" t="s">
        <v>405</v>
      </c>
      <c r="F99" s="48">
        <v>1</v>
      </c>
      <c r="G99" s="48">
        <f>VLOOKUP(D99,단가!B:D,3,0)</f>
        <v>30000</v>
      </c>
      <c r="H99" s="48">
        <f t="shared" si="8"/>
        <v>30000</v>
      </c>
      <c r="I99" s="48">
        <f t="shared" si="9"/>
        <v>3000</v>
      </c>
      <c r="J99" s="49">
        <f t="shared" si="10"/>
        <v>33000</v>
      </c>
      <c r="R99" s="6"/>
    </row>
    <row r="100" spans="1:18" ht="19" customHeight="1">
      <c r="A100" s="62" t="s">
        <v>835</v>
      </c>
      <c r="C100" s="47" t="s">
        <v>830</v>
      </c>
      <c r="D100" s="47" t="s">
        <v>405</v>
      </c>
      <c r="F100" s="48">
        <v>1</v>
      </c>
      <c r="G100" s="48">
        <f>VLOOKUP(D100,단가!B:D,3,0)</f>
        <v>30000</v>
      </c>
      <c r="H100" s="48">
        <f t="shared" si="8"/>
        <v>30000</v>
      </c>
      <c r="I100" s="48">
        <f t="shared" si="9"/>
        <v>3000</v>
      </c>
      <c r="J100" s="49">
        <f t="shared" si="10"/>
        <v>33000</v>
      </c>
      <c r="R100" s="6"/>
    </row>
    <row r="101" spans="1:18" ht="19" customHeight="1">
      <c r="A101" s="62" t="s">
        <v>835</v>
      </c>
      <c r="C101" s="47" t="s">
        <v>831</v>
      </c>
      <c r="D101" s="47" t="s">
        <v>405</v>
      </c>
      <c r="F101" s="48">
        <v>1</v>
      </c>
      <c r="G101" s="48">
        <f>VLOOKUP(D101,단가!B:D,3,0)</f>
        <v>30000</v>
      </c>
      <c r="H101" s="48">
        <f t="shared" si="8"/>
        <v>30000</v>
      </c>
      <c r="I101" s="48">
        <f t="shared" si="9"/>
        <v>3000</v>
      </c>
      <c r="J101" s="49">
        <f t="shared" si="10"/>
        <v>33000</v>
      </c>
      <c r="R101" s="6"/>
    </row>
    <row r="102" spans="1:18" ht="19" customHeight="1">
      <c r="A102" s="62" t="s">
        <v>835</v>
      </c>
      <c r="C102" s="47" t="s">
        <v>832</v>
      </c>
      <c r="D102" s="47" t="s">
        <v>405</v>
      </c>
      <c r="F102" s="48">
        <v>1</v>
      </c>
      <c r="G102" s="48">
        <f>VLOOKUP(D102,단가!B:D,3,0)</f>
        <v>30000</v>
      </c>
      <c r="H102" s="48">
        <f t="shared" si="8"/>
        <v>30000</v>
      </c>
      <c r="I102" s="48">
        <f t="shared" si="9"/>
        <v>3000</v>
      </c>
      <c r="J102" s="49">
        <f t="shared" si="10"/>
        <v>33000</v>
      </c>
      <c r="R102" s="6"/>
    </row>
    <row r="103" spans="1:18" ht="19" customHeight="1">
      <c r="A103" s="62" t="s">
        <v>835</v>
      </c>
      <c r="C103" s="47" t="s">
        <v>833</v>
      </c>
      <c r="D103" s="47" t="s">
        <v>405</v>
      </c>
      <c r="F103" s="48">
        <v>1</v>
      </c>
      <c r="G103" s="48">
        <f>VLOOKUP(D103,단가!B:D,3,0)</f>
        <v>30000</v>
      </c>
      <c r="H103" s="48">
        <f t="shared" si="8"/>
        <v>30000</v>
      </c>
      <c r="I103" s="48">
        <f t="shared" si="9"/>
        <v>3000</v>
      </c>
      <c r="J103" s="49">
        <f t="shared" si="10"/>
        <v>33000</v>
      </c>
      <c r="R103" s="6"/>
    </row>
    <row r="104" spans="1:18" ht="19" customHeight="1">
      <c r="A104" s="62" t="s">
        <v>835</v>
      </c>
      <c r="C104" s="47" t="s">
        <v>798</v>
      </c>
      <c r="D104" s="47" t="s">
        <v>405</v>
      </c>
      <c r="F104" s="48">
        <v>1</v>
      </c>
      <c r="G104" s="48">
        <f>VLOOKUP(D104,단가!B:D,3,0)</f>
        <v>30000</v>
      </c>
      <c r="H104" s="48">
        <f t="shared" si="8"/>
        <v>30000</v>
      </c>
      <c r="I104" s="48">
        <f t="shared" si="9"/>
        <v>3000</v>
      </c>
      <c r="J104" s="49">
        <f t="shared" si="10"/>
        <v>33000</v>
      </c>
      <c r="R104" s="6"/>
    </row>
    <row r="105" spans="1:18" ht="19" customHeight="1">
      <c r="A105" s="62" t="s">
        <v>823</v>
      </c>
      <c r="C105" s="47" t="s">
        <v>834</v>
      </c>
      <c r="D105" s="47" t="s">
        <v>627</v>
      </c>
      <c r="E105" s="47" t="s">
        <v>57</v>
      </c>
      <c r="F105" s="48">
        <v>14</v>
      </c>
      <c r="G105" s="48">
        <v>3500</v>
      </c>
      <c r="H105" s="48">
        <f t="shared" si="5"/>
        <v>49000</v>
      </c>
      <c r="I105" s="48">
        <f t="shared" si="6"/>
        <v>4900</v>
      </c>
      <c r="J105" s="49">
        <f t="shared" si="7"/>
        <v>53900</v>
      </c>
      <c r="R105" s="6"/>
    </row>
    <row r="106" spans="1:18" ht="19" customHeight="1">
      <c r="A106" s="62" t="s">
        <v>824</v>
      </c>
      <c r="C106" s="95" t="s">
        <v>217</v>
      </c>
      <c r="D106" s="47" t="s">
        <v>152</v>
      </c>
      <c r="E106" s="47" t="s">
        <v>60</v>
      </c>
      <c r="F106" s="48">
        <v>5</v>
      </c>
      <c r="G106" s="48">
        <f>VLOOKUP(D106,단가!B:D,3,0)</f>
        <v>10500</v>
      </c>
      <c r="H106" s="48">
        <f t="shared" si="5"/>
        <v>52500</v>
      </c>
      <c r="I106" s="48">
        <f t="shared" si="6"/>
        <v>5250</v>
      </c>
      <c r="J106" s="49">
        <f t="shared" si="7"/>
        <v>57750</v>
      </c>
      <c r="R106" s="6"/>
    </row>
    <row r="107" spans="1:18" ht="19" customHeight="1">
      <c r="A107" s="62" t="s">
        <v>824</v>
      </c>
      <c r="C107" s="47" t="s">
        <v>217</v>
      </c>
      <c r="D107" s="47" t="s">
        <v>149</v>
      </c>
      <c r="E107" s="47" t="s">
        <v>60</v>
      </c>
      <c r="F107" s="48">
        <v>5</v>
      </c>
      <c r="G107" s="48">
        <f>VLOOKUP(D107,단가!B:D,3,0)</f>
        <v>10500</v>
      </c>
      <c r="H107" s="48">
        <f t="shared" si="5"/>
        <v>52500</v>
      </c>
      <c r="I107" s="48">
        <f t="shared" si="6"/>
        <v>5250</v>
      </c>
      <c r="J107" s="49">
        <f t="shared" si="7"/>
        <v>57750</v>
      </c>
      <c r="L107" s="56"/>
      <c r="R107" s="6"/>
    </row>
    <row r="108" spans="1:18" ht="19" customHeight="1">
      <c r="A108" s="62" t="s">
        <v>824</v>
      </c>
      <c r="C108" s="47" t="s">
        <v>217</v>
      </c>
      <c r="D108" s="47" t="s">
        <v>148</v>
      </c>
      <c r="E108" s="47" t="s">
        <v>60</v>
      </c>
      <c r="F108" s="48">
        <v>5</v>
      </c>
      <c r="G108" s="48">
        <f>VLOOKUP(D108,단가!B:D,3,0)</f>
        <v>10500</v>
      </c>
      <c r="H108" s="48">
        <f t="shared" si="5"/>
        <v>52500</v>
      </c>
      <c r="I108" s="48">
        <f t="shared" si="6"/>
        <v>5250</v>
      </c>
      <c r="J108" s="49">
        <f t="shared" si="7"/>
        <v>57750</v>
      </c>
      <c r="R108" s="6"/>
    </row>
    <row r="109" spans="1:18" ht="19" customHeight="1">
      <c r="A109" s="62" t="s">
        <v>824</v>
      </c>
      <c r="C109" s="47" t="s">
        <v>217</v>
      </c>
      <c r="D109" s="47" t="s">
        <v>146</v>
      </c>
      <c r="E109" s="47" t="s">
        <v>60</v>
      </c>
      <c r="F109" s="48">
        <v>5</v>
      </c>
      <c r="G109" s="48">
        <f>VLOOKUP(D109,단가!B:D,3,0)</f>
        <v>10500</v>
      </c>
      <c r="H109" s="48">
        <f t="shared" si="5"/>
        <v>52500</v>
      </c>
      <c r="I109" s="48">
        <f t="shared" si="6"/>
        <v>5250</v>
      </c>
      <c r="J109" s="49">
        <f t="shared" si="7"/>
        <v>57750</v>
      </c>
      <c r="M109" s="56"/>
      <c r="R109" s="6"/>
    </row>
    <row r="110" spans="1:18" ht="19" customHeight="1">
      <c r="A110" s="62" t="s">
        <v>824</v>
      </c>
      <c r="C110" s="47" t="s">
        <v>217</v>
      </c>
      <c r="D110" s="47" t="s">
        <v>147</v>
      </c>
      <c r="E110" s="47" t="s">
        <v>60</v>
      </c>
      <c r="F110" s="48">
        <v>5</v>
      </c>
      <c r="G110" s="48">
        <f>VLOOKUP(D110,단가!B:D,3,0)</f>
        <v>10500</v>
      </c>
      <c r="H110" s="48">
        <f t="shared" si="5"/>
        <v>52500</v>
      </c>
      <c r="I110" s="48">
        <f t="shared" si="6"/>
        <v>5250</v>
      </c>
      <c r="J110" s="49">
        <f t="shared" si="7"/>
        <v>57750</v>
      </c>
      <c r="R110" s="6"/>
    </row>
    <row r="111" spans="1:18" ht="19" customHeight="1">
      <c r="A111" s="62" t="s">
        <v>836</v>
      </c>
      <c r="C111" s="47" t="s">
        <v>837</v>
      </c>
      <c r="D111" s="47" t="s">
        <v>315</v>
      </c>
      <c r="E111" s="47" t="s">
        <v>57</v>
      </c>
      <c r="F111" s="48">
        <v>3</v>
      </c>
      <c r="G111" s="48">
        <f>VLOOKUP(D111,단가!B:D,3,0)</f>
        <v>32000</v>
      </c>
      <c r="H111" s="48">
        <f t="shared" si="5"/>
        <v>96000</v>
      </c>
      <c r="I111" s="48">
        <f t="shared" si="6"/>
        <v>9600</v>
      </c>
      <c r="J111" s="49">
        <f t="shared" si="7"/>
        <v>105600</v>
      </c>
      <c r="R111" s="6"/>
    </row>
    <row r="112" spans="1:18" ht="19" customHeight="1">
      <c r="A112" s="62" t="s">
        <v>838</v>
      </c>
      <c r="C112" s="47" t="s">
        <v>217</v>
      </c>
      <c r="D112" s="47" t="s">
        <v>627</v>
      </c>
      <c r="E112" s="47" t="s">
        <v>57</v>
      </c>
      <c r="F112" s="48">
        <v>5</v>
      </c>
      <c r="G112" s="48">
        <f>VLOOKUP(D112,단가!B:D,3,0)</f>
        <v>25000</v>
      </c>
      <c r="H112" s="48">
        <f t="shared" si="5"/>
        <v>125000</v>
      </c>
      <c r="I112" s="48">
        <f t="shared" si="6"/>
        <v>12500</v>
      </c>
      <c r="J112" s="49">
        <f t="shared" si="7"/>
        <v>137500</v>
      </c>
      <c r="R112" s="6"/>
    </row>
    <row r="113" spans="1:18" ht="19" customHeight="1">
      <c r="A113" s="62" t="s">
        <v>838</v>
      </c>
      <c r="C113" s="47" t="s">
        <v>217</v>
      </c>
      <c r="D113" s="47" t="s">
        <v>154</v>
      </c>
      <c r="E113" s="47" t="s">
        <v>60</v>
      </c>
      <c r="F113" s="48">
        <v>5</v>
      </c>
      <c r="G113" s="48">
        <f>VLOOKUP(D113,단가!B:D,3,0)</f>
        <v>10500</v>
      </c>
      <c r="H113" s="48">
        <f t="shared" si="5"/>
        <v>52500</v>
      </c>
      <c r="I113" s="48">
        <f t="shared" si="6"/>
        <v>5250</v>
      </c>
      <c r="J113" s="49">
        <f t="shared" si="7"/>
        <v>57750</v>
      </c>
      <c r="R113" s="6"/>
    </row>
    <row r="114" spans="1:18" ht="19" customHeight="1">
      <c r="A114" s="62" t="s">
        <v>838</v>
      </c>
      <c r="C114" s="47" t="s">
        <v>217</v>
      </c>
      <c r="D114" s="47" t="s">
        <v>153</v>
      </c>
      <c r="E114" s="47" t="s">
        <v>60</v>
      </c>
      <c r="F114" s="48">
        <v>5</v>
      </c>
      <c r="G114" s="48">
        <f>VLOOKUP(D114,단가!B:D,3,0)</f>
        <v>10500</v>
      </c>
      <c r="H114" s="48">
        <f t="shared" si="5"/>
        <v>52500</v>
      </c>
      <c r="I114" s="48">
        <f t="shared" si="6"/>
        <v>5250</v>
      </c>
      <c r="J114" s="49">
        <f t="shared" si="7"/>
        <v>57750</v>
      </c>
      <c r="R114" s="6"/>
    </row>
    <row r="115" spans="1:18" ht="19" customHeight="1">
      <c r="A115" s="62" t="s">
        <v>838</v>
      </c>
      <c r="C115" s="47" t="s">
        <v>217</v>
      </c>
      <c r="D115" s="47" t="s">
        <v>151</v>
      </c>
      <c r="E115" s="47" t="s">
        <v>60</v>
      </c>
      <c r="F115" s="48">
        <v>5</v>
      </c>
      <c r="G115" s="48">
        <f>VLOOKUP(D115,단가!B:D,3,0)</f>
        <v>10500</v>
      </c>
      <c r="H115" s="48">
        <f t="shared" si="5"/>
        <v>52500</v>
      </c>
      <c r="I115" s="48">
        <f t="shared" si="6"/>
        <v>5250</v>
      </c>
      <c r="J115" s="49">
        <f t="shared" si="7"/>
        <v>57750</v>
      </c>
    </row>
    <row r="116" spans="1:18" ht="19" customHeight="1">
      <c r="A116" s="62" t="s">
        <v>838</v>
      </c>
      <c r="C116" s="47" t="s">
        <v>217</v>
      </c>
      <c r="D116" s="47" t="s">
        <v>150</v>
      </c>
      <c r="E116" s="47" t="s">
        <v>60</v>
      </c>
      <c r="F116" s="48">
        <v>5</v>
      </c>
      <c r="G116" s="48">
        <f>VLOOKUP(D116,단가!B:D,3,0)</f>
        <v>10500</v>
      </c>
      <c r="H116" s="48">
        <f t="shared" si="5"/>
        <v>52500</v>
      </c>
      <c r="I116" s="48">
        <f t="shared" si="6"/>
        <v>5250</v>
      </c>
      <c r="J116" s="49">
        <f t="shared" si="7"/>
        <v>57750</v>
      </c>
      <c r="L116" s="56"/>
    </row>
    <row r="117" spans="1:18" ht="19" customHeight="1">
      <c r="A117" s="62" t="s">
        <v>839</v>
      </c>
      <c r="C117" s="40" t="s">
        <v>394</v>
      </c>
      <c r="D117" s="47" t="s">
        <v>315</v>
      </c>
      <c r="E117" s="47" t="s">
        <v>57</v>
      </c>
      <c r="F117" s="48">
        <v>5</v>
      </c>
      <c r="G117" s="48">
        <f>VLOOKUP(D117,단가!B:D,3,0)</f>
        <v>32000</v>
      </c>
      <c r="H117" s="48">
        <f t="shared" si="5"/>
        <v>160000</v>
      </c>
      <c r="I117" s="48">
        <f t="shared" si="6"/>
        <v>16000</v>
      </c>
      <c r="J117" s="49">
        <f t="shared" si="7"/>
        <v>176000</v>
      </c>
    </row>
    <row r="118" spans="1:18" ht="19" customHeight="1">
      <c r="A118" s="62" t="s">
        <v>840</v>
      </c>
      <c r="C118" s="47" t="s">
        <v>217</v>
      </c>
      <c r="D118" s="47" t="s">
        <v>627</v>
      </c>
      <c r="E118" s="47" t="s">
        <v>57</v>
      </c>
      <c r="F118" s="48">
        <v>3</v>
      </c>
      <c r="G118" s="48">
        <f>VLOOKUP(D118,단가!B:D,3,0)</f>
        <v>25000</v>
      </c>
      <c r="H118" s="48">
        <f t="shared" si="5"/>
        <v>75000</v>
      </c>
      <c r="I118" s="48">
        <f t="shared" si="6"/>
        <v>7500</v>
      </c>
      <c r="J118" s="49">
        <f t="shared" si="7"/>
        <v>82500</v>
      </c>
    </row>
    <row r="119" spans="1:18" ht="19" customHeight="1">
      <c r="A119" s="62" t="s">
        <v>840</v>
      </c>
      <c r="C119" s="47" t="s">
        <v>217</v>
      </c>
      <c r="D119" s="47" t="s">
        <v>152</v>
      </c>
      <c r="E119" s="47" t="s">
        <v>60</v>
      </c>
      <c r="F119" s="48">
        <v>5</v>
      </c>
      <c r="G119" s="48">
        <f>VLOOKUP(D119,단가!B:D,3,0)</f>
        <v>10500</v>
      </c>
      <c r="H119" s="48">
        <f t="shared" si="5"/>
        <v>52500</v>
      </c>
      <c r="I119" s="48">
        <f t="shared" si="6"/>
        <v>5250</v>
      </c>
      <c r="J119" s="49">
        <f t="shared" si="7"/>
        <v>57750</v>
      </c>
    </row>
    <row r="120" spans="1:18" ht="19" customHeight="1">
      <c r="A120" s="62" t="s">
        <v>840</v>
      </c>
      <c r="C120" s="47" t="s">
        <v>217</v>
      </c>
      <c r="D120" s="47" t="s">
        <v>149</v>
      </c>
      <c r="E120" s="47" t="s">
        <v>60</v>
      </c>
      <c r="F120" s="48">
        <v>5</v>
      </c>
      <c r="G120" s="48">
        <f>VLOOKUP(D120,단가!B:D,3,0)</f>
        <v>10500</v>
      </c>
      <c r="H120" s="48">
        <f t="shared" si="5"/>
        <v>52500</v>
      </c>
      <c r="I120" s="48">
        <f t="shared" si="6"/>
        <v>5250</v>
      </c>
      <c r="J120" s="49">
        <f t="shared" si="7"/>
        <v>57750</v>
      </c>
    </row>
    <row r="121" spans="1:18" ht="19" customHeight="1">
      <c r="A121" s="62" t="s">
        <v>840</v>
      </c>
      <c r="C121" s="47" t="s">
        <v>217</v>
      </c>
      <c r="D121" s="47" t="s">
        <v>148</v>
      </c>
      <c r="E121" s="47" t="s">
        <v>60</v>
      </c>
      <c r="F121" s="48">
        <v>5</v>
      </c>
      <c r="G121" s="48">
        <f>VLOOKUP(D121,단가!B:D,3,0)</f>
        <v>10500</v>
      </c>
      <c r="H121" s="48">
        <f t="shared" si="5"/>
        <v>52500</v>
      </c>
      <c r="I121" s="48">
        <f t="shared" si="6"/>
        <v>5250</v>
      </c>
      <c r="J121" s="49">
        <f t="shared" si="7"/>
        <v>57750</v>
      </c>
    </row>
    <row r="122" spans="1:18" ht="19" customHeight="1">
      <c r="A122" s="62" t="s">
        <v>840</v>
      </c>
      <c r="C122" s="47" t="s">
        <v>217</v>
      </c>
      <c r="D122" s="47" t="s">
        <v>146</v>
      </c>
      <c r="E122" s="47" t="s">
        <v>60</v>
      </c>
      <c r="F122" s="48">
        <v>5</v>
      </c>
      <c r="G122" s="48">
        <f>VLOOKUP(D122,단가!B:D,3,0)</f>
        <v>10500</v>
      </c>
      <c r="H122" s="48">
        <f t="shared" si="5"/>
        <v>52500</v>
      </c>
      <c r="I122" s="48">
        <f t="shared" si="6"/>
        <v>5250</v>
      </c>
      <c r="J122" s="49">
        <f t="shared" si="7"/>
        <v>57750</v>
      </c>
      <c r="L122" s="56"/>
    </row>
    <row r="123" spans="1:18" ht="19" customHeight="1">
      <c r="A123" s="62" t="s">
        <v>840</v>
      </c>
      <c r="C123" s="47" t="s">
        <v>217</v>
      </c>
      <c r="D123" s="47" t="s">
        <v>147</v>
      </c>
      <c r="E123" s="47" t="s">
        <v>60</v>
      </c>
      <c r="F123" s="48">
        <v>5</v>
      </c>
      <c r="G123" s="48">
        <f>VLOOKUP(D123,단가!B:D,3,0)</f>
        <v>10500</v>
      </c>
      <c r="H123" s="48">
        <f t="shared" si="5"/>
        <v>52500</v>
      </c>
      <c r="I123" s="48">
        <f t="shared" si="6"/>
        <v>5250</v>
      </c>
      <c r="J123" s="49">
        <f t="shared" si="7"/>
        <v>57750</v>
      </c>
      <c r="L123" s="56"/>
    </row>
    <row r="124" spans="1:18" ht="19" customHeight="1">
      <c r="A124" s="62" t="s">
        <v>841</v>
      </c>
      <c r="C124" s="47" t="s">
        <v>217</v>
      </c>
      <c r="D124" s="47" t="s">
        <v>627</v>
      </c>
      <c r="E124" s="47" t="s">
        <v>57</v>
      </c>
      <c r="F124" s="48">
        <v>3</v>
      </c>
      <c r="G124" s="48">
        <f>VLOOKUP(D124,단가!B:D,3,0)</f>
        <v>25000</v>
      </c>
      <c r="H124" s="48">
        <f t="shared" si="5"/>
        <v>75000</v>
      </c>
      <c r="I124" s="48">
        <f t="shared" si="6"/>
        <v>7500</v>
      </c>
      <c r="J124" s="49">
        <f t="shared" si="7"/>
        <v>82500</v>
      </c>
    </row>
    <row r="125" spans="1:18" ht="19" customHeight="1">
      <c r="A125" s="62" t="s">
        <v>841</v>
      </c>
      <c r="C125" s="47" t="s">
        <v>217</v>
      </c>
      <c r="D125" s="47" t="s">
        <v>153</v>
      </c>
      <c r="E125" s="47" t="s">
        <v>60</v>
      </c>
      <c r="F125" s="48">
        <v>5</v>
      </c>
      <c r="G125" s="48">
        <f>VLOOKUP(D125,단가!B:D,3,0)</f>
        <v>10500</v>
      </c>
      <c r="H125" s="48">
        <f t="shared" si="5"/>
        <v>52500</v>
      </c>
      <c r="I125" s="48">
        <f t="shared" si="6"/>
        <v>5250</v>
      </c>
      <c r="J125" s="49">
        <f t="shared" si="7"/>
        <v>57750</v>
      </c>
    </row>
    <row r="126" spans="1:18" ht="19" customHeight="1">
      <c r="A126" s="62" t="s">
        <v>841</v>
      </c>
      <c r="C126" s="47" t="s">
        <v>217</v>
      </c>
      <c r="D126" s="47" t="s">
        <v>151</v>
      </c>
      <c r="E126" s="47" t="s">
        <v>60</v>
      </c>
      <c r="F126" s="48">
        <v>5</v>
      </c>
      <c r="G126" s="48">
        <f>VLOOKUP(D126,단가!B:D,3,0)</f>
        <v>10500</v>
      </c>
      <c r="H126" s="48">
        <f t="shared" si="5"/>
        <v>52500</v>
      </c>
      <c r="I126" s="48">
        <f t="shared" si="6"/>
        <v>5250</v>
      </c>
      <c r="J126" s="49">
        <f t="shared" si="7"/>
        <v>57750</v>
      </c>
    </row>
    <row r="127" spans="1:18" ht="19" customHeight="1">
      <c r="A127" s="62" t="s">
        <v>841</v>
      </c>
      <c r="C127" s="47" t="s">
        <v>217</v>
      </c>
      <c r="D127" s="47" t="s">
        <v>150</v>
      </c>
      <c r="E127" s="47" t="s">
        <v>60</v>
      </c>
      <c r="F127" s="48">
        <v>5</v>
      </c>
      <c r="G127" s="48">
        <f>VLOOKUP(D127,단가!B:D,3,0)</f>
        <v>10500</v>
      </c>
      <c r="H127" s="48">
        <f t="shared" si="5"/>
        <v>52500</v>
      </c>
      <c r="I127" s="48">
        <f t="shared" si="6"/>
        <v>5250</v>
      </c>
      <c r="J127" s="49">
        <f t="shared" si="7"/>
        <v>57750</v>
      </c>
    </row>
    <row r="128" spans="1:18" ht="19" customHeight="1">
      <c r="A128" s="62" t="s">
        <v>843</v>
      </c>
      <c r="C128" s="47" t="s">
        <v>217</v>
      </c>
      <c r="D128" s="47" t="s">
        <v>627</v>
      </c>
      <c r="E128" s="47" t="s">
        <v>57</v>
      </c>
      <c r="F128" s="48">
        <v>5</v>
      </c>
      <c r="G128" s="48">
        <f>VLOOKUP(D128,단가!B:D,3,0)</f>
        <v>25000</v>
      </c>
      <c r="H128" s="48">
        <f t="shared" si="5"/>
        <v>125000</v>
      </c>
      <c r="I128" s="48">
        <f t="shared" si="6"/>
        <v>12500</v>
      </c>
      <c r="J128" s="49">
        <f t="shared" si="7"/>
        <v>137500</v>
      </c>
    </row>
    <row r="129" spans="1:10" ht="19" customHeight="1">
      <c r="A129" s="62" t="s">
        <v>842</v>
      </c>
      <c r="C129" s="47" t="s">
        <v>844</v>
      </c>
      <c r="D129" s="47" t="s">
        <v>688</v>
      </c>
      <c r="E129" s="47" t="s">
        <v>57</v>
      </c>
      <c r="F129" s="48">
        <v>10</v>
      </c>
      <c r="G129" s="48">
        <f>VLOOKUP(D129,단가!B:D,3,0)</f>
        <v>26000</v>
      </c>
      <c r="H129" s="48">
        <f t="shared" si="5"/>
        <v>260000</v>
      </c>
      <c r="I129" s="48">
        <f t="shared" si="6"/>
        <v>26000</v>
      </c>
      <c r="J129" s="49">
        <f t="shared" si="7"/>
        <v>286000</v>
      </c>
    </row>
    <row r="130" spans="1:10" ht="19" customHeight="1">
      <c r="A130" s="62" t="s">
        <v>845</v>
      </c>
      <c r="C130" s="47" t="s">
        <v>217</v>
      </c>
      <c r="D130" s="47" t="s">
        <v>627</v>
      </c>
      <c r="E130" s="47" t="s">
        <v>57</v>
      </c>
      <c r="F130" s="48">
        <v>3</v>
      </c>
      <c r="G130" s="48">
        <f>VLOOKUP(D130,단가!B:D,3,0)</f>
        <v>25000</v>
      </c>
      <c r="H130" s="48">
        <f t="shared" si="5"/>
        <v>75000</v>
      </c>
      <c r="I130" s="48">
        <f t="shared" si="6"/>
        <v>7500</v>
      </c>
      <c r="J130" s="49">
        <f t="shared" si="7"/>
        <v>82500</v>
      </c>
    </row>
    <row r="131" spans="1:10" ht="19" customHeight="1">
      <c r="A131" s="62" t="s">
        <v>845</v>
      </c>
      <c r="C131" s="47" t="s">
        <v>217</v>
      </c>
      <c r="D131" s="47" t="s">
        <v>154</v>
      </c>
      <c r="E131" s="47" t="s">
        <v>60</v>
      </c>
      <c r="F131" s="48">
        <v>5</v>
      </c>
      <c r="G131" s="48">
        <f>VLOOKUP(D131,단가!B:D,3,0)</f>
        <v>10500</v>
      </c>
      <c r="H131" s="48">
        <f t="shared" si="5"/>
        <v>52500</v>
      </c>
      <c r="I131" s="48">
        <f t="shared" si="6"/>
        <v>5250</v>
      </c>
      <c r="J131" s="49">
        <f t="shared" si="7"/>
        <v>57750</v>
      </c>
    </row>
    <row r="132" spans="1:10" ht="19" customHeight="1">
      <c r="A132" s="62" t="s">
        <v>845</v>
      </c>
      <c r="C132" s="47" t="s">
        <v>217</v>
      </c>
      <c r="D132" s="47" t="s">
        <v>149</v>
      </c>
      <c r="E132" s="47" t="s">
        <v>60</v>
      </c>
      <c r="F132" s="48">
        <v>5</v>
      </c>
      <c r="G132" s="48">
        <f>VLOOKUP(D132,단가!B:D,3,0)</f>
        <v>10500</v>
      </c>
      <c r="H132" s="48">
        <f t="shared" si="5"/>
        <v>52500</v>
      </c>
      <c r="I132" s="48">
        <f t="shared" si="6"/>
        <v>5250</v>
      </c>
      <c r="J132" s="49">
        <f t="shared" si="7"/>
        <v>57750</v>
      </c>
    </row>
    <row r="133" spans="1:10" ht="19" customHeight="1">
      <c r="A133" s="62" t="s">
        <v>845</v>
      </c>
      <c r="C133" s="47" t="s">
        <v>217</v>
      </c>
      <c r="D133" s="47" t="s">
        <v>148</v>
      </c>
      <c r="E133" s="47" t="s">
        <v>60</v>
      </c>
      <c r="F133" s="48">
        <v>5</v>
      </c>
      <c r="G133" s="48">
        <f>VLOOKUP(D133,단가!B:D,3,0)</f>
        <v>10500</v>
      </c>
      <c r="H133" s="48">
        <f t="shared" si="5"/>
        <v>52500</v>
      </c>
      <c r="I133" s="48">
        <f t="shared" si="6"/>
        <v>5250</v>
      </c>
      <c r="J133" s="49">
        <f t="shared" si="7"/>
        <v>57750</v>
      </c>
    </row>
    <row r="134" spans="1:10" ht="19" customHeight="1">
      <c r="A134" s="62" t="s">
        <v>845</v>
      </c>
      <c r="C134" s="47" t="s">
        <v>217</v>
      </c>
      <c r="D134" s="47" t="s">
        <v>146</v>
      </c>
      <c r="E134" s="47" t="s">
        <v>60</v>
      </c>
      <c r="F134" s="48">
        <v>5</v>
      </c>
      <c r="G134" s="48">
        <f>VLOOKUP(D134,단가!B:D,3,0)</f>
        <v>10500</v>
      </c>
      <c r="H134" s="48">
        <f t="shared" si="5"/>
        <v>52500</v>
      </c>
      <c r="I134" s="48">
        <f t="shared" si="6"/>
        <v>5250</v>
      </c>
      <c r="J134" s="49">
        <f t="shared" si="7"/>
        <v>57750</v>
      </c>
    </row>
    <row r="135" spans="1:10" ht="19" customHeight="1">
      <c r="A135" s="62" t="s">
        <v>846</v>
      </c>
      <c r="C135" s="47" t="s">
        <v>217</v>
      </c>
      <c r="D135" s="47" t="s">
        <v>627</v>
      </c>
      <c r="E135" s="47" t="s">
        <v>57</v>
      </c>
      <c r="F135" s="48">
        <v>6</v>
      </c>
      <c r="G135" s="48">
        <f>VLOOKUP(D135,단가!B:D,3,0)</f>
        <v>25000</v>
      </c>
      <c r="H135" s="48">
        <f t="shared" si="5"/>
        <v>150000</v>
      </c>
      <c r="I135" s="48">
        <f t="shared" si="6"/>
        <v>15000</v>
      </c>
      <c r="J135" s="49">
        <f t="shared" si="7"/>
        <v>165000</v>
      </c>
    </row>
    <row r="136" spans="1:10" ht="19" customHeight="1">
      <c r="A136" s="62" t="s">
        <v>846</v>
      </c>
      <c r="C136" s="47" t="s">
        <v>217</v>
      </c>
      <c r="D136" s="47" t="s">
        <v>153</v>
      </c>
      <c r="E136" s="47" t="s">
        <v>60</v>
      </c>
      <c r="F136" s="48">
        <v>5</v>
      </c>
      <c r="G136" s="48">
        <f>VLOOKUP(D136,단가!B:D,3,0)</f>
        <v>10500</v>
      </c>
      <c r="H136" s="48">
        <f t="shared" si="5"/>
        <v>52500</v>
      </c>
      <c r="I136" s="48">
        <f t="shared" si="6"/>
        <v>5250</v>
      </c>
      <c r="J136" s="49">
        <f t="shared" si="7"/>
        <v>57750</v>
      </c>
    </row>
    <row r="137" spans="1:10" ht="19" customHeight="1">
      <c r="A137" s="62" t="s">
        <v>846</v>
      </c>
      <c r="C137" s="47" t="s">
        <v>217</v>
      </c>
      <c r="D137" s="47" t="s">
        <v>151</v>
      </c>
      <c r="E137" s="47" t="s">
        <v>60</v>
      </c>
      <c r="F137" s="48">
        <v>5</v>
      </c>
      <c r="G137" s="48">
        <f>VLOOKUP(D137,단가!B:D,3,0)</f>
        <v>10500</v>
      </c>
      <c r="H137" s="48">
        <f t="shared" si="5"/>
        <v>52500</v>
      </c>
      <c r="I137" s="48">
        <f t="shared" si="6"/>
        <v>5250</v>
      </c>
      <c r="J137" s="49">
        <f t="shared" si="7"/>
        <v>57750</v>
      </c>
    </row>
    <row r="138" spans="1:10" ht="19" customHeight="1">
      <c r="A138" s="62" t="s">
        <v>846</v>
      </c>
      <c r="C138" s="47" t="s">
        <v>217</v>
      </c>
      <c r="D138" s="47" t="s">
        <v>152</v>
      </c>
      <c r="E138" s="47" t="s">
        <v>60</v>
      </c>
      <c r="F138" s="48">
        <v>5</v>
      </c>
      <c r="G138" s="48">
        <f>VLOOKUP(D138,단가!B:D,3,0)</f>
        <v>10500</v>
      </c>
      <c r="H138" s="48">
        <f t="shared" si="5"/>
        <v>52500</v>
      </c>
      <c r="I138" s="48">
        <f t="shared" si="6"/>
        <v>5250</v>
      </c>
      <c r="J138" s="49">
        <f t="shared" si="7"/>
        <v>57750</v>
      </c>
    </row>
    <row r="139" spans="1:10" ht="19" customHeight="1">
      <c r="A139" s="62" t="s">
        <v>846</v>
      </c>
      <c r="C139" s="47" t="s">
        <v>217</v>
      </c>
      <c r="D139" s="47" t="s">
        <v>147</v>
      </c>
      <c r="E139" s="47" t="s">
        <v>60</v>
      </c>
      <c r="F139" s="48">
        <v>5</v>
      </c>
      <c r="G139" s="48">
        <f>VLOOKUP(D139,단가!B:D,3,0)</f>
        <v>10500</v>
      </c>
      <c r="H139" s="48">
        <f t="shared" si="5"/>
        <v>52500</v>
      </c>
      <c r="I139" s="48">
        <f t="shared" si="6"/>
        <v>5250</v>
      </c>
      <c r="J139" s="49">
        <f t="shared" si="7"/>
        <v>57750</v>
      </c>
    </row>
    <row r="140" spans="1:10" ht="19" customHeight="1">
      <c r="A140" s="62" t="s">
        <v>847</v>
      </c>
      <c r="C140" s="40" t="s">
        <v>483</v>
      </c>
      <c r="D140" s="47" t="s">
        <v>315</v>
      </c>
      <c r="E140" s="47" t="s">
        <v>57</v>
      </c>
      <c r="F140" s="48">
        <v>2</v>
      </c>
      <c r="G140" s="48">
        <f>VLOOKUP(D140,단가!B:D,3,0)</f>
        <v>32000</v>
      </c>
      <c r="H140" s="48">
        <f t="shared" si="5"/>
        <v>64000</v>
      </c>
      <c r="I140" s="48">
        <f t="shared" si="6"/>
        <v>6400</v>
      </c>
      <c r="J140" s="49">
        <f t="shared" si="7"/>
        <v>70400</v>
      </c>
    </row>
    <row r="141" spans="1:10" ht="19" customHeight="1">
      <c r="A141" s="62" t="s">
        <v>848</v>
      </c>
      <c r="C141" s="40" t="s">
        <v>480</v>
      </c>
      <c r="D141" s="47" t="s">
        <v>315</v>
      </c>
      <c r="E141" s="47" t="s">
        <v>57</v>
      </c>
      <c r="F141" s="48">
        <v>3</v>
      </c>
      <c r="G141" s="48">
        <f>VLOOKUP(D141,단가!B:D,3,0)</f>
        <v>32000</v>
      </c>
      <c r="H141" s="48">
        <f t="shared" si="5"/>
        <v>96000</v>
      </c>
      <c r="I141" s="48">
        <f t="shared" si="6"/>
        <v>9600</v>
      </c>
      <c r="J141" s="49">
        <f t="shared" si="7"/>
        <v>105600</v>
      </c>
    </row>
    <row r="142" spans="1:10" ht="19" customHeight="1">
      <c r="A142" s="62" t="s">
        <v>848</v>
      </c>
      <c r="C142" s="47" t="s">
        <v>217</v>
      </c>
      <c r="D142" s="47" t="s">
        <v>627</v>
      </c>
      <c r="E142" s="47" t="s">
        <v>57</v>
      </c>
      <c r="F142" s="48">
        <v>2</v>
      </c>
      <c r="G142" s="48">
        <f>VLOOKUP(D142,단가!B:D,3,0)</f>
        <v>25000</v>
      </c>
      <c r="H142" s="48">
        <f t="shared" si="5"/>
        <v>50000</v>
      </c>
      <c r="I142" s="48">
        <f t="shared" si="6"/>
        <v>5000</v>
      </c>
      <c r="J142" s="49">
        <f t="shared" si="7"/>
        <v>55000</v>
      </c>
    </row>
    <row r="143" spans="1:10" ht="19" customHeight="1">
      <c r="A143" s="62" t="s">
        <v>848</v>
      </c>
      <c r="C143" s="47" t="s">
        <v>217</v>
      </c>
      <c r="D143" s="47" t="s">
        <v>150</v>
      </c>
      <c r="E143" s="47" t="s">
        <v>60</v>
      </c>
      <c r="F143" s="48">
        <v>5</v>
      </c>
      <c r="G143" s="48">
        <f>VLOOKUP(D143,단가!B:D,3,0)</f>
        <v>10500</v>
      </c>
      <c r="H143" s="48">
        <f t="shared" si="5"/>
        <v>52500</v>
      </c>
      <c r="I143" s="48">
        <f t="shared" si="6"/>
        <v>5250</v>
      </c>
      <c r="J143" s="49">
        <f t="shared" si="7"/>
        <v>57750</v>
      </c>
    </row>
    <row r="144" spans="1:10" ht="19" customHeight="1">
      <c r="A144" s="62" t="s">
        <v>848</v>
      </c>
      <c r="C144" s="47" t="s">
        <v>217</v>
      </c>
      <c r="D144" s="47" t="s">
        <v>148</v>
      </c>
      <c r="E144" s="47" t="s">
        <v>60</v>
      </c>
      <c r="F144" s="48">
        <v>5</v>
      </c>
      <c r="G144" s="48">
        <f>VLOOKUP(D144,단가!B:D,3,0)</f>
        <v>10500</v>
      </c>
      <c r="H144" s="48">
        <f t="shared" si="5"/>
        <v>52500</v>
      </c>
      <c r="I144" s="48">
        <f t="shared" si="6"/>
        <v>5250</v>
      </c>
      <c r="J144" s="49">
        <f t="shared" si="7"/>
        <v>57750</v>
      </c>
    </row>
    <row r="145" spans="1:14" ht="19" customHeight="1">
      <c r="A145" s="62" t="s">
        <v>849</v>
      </c>
      <c r="C145" s="47" t="s">
        <v>567</v>
      </c>
      <c r="D145" s="47" t="s">
        <v>627</v>
      </c>
      <c r="E145" s="47" t="s">
        <v>57</v>
      </c>
      <c r="F145" s="48">
        <v>3</v>
      </c>
      <c r="G145" s="48">
        <f>VLOOKUP(D145,단가!B:D,3,0)</f>
        <v>25000</v>
      </c>
      <c r="H145" s="48">
        <f t="shared" si="5"/>
        <v>75000</v>
      </c>
      <c r="J145" s="49">
        <f t="shared" si="7"/>
        <v>75000</v>
      </c>
      <c r="N145" s="56"/>
    </row>
    <row r="146" spans="1:14" ht="19" customHeight="1">
      <c r="A146" s="62" t="s">
        <v>850</v>
      </c>
      <c r="C146" s="47" t="s">
        <v>126</v>
      </c>
      <c r="D146" s="47" t="s">
        <v>688</v>
      </c>
      <c r="E146" s="47" t="s">
        <v>57</v>
      </c>
      <c r="F146" s="48">
        <v>10</v>
      </c>
      <c r="G146" s="48">
        <f>VLOOKUP(D146,단가!B:D,3,0)</f>
        <v>26000</v>
      </c>
      <c r="H146" s="48">
        <f t="shared" si="5"/>
        <v>260000</v>
      </c>
      <c r="I146" s="48">
        <f t="shared" si="6"/>
        <v>26000</v>
      </c>
      <c r="J146" s="49">
        <f t="shared" si="7"/>
        <v>286000</v>
      </c>
    </row>
    <row r="147" spans="1:14" ht="19" customHeight="1">
      <c r="A147" s="62" t="s">
        <v>850</v>
      </c>
      <c r="C147" s="47" t="s">
        <v>126</v>
      </c>
      <c r="D147" s="47" t="s">
        <v>690</v>
      </c>
      <c r="E147" s="47" t="s">
        <v>131</v>
      </c>
      <c r="F147" s="48">
        <v>1</v>
      </c>
      <c r="G147" s="48">
        <f>VLOOKUP(D147,단가!B:D,3,0)</f>
        <v>15000</v>
      </c>
      <c r="H147" s="48">
        <f t="shared" si="5"/>
        <v>15000</v>
      </c>
      <c r="I147" s="48">
        <f t="shared" si="6"/>
        <v>1500</v>
      </c>
      <c r="J147" s="49">
        <f t="shared" si="7"/>
        <v>16500</v>
      </c>
    </row>
    <row r="148" spans="1:14" ht="19" customHeight="1">
      <c r="A148" s="62" t="s">
        <v>851</v>
      </c>
      <c r="C148" s="47" t="s">
        <v>217</v>
      </c>
      <c r="D148" s="47" t="s">
        <v>627</v>
      </c>
      <c r="E148" s="47" t="s">
        <v>57</v>
      </c>
      <c r="F148" s="48">
        <v>4</v>
      </c>
      <c r="G148" s="48">
        <f>VLOOKUP(D148,단가!B:D,3,0)</f>
        <v>25000</v>
      </c>
      <c r="H148" s="48">
        <f t="shared" si="5"/>
        <v>100000</v>
      </c>
      <c r="I148" s="48">
        <f t="shared" si="6"/>
        <v>10000</v>
      </c>
      <c r="J148" s="49">
        <f t="shared" si="7"/>
        <v>110000</v>
      </c>
    </row>
    <row r="149" spans="1:14" ht="19" customHeight="1">
      <c r="A149" s="62" t="s">
        <v>851</v>
      </c>
      <c r="C149" s="47" t="s">
        <v>217</v>
      </c>
      <c r="D149" s="47" t="s">
        <v>152</v>
      </c>
      <c r="E149" s="47" t="s">
        <v>60</v>
      </c>
      <c r="F149" s="48">
        <v>5</v>
      </c>
      <c r="G149" s="48">
        <f>VLOOKUP(D149,단가!B:D,3,0)</f>
        <v>10500</v>
      </c>
      <c r="H149" s="48">
        <f t="shared" si="5"/>
        <v>52500</v>
      </c>
      <c r="I149" s="48">
        <f t="shared" si="6"/>
        <v>5250</v>
      </c>
      <c r="J149" s="49">
        <f t="shared" si="7"/>
        <v>57750</v>
      </c>
    </row>
    <row r="150" spans="1:14" ht="19" customHeight="1">
      <c r="A150" s="62" t="s">
        <v>851</v>
      </c>
      <c r="C150" s="47" t="s">
        <v>217</v>
      </c>
      <c r="D150" s="47" t="s">
        <v>149</v>
      </c>
      <c r="E150" s="47" t="s">
        <v>60</v>
      </c>
      <c r="F150" s="48">
        <v>5</v>
      </c>
      <c r="G150" s="48">
        <f>VLOOKUP(D150,단가!B:D,3,0)</f>
        <v>10500</v>
      </c>
      <c r="H150" s="48">
        <f t="shared" si="5"/>
        <v>52500</v>
      </c>
      <c r="I150" s="48">
        <f t="shared" si="6"/>
        <v>5250</v>
      </c>
      <c r="J150" s="49">
        <f t="shared" si="7"/>
        <v>57750</v>
      </c>
    </row>
    <row r="151" spans="1:14" ht="19" customHeight="1">
      <c r="A151" s="62" t="s">
        <v>851</v>
      </c>
      <c r="C151" s="47" t="s">
        <v>217</v>
      </c>
      <c r="D151" s="47" t="s">
        <v>148</v>
      </c>
      <c r="E151" s="47" t="s">
        <v>60</v>
      </c>
      <c r="F151" s="48">
        <v>5</v>
      </c>
      <c r="G151" s="48">
        <f>VLOOKUP(D151,단가!B:D,3,0)</f>
        <v>10500</v>
      </c>
      <c r="H151" s="48">
        <f t="shared" si="5"/>
        <v>52500</v>
      </c>
      <c r="I151" s="48">
        <f t="shared" si="6"/>
        <v>5250</v>
      </c>
      <c r="J151" s="49">
        <f t="shared" si="7"/>
        <v>57750</v>
      </c>
    </row>
    <row r="152" spans="1:14" ht="19" customHeight="1">
      <c r="A152" s="62" t="s">
        <v>851</v>
      </c>
      <c r="C152" s="47" t="s">
        <v>217</v>
      </c>
      <c r="D152" s="47" t="s">
        <v>146</v>
      </c>
      <c r="E152" s="47" t="s">
        <v>60</v>
      </c>
      <c r="F152" s="48">
        <v>5</v>
      </c>
      <c r="G152" s="48">
        <f>VLOOKUP(D152,단가!B:D,3,0)</f>
        <v>10500</v>
      </c>
      <c r="H152" s="48">
        <f t="shared" si="5"/>
        <v>52500</v>
      </c>
      <c r="I152" s="48">
        <f t="shared" si="6"/>
        <v>5250</v>
      </c>
      <c r="J152" s="49">
        <f t="shared" si="7"/>
        <v>57750</v>
      </c>
    </row>
    <row r="153" spans="1:14" ht="19" customHeight="1">
      <c r="A153" s="62" t="s">
        <v>851</v>
      </c>
      <c r="C153" s="47" t="s">
        <v>217</v>
      </c>
      <c r="D153" s="47" t="s">
        <v>147</v>
      </c>
      <c r="E153" s="47" t="s">
        <v>60</v>
      </c>
      <c r="F153" s="48">
        <v>5</v>
      </c>
      <c r="G153" s="48">
        <f>VLOOKUP(D153,단가!B:D,3,0)</f>
        <v>10500</v>
      </c>
      <c r="H153" s="48">
        <f t="shared" si="5"/>
        <v>52500</v>
      </c>
      <c r="I153" s="48">
        <f t="shared" si="6"/>
        <v>5250</v>
      </c>
      <c r="J153" s="49">
        <f t="shared" si="7"/>
        <v>57750</v>
      </c>
    </row>
    <row r="154" spans="1:14" ht="19" customHeight="1">
      <c r="A154" s="62" t="s">
        <v>852</v>
      </c>
      <c r="C154" s="47" t="s">
        <v>854</v>
      </c>
      <c r="D154" s="47" t="s">
        <v>302</v>
      </c>
      <c r="E154" s="47" t="s">
        <v>57</v>
      </c>
      <c r="F154" s="48">
        <v>10</v>
      </c>
      <c r="G154" s="48">
        <f>VLOOKUP(D154,단가!B:D,3,0)</f>
        <v>22000</v>
      </c>
      <c r="H154" s="48">
        <f t="shared" si="5"/>
        <v>220000</v>
      </c>
      <c r="I154" s="48">
        <f t="shared" si="6"/>
        <v>22000</v>
      </c>
      <c r="J154" s="49">
        <f t="shared" ref="J154:J227" si="11">H154+I154</f>
        <v>242000</v>
      </c>
    </row>
    <row r="155" spans="1:14" ht="19" customHeight="1">
      <c r="A155" s="62"/>
      <c r="G155" s="48" t="e">
        <f>VLOOKUP(D155,단가!B:D,3,0)</f>
        <v>#N/A</v>
      </c>
      <c r="H155" s="48" t="e">
        <f t="shared" ref="H155:H228" si="12">F155*G155</f>
        <v>#N/A</v>
      </c>
      <c r="I155" s="48" t="e">
        <f t="shared" ref="I155:I228" si="13">H155*0.1</f>
        <v>#N/A</v>
      </c>
      <c r="J155" s="49" t="e">
        <f t="shared" si="11"/>
        <v>#N/A</v>
      </c>
    </row>
    <row r="156" spans="1:14" ht="19" customHeight="1">
      <c r="A156" s="62"/>
      <c r="G156" s="48" t="e">
        <f>VLOOKUP(D156,단가!B:D,3,0)</f>
        <v>#N/A</v>
      </c>
      <c r="H156" s="48" t="e">
        <f t="shared" si="12"/>
        <v>#N/A</v>
      </c>
      <c r="I156" s="48" t="e">
        <f t="shared" si="13"/>
        <v>#N/A</v>
      </c>
      <c r="J156" s="49" t="e">
        <f t="shared" si="11"/>
        <v>#N/A</v>
      </c>
    </row>
    <row r="157" spans="1:14" ht="19" customHeight="1">
      <c r="A157" s="62"/>
      <c r="G157" s="48" t="e">
        <f>VLOOKUP(D157,단가!B:D,3,0)</f>
        <v>#N/A</v>
      </c>
      <c r="H157" s="48" t="e">
        <f t="shared" si="12"/>
        <v>#N/A</v>
      </c>
      <c r="I157" s="48" t="e">
        <f t="shared" si="13"/>
        <v>#N/A</v>
      </c>
      <c r="J157" s="49" t="e">
        <f t="shared" si="11"/>
        <v>#N/A</v>
      </c>
    </row>
    <row r="158" spans="1:14" ht="19" customHeight="1">
      <c r="A158" s="62"/>
      <c r="G158" s="48" t="e">
        <f>VLOOKUP(D158,단가!B:D,3,0)</f>
        <v>#N/A</v>
      </c>
      <c r="H158" s="48" t="e">
        <f t="shared" si="12"/>
        <v>#N/A</v>
      </c>
      <c r="I158" s="48" t="e">
        <f t="shared" si="13"/>
        <v>#N/A</v>
      </c>
      <c r="J158" s="49" t="e">
        <f t="shared" si="11"/>
        <v>#N/A</v>
      </c>
      <c r="K158" s="48"/>
    </row>
    <row r="159" spans="1:14" ht="19" customHeight="1">
      <c r="A159" s="62"/>
      <c r="G159" s="48" t="e">
        <f>VLOOKUP(D159,단가!B:D,3,0)</f>
        <v>#N/A</v>
      </c>
      <c r="H159" s="48" t="e">
        <f t="shared" si="12"/>
        <v>#N/A</v>
      </c>
      <c r="I159" s="48" t="e">
        <f t="shared" si="13"/>
        <v>#N/A</v>
      </c>
      <c r="J159" s="49" t="e">
        <f t="shared" si="11"/>
        <v>#N/A</v>
      </c>
    </row>
    <row r="160" spans="1:14" ht="19" customHeight="1">
      <c r="A160" s="62"/>
      <c r="G160" s="48" t="e">
        <f>VLOOKUP(D160,단가!B:D,3,0)</f>
        <v>#N/A</v>
      </c>
      <c r="H160" s="48" t="e">
        <f t="shared" si="12"/>
        <v>#N/A</v>
      </c>
      <c r="I160" s="48" t="e">
        <f t="shared" si="13"/>
        <v>#N/A</v>
      </c>
      <c r="J160" s="49" t="e">
        <f t="shared" si="11"/>
        <v>#N/A</v>
      </c>
    </row>
    <row r="161" spans="1:12" ht="19" customHeight="1">
      <c r="A161" s="62"/>
      <c r="G161" s="48" t="e">
        <f>VLOOKUP(D161,단가!B:D,3,0)</f>
        <v>#N/A</v>
      </c>
      <c r="H161" s="48" t="e">
        <f t="shared" si="12"/>
        <v>#N/A</v>
      </c>
      <c r="I161" s="48" t="e">
        <f t="shared" si="13"/>
        <v>#N/A</v>
      </c>
      <c r="J161" s="49" t="e">
        <f t="shared" si="11"/>
        <v>#N/A</v>
      </c>
    </row>
    <row r="162" spans="1:12" ht="19" customHeight="1">
      <c r="A162" s="62"/>
      <c r="G162" s="48" t="e">
        <f>VLOOKUP(D162,단가!B:D,3,0)</f>
        <v>#N/A</v>
      </c>
      <c r="H162" s="48" t="e">
        <f t="shared" si="12"/>
        <v>#N/A</v>
      </c>
      <c r="I162" s="48" t="e">
        <f t="shared" si="13"/>
        <v>#N/A</v>
      </c>
      <c r="J162" s="49" t="e">
        <f t="shared" si="11"/>
        <v>#N/A</v>
      </c>
    </row>
    <row r="163" spans="1:12" ht="19" customHeight="1">
      <c r="A163" s="62"/>
      <c r="G163" s="48" t="e">
        <f>VLOOKUP(D163,단가!B:D,3,0)</f>
        <v>#N/A</v>
      </c>
      <c r="H163" s="48" t="e">
        <f t="shared" si="12"/>
        <v>#N/A</v>
      </c>
      <c r="I163" s="48" t="e">
        <f t="shared" si="13"/>
        <v>#N/A</v>
      </c>
      <c r="J163" s="49" t="e">
        <f t="shared" si="11"/>
        <v>#N/A</v>
      </c>
    </row>
    <row r="164" spans="1:12" ht="19" customHeight="1">
      <c r="A164" s="62"/>
      <c r="G164" s="48" t="e">
        <f>VLOOKUP(D164,단가!B:D,3,0)</f>
        <v>#N/A</v>
      </c>
      <c r="H164" s="48" t="e">
        <f t="shared" si="12"/>
        <v>#N/A</v>
      </c>
      <c r="I164" s="48" t="e">
        <f t="shared" si="13"/>
        <v>#N/A</v>
      </c>
      <c r="J164" s="49" t="e">
        <f t="shared" si="11"/>
        <v>#N/A</v>
      </c>
    </row>
    <row r="165" spans="1:12" ht="19" customHeight="1">
      <c r="A165" s="62"/>
      <c r="G165" s="48" t="e">
        <f>VLOOKUP(D165,단가!B:D,3,0)</f>
        <v>#N/A</v>
      </c>
      <c r="H165" s="48" t="e">
        <f t="shared" si="12"/>
        <v>#N/A</v>
      </c>
      <c r="I165" s="48" t="e">
        <f t="shared" si="13"/>
        <v>#N/A</v>
      </c>
      <c r="J165" s="49" t="e">
        <f t="shared" si="11"/>
        <v>#N/A</v>
      </c>
      <c r="L165" s="56"/>
    </row>
    <row r="166" spans="1:12" ht="19" customHeight="1">
      <c r="A166" s="62"/>
      <c r="G166" s="48" t="e">
        <f>VLOOKUP(D166,단가!B:D,3,0)</f>
        <v>#N/A</v>
      </c>
      <c r="H166" s="48" t="e">
        <f t="shared" si="12"/>
        <v>#N/A</v>
      </c>
      <c r="I166" s="48" t="e">
        <f t="shared" si="13"/>
        <v>#N/A</v>
      </c>
      <c r="J166" s="49" t="e">
        <f t="shared" si="11"/>
        <v>#N/A</v>
      </c>
    </row>
    <row r="167" spans="1:12" ht="19" customHeight="1">
      <c r="A167" s="62"/>
      <c r="G167" s="48" t="e">
        <f>VLOOKUP(D167,단가!B:D,3,0)</f>
        <v>#N/A</v>
      </c>
      <c r="H167" s="48" t="e">
        <f t="shared" si="12"/>
        <v>#N/A</v>
      </c>
      <c r="I167" s="48" t="e">
        <f t="shared" si="13"/>
        <v>#N/A</v>
      </c>
      <c r="J167" s="49" t="e">
        <f t="shared" si="11"/>
        <v>#N/A</v>
      </c>
    </row>
    <row r="168" spans="1:12" ht="19" customHeight="1">
      <c r="A168" s="62"/>
      <c r="G168" s="48" t="e">
        <f>VLOOKUP(D168,단가!B:D,3,0)</f>
        <v>#N/A</v>
      </c>
      <c r="H168" s="48" t="e">
        <f t="shared" si="12"/>
        <v>#N/A</v>
      </c>
      <c r="I168" s="48" t="e">
        <f t="shared" si="13"/>
        <v>#N/A</v>
      </c>
      <c r="J168" s="49" t="e">
        <f t="shared" si="11"/>
        <v>#N/A</v>
      </c>
    </row>
    <row r="169" spans="1:12" ht="19" customHeight="1">
      <c r="A169" s="62"/>
      <c r="G169" s="48" t="e">
        <f>VLOOKUP(D169,단가!B:D,3,0)</f>
        <v>#N/A</v>
      </c>
      <c r="H169" s="48" t="e">
        <f t="shared" si="12"/>
        <v>#N/A</v>
      </c>
      <c r="I169" s="48" t="e">
        <f t="shared" si="13"/>
        <v>#N/A</v>
      </c>
      <c r="J169" s="49" t="e">
        <f t="shared" si="11"/>
        <v>#N/A</v>
      </c>
      <c r="L169" s="56"/>
    </row>
    <row r="170" spans="1:12" ht="19" customHeight="1">
      <c r="A170" s="62"/>
      <c r="G170" s="48" t="e">
        <f>VLOOKUP(D170,단가!B:D,3,0)</f>
        <v>#N/A</v>
      </c>
      <c r="H170" s="48" t="e">
        <f t="shared" si="12"/>
        <v>#N/A</v>
      </c>
      <c r="I170" s="48" t="e">
        <f t="shared" si="13"/>
        <v>#N/A</v>
      </c>
      <c r="J170" s="49" t="e">
        <f t="shared" si="11"/>
        <v>#N/A</v>
      </c>
      <c r="L170" s="56"/>
    </row>
    <row r="171" spans="1:12" ht="19" customHeight="1">
      <c r="A171" s="62"/>
      <c r="G171" s="48" t="e">
        <f>VLOOKUP(D171,단가!B:D,3,0)</f>
        <v>#N/A</v>
      </c>
      <c r="H171" s="48" t="e">
        <f t="shared" si="12"/>
        <v>#N/A</v>
      </c>
      <c r="I171" s="48" t="e">
        <f t="shared" si="13"/>
        <v>#N/A</v>
      </c>
      <c r="J171" s="49" t="e">
        <f t="shared" si="11"/>
        <v>#N/A</v>
      </c>
    </row>
    <row r="172" spans="1:12" ht="19" customHeight="1">
      <c r="A172" s="62"/>
      <c r="G172" s="48" t="e">
        <f>VLOOKUP(D172,단가!B:D,3,0)</f>
        <v>#N/A</v>
      </c>
      <c r="H172" s="48" t="e">
        <f t="shared" si="12"/>
        <v>#N/A</v>
      </c>
      <c r="I172" s="48" t="e">
        <f t="shared" si="13"/>
        <v>#N/A</v>
      </c>
      <c r="J172" s="49" t="e">
        <f t="shared" si="11"/>
        <v>#N/A</v>
      </c>
    </row>
    <row r="173" spans="1:12" ht="19" customHeight="1">
      <c r="A173" s="62"/>
      <c r="G173" s="48" t="e">
        <f>VLOOKUP(D173,단가!B:D,3,0)</f>
        <v>#N/A</v>
      </c>
      <c r="H173" s="48" t="e">
        <f t="shared" si="12"/>
        <v>#N/A</v>
      </c>
      <c r="I173" s="48" t="e">
        <f t="shared" si="13"/>
        <v>#N/A</v>
      </c>
      <c r="J173" s="49" t="e">
        <f t="shared" si="11"/>
        <v>#N/A</v>
      </c>
      <c r="K173" s="49"/>
    </row>
    <row r="174" spans="1:12" ht="19" customHeight="1">
      <c r="A174" s="62"/>
      <c r="G174" s="48" t="e">
        <f>VLOOKUP(D174,단가!B:D,3,0)</f>
        <v>#N/A</v>
      </c>
      <c r="H174" s="48" t="e">
        <f t="shared" si="12"/>
        <v>#N/A</v>
      </c>
      <c r="I174" s="48" t="e">
        <f t="shared" si="13"/>
        <v>#N/A</v>
      </c>
      <c r="J174" s="49" t="e">
        <f t="shared" si="11"/>
        <v>#N/A</v>
      </c>
    </row>
    <row r="175" spans="1:12" ht="19" customHeight="1">
      <c r="A175" s="62"/>
      <c r="G175" s="48" t="e">
        <f>VLOOKUP(D175,단가!B:D,3,0)</f>
        <v>#N/A</v>
      </c>
      <c r="H175" s="48" t="e">
        <f t="shared" si="12"/>
        <v>#N/A</v>
      </c>
      <c r="I175" s="48" t="e">
        <f t="shared" si="13"/>
        <v>#N/A</v>
      </c>
      <c r="J175" s="49" t="e">
        <f t="shared" si="11"/>
        <v>#N/A</v>
      </c>
    </row>
    <row r="176" spans="1:12" ht="19" customHeight="1">
      <c r="A176" s="62"/>
      <c r="G176" s="48" t="e">
        <f>VLOOKUP(D176,단가!B:D,3,0)</f>
        <v>#N/A</v>
      </c>
      <c r="H176" s="48" t="e">
        <f t="shared" si="12"/>
        <v>#N/A</v>
      </c>
      <c r="I176" s="48" t="e">
        <f t="shared" si="13"/>
        <v>#N/A</v>
      </c>
      <c r="J176" s="49" t="e">
        <f t="shared" si="11"/>
        <v>#N/A</v>
      </c>
    </row>
    <row r="177" spans="1:12" ht="19" customHeight="1">
      <c r="A177" s="62"/>
      <c r="G177" s="48" t="e">
        <f>VLOOKUP(D177,단가!B:D,3,0)</f>
        <v>#N/A</v>
      </c>
      <c r="H177" s="48" t="e">
        <f t="shared" si="12"/>
        <v>#N/A</v>
      </c>
      <c r="I177" s="48" t="e">
        <f t="shared" si="13"/>
        <v>#N/A</v>
      </c>
      <c r="J177" s="49" t="e">
        <f t="shared" si="11"/>
        <v>#N/A</v>
      </c>
    </row>
    <row r="178" spans="1:12" ht="19" customHeight="1">
      <c r="A178" s="62"/>
      <c r="G178" s="48" t="e">
        <f>VLOOKUP(D178,단가!B:D,3,0)</f>
        <v>#N/A</v>
      </c>
      <c r="H178" s="48" t="e">
        <f t="shared" si="12"/>
        <v>#N/A</v>
      </c>
      <c r="I178" s="48" t="e">
        <f t="shared" si="13"/>
        <v>#N/A</v>
      </c>
      <c r="J178" s="49" t="e">
        <f t="shared" si="11"/>
        <v>#N/A</v>
      </c>
    </row>
    <row r="179" spans="1:12" ht="19" customHeight="1">
      <c r="A179" s="62"/>
      <c r="G179" s="48" t="e">
        <f>VLOOKUP(D179,단가!B:D,3,0)</f>
        <v>#N/A</v>
      </c>
      <c r="H179" s="48" t="e">
        <f t="shared" si="12"/>
        <v>#N/A</v>
      </c>
      <c r="I179" s="48" t="e">
        <f t="shared" si="13"/>
        <v>#N/A</v>
      </c>
      <c r="J179" s="49" t="e">
        <f t="shared" si="11"/>
        <v>#N/A</v>
      </c>
    </row>
    <row r="180" spans="1:12" ht="19" customHeight="1">
      <c r="A180" s="62"/>
      <c r="G180" s="48" t="e">
        <f>VLOOKUP(D180,단가!B:D,3,0)</f>
        <v>#N/A</v>
      </c>
      <c r="H180" s="48" t="e">
        <f t="shared" si="12"/>
        <v>#N/A</v>
      </c>
      <c r="I180" s="48" t="e">
        <f t="shared" si="13"/>
        <v>#N/A</v>
      </c>
      <c r="J180" s="49" t="e">
        <f t="shared" si="11"/>
        <v>#N/A</v>
      </c>
    </row>
    <row r="181" spans="1:12" ht="19" customHeight="1">
      <c r="A181" s="62"/>
      <c r="G181" s="48" t="e">
        <f>VLOOKUP(D181,단가!B:D,3,0)</f>
        <v>#N/A</v>
      </c>
      <c r="H181" s="48" t="e">
        <f t="shared" si="12"/>
        <v>#N/A</v>
      </c>
      <c r="I181" s="48" t="e">
        <f t="shared" si="13"/>
        <v>#N/A</v>
      </c>
      <c r="J181" s="49" t="e">
        <f t="shared" si="11"/>
        <v>#N/A</v>
      </c>
    </row>
    <row r="182" spans="1:12" ht="19" customHeight="1">
      <c r="A182" s="62"/>
      <c r="G182" s="48" t="e">
        <f>VLOOKUP(D182,단가!B:D,3,0)</f>
        <v>#N/A</v>
      </c>
      <c r="H182" s="48" t="e">
        <f t="shared" si="12"/>
        <v>#N/A</v>
      </c>
      <c r="I182" s="48" t="e">
        <f t="shared" si="13"/>
        <v>#N/A</v>
      </c>
      <c r="J182" s="49" t="e">
        <f t="shared" si="11"/>
        <v>#N/A</v>
      </c>
      <c r="K182" s="48"/>
    </row>
    <row r="183" spans="1:12" ht="19" customHeight="1">
      <c r="A183" s="62"/>
      <c r="G183" s="48" t="e">
        <f>VLOOKUP(D183,단가!B:D,3,0)</f>
        <v>#N/A</v>
      </c>
      <c r="H183" s="48" t="e">
        <f t="shared" si="12"/>
        <v>#N/A</v>
      </c>
      <c r="I183" s="48" t="e">
        <f t="shared" si="13"/>
        <v>#N/A</v>
      </c>
      <c r="J183" s="49" t="e">
        <f t="shared" si="11"/>
        <v>#N/A</v>
      </c>
    </row>
    <row r="184" spans="1:12" ht="19" customHeight="1">
      <c r="A184" s="62"/>
      <c r="G184" s="48" t="e">
        <f>VLOOKUP(D184,단가!B:D,3,0)</f>
        <v>#N/A</v>
      </c>
      <c r="H184" s="48" t="e">
        <f t="shared" si="12"/>
        <v>#N/A</v>
      </c>
      <c r="I184" s="48" t="e">
        <f t="shared" si="13"/>
        <v>#N/A</v>
      </c>
      <c r="J184" s="49" t="e">
        <f t="shared" si="11"/>
        <v>#N/A</v>
      </c>
    </row>
    <row r="185" spans="1:12" ht="19" customHeight="1">
      <c r="A185" s="62"/>
      <c r="G185" s="48" t="e">
        <f>VLOOKUP(D185,단가!B:D,3,0)</f>
        <v>#N/A</v>
      </c>
      <c r="H185" s="48" t="e">
        <f t="shared" si="12"/>
        <v>#N/A</v>
      </c>
      <c r="I185" s="48" t="e">
        <f t="shared" si="13"/>
        <v>#N/A</v>
      </c>
      <c r="J185" s="49" t="e">
        <f t="shared" si="11"/>
        <v>#N/A</v>
      </c>
    </row>
    <row r="186" spans="1:12" ht="19" customHeight="1">
      <c r="A186" s="62"/>
      <c r="G186" s="48" t="e">
        <f>VLOOKUP(D186,단가!B:D,3,0)</f>
        <v>#N/A</v>
      </c>
      <c r="H186" s="48" t="e">
        <f t="shared" si="12"/>
        <v>#N/A</v>
      </c>
      <c r="I186" s="48" t="e">
        <f t="shared" si="13"/>
        <v>#N/A</v>
      </c>
      <c r="J186" s="49" t="e">
        <f t="shared" si="11"/>
        <v>#N/A</v>
      </c>
    </row>
    <row r="187" spans="1:12" ht="19" customHeight="1">
      <c r="A187" s="62"/>
      <c r="G187" s="48" t="e">
        <f>VLOOKUP(D187,단가!B:D,3,0)</f>
        <v>#N/A</v>
      </c>
      <c r="H187" s="48" t="e">
        <f t="shared" si="12"/>
        <v>#N/A</v>
      </c>
      <c r="I187" s="48" t="e">
        <f t="shared" si="13"/>
        <v>#N/A</v>
      </c>
      <c r="J187" s="49" t="e">
        <f t="shared" si="11"/>
        <v>#N/A</v>
      </c>
    </row>
    <row r="188" spans="1:12" ht="19" customHeight="1">
      <c r="A188" s="62"/>
      <c r="G188" s="48" t="e">
        <f>VLOOKUP(D188,단가!B:D,3,0)</f>
        <v>#N/A</v>
      </c>
      <c r="H188" s="48" t="e">
        <f t="shared" si="12"/>
        <v>#N/A</v>
      </c>
      <c r="I188" s="48" t="e">
        <f t="shared" si="13"/>
        <v>#N/A</v>
      </c>
      <c r="J188" s="49" t="e">
        <f t="shared" si="11"/>
        <v>#N/A</v>
      </c>
    </row>
    <row r="189" spans="1:12" ht="19" customHeight="1">
      <c r="A189" s="62"/>
      <c r="G189" s="48" t="e">
        <f>VLOOKUP(D189,단가!B:D,3,0)</f>
        <v>#N/A</v>
      </c>
      <c r="H189" s="48" t="e">
        <f t="shared" si="12"/>
        <v>#N/A</v>
      </c>
      <c r="I189" s="48" t="e">
        <f t="shared" si="13"/>
        <v>#N/A</v>
      </c>
      <c r="J189" s="49" t="e">
        <f t="shared" si="11"/>
        <v>#N/A</v>
      </c>
    </row>
    <row r="190" spans="1:12" ht="19" customHeight="1">
      <c r="A190" s="62"/>
      <c r="G190" s="48" t="e">
        <f>VLOOKUP(D190,단가!B:D,3,0)</f>
        <v>#N/A</v>
      </c>
      <c r="H190" s="48" t="e">
        <f t="shared" si="12"/>
        <v>#N/A</v>
      </c>
      <c r="I190" s="48" t="e">
        <f t="shared" si="13"/>
        <v>#N/A</v>
      </c>
      <c r="J190" s="49" t="e">
        <f t="shared" si="11"/>
        <v>#N/A</v>
      </c>
    </row>
    <row r="191" spans="1:12" ht="19" customHeight="1">
      <c r="A191" s="62"/>
      <c r="G191" s="48" t="e">
        <f>VLOOKUP(D191,단가!B:D,3,0)</f>
        <v>#N/A</v>
      </c>
      <c r="H191" s="48" t="e">
        <f t="shared" si="12"/>
        <v>#N/A</v>
      </c>
      <c r="I191" s="48" t="e">
        <f t="shared" si="13"/>
        <v>#N/A</v>
      </c>
      <c r="J191" s="49" t="e">
        <f t="shared" si="11"/>
        <v>#N/A</v>
      </c>
      <c r="L191" s="56"/>
    </row>
    <row r="192" spans="1:12" ht="19" customHeight="1">
      <c r="A192" s="62"/>
      <c r="G192" s="48" t="e">
        <f>VLOOKUP(D192,단가!B:D,3,0)</f>
        <v>#N/A</v>
      </c>
      <c r="H192" s="48" t="e">
        <f t="shared" si="12"/>
        <v>#N/A</v>
      </c>
      <c r="I192" s="48" t="e">
        <f t="shared" si="13"/>
        <v>#N/A</v>
      </c>
      <c r="J192" s="49" t="e">
        <f t="shared" si="11"/>
        <v>#N/A</v>
      </c>
      <c r="L192" s="56"/>
    </row>
    <row r="193" spans="1:13" ht="19" customHeight="1">
      <c r="A193" s="62"/>
      <c r="G193" s="48" t="e">
        <f>VLOOKUP(D193,단가!B:D,3,0)</f>
        <v>#N/A</v>
      </c>
      <c r="H193" s="48" t="e">
        <f t="shared" si="12"/>
        <v>#N/A</v>
      </c>
      <c r="I193" s="48" t="e">
        <f t="shared" si="13"/>
        <v>#N/A</v>
      </c>
      <c r="J193" s="49" t="e">
        <f t="shared" si="11"/>
        <v>#N/A</v>
      </c>
    </row>
    <row r="194" spans="1:13" ht="19" customHeight="1">
      <c r="A194" s="62"/>
      <c r="G194" s="48" t="e">
        <f>VLOOKUP(D194,단가!B:D,3,0)</f>
        <v>#N/A</v>
      </c>
      <c r="H194" s="48" t="e">
        <f t="shared" si="12"/>
        <v>#N/A</v>
      </c>
      <c r="I194" s="48" t="e">
        <f t="shared" si="13"/>
        <v>#N/A</v>
      </c>
      <c r="J194" s="49" t="e">
        <f t="shared" si="11"/>
        <v>#N/A</v>
      </c>
      <c r="L194" s="56"/>
    </row>
    <row r="195" spans="1:13" ht="19" customHeight="1">
      <c r="A195" s="62"/>
      <c r="G195" s="48" t="e">
        <f>VLOOKUP(D195,단가!B:D,3,0)</f>
        <v>#N/A</v>
      </c>
      <c r="H195" s="48" t="e">
        <f t="shared" si="12"/>
        <v>#N/A</v>
      </c>
      <c r="I195" s="48" t="e">
        <f t="shared" si="13"/>
        <v>#N/A</v>
      </c>
      <c r="J195" s="49" t="e">
        <f t="shared" si="11"/>
        <v>#N/A</v>
      </c>
    </row>
    <row r="196" spans="1:13" ht="19" customHeight="1">
      <c r="A196" s="62"/>
      <c r="D196" s="67"/>
      <c r="G196" s="48" t="e">
        <f>VLOOKUP(D196,단가!B:D,3,0)</f>
        <v>#N/A</v>
      </c>
      <c r="H196" s="48" t="e">
        <f t="shared" si="12"/>
        <v>#N/A</v>
      </c>
      <c r="I196" s="48" t="e">
        <f t="shared" si="13"/>
        <v>#N/A</v>
      </c>
      <c r="J196" s="49" t="e">
        <f t="shared" si="11"/>
        <v>#N/A</v>
      </c>
      <c r="K196" s="48"/>
    </row>
    <row r="197" spans="1:13" ht="19" customHeight="1">
      <c r="A197" s="62"/>
      <c r="G197" s="48" t="e">
        <f>VLOOKUP(D197,단가!B:D,3,0)</f>
        <v>#N/A</v>
      </c>
      <c r="H197" s="48" t="e">
        <f t="shared" si="12"/>
        <v>#N/A</v>
      </c>
      <c r="I197" s="48" t="e">
        <f t="shared" si="13"/>
        <v>#N/A</v>
      </c>
      <c r="J197" s="49" t="e">
        <f t="shared" si="11"/>
        <v>#N/A</v>
      </c>
    </row>
    <row r="198" spans="1:13" ht="19" customHeight="1">
      <c r="A198" s="62"/>
      <c r="G198" s="48" t="e">
        <f>VLOOKUP(D198,단가!B:D,3,0)</f>
        <v>#N/A</v>
      </c>
      <c r="H198" s="48" t="e">
        <f t="shared" si="12"/>
        <v>#N/A</v>
      </c>
      <c r="I198" s="48" t="e">
        <f t="shared" si="13"/>
        <v>#N/A</v>
      </c>
      <c r="J198" s="49" t="e">
        <f t="shared" si="11"/>
        <v>#N/A</v>
      </c>
    </row>
    <row r="199" spans="1:13" ht="19" customHeight="1">
      <c r="A199" s="62"/>
      <c r="G199" s="48" t="e">
        <f>VLOOKUP(D199,단가!B:D,3,0)</f>
        <v>#N/A</v>
      </c>
      <c r="H199" s="48" t="e">
        <f t="shared" si="12"/>
        <v>#N/A</v>
      </c>
      <c r="I199" s="48" t="e">
        <f t="shared" si="13"/>
        <v>#N/A</v>
      </c>
      <c r="J199" s="49" t="e">
        <f t="shared" si="11"/>
        <v>#N/A</v>
      </c>
    </row>
    <row r="200" spans="1:13" ht="19" customHeight="1">
      <c r="A200" s="62"/>
      <c r="G200" s="48" t="e">
        <f>VLOOKUP(D200,단가!B:D,3,0)</f>
        <v>#N/A</v>
      </c>
      <c r="H200" s="48" t="e">
        <f t="shared" si="12"/>
        <v>#N/A</v>
      </c>
      <c r="I200" s="48" t="e">
        <f t="shared" si="13"/>
        <v>#N/A</v>
      </c>
      <c r="J200" s="49" t="e">
        <f t="shared" si="11"/>
        <v>#N/A</v>
      </c>
    </row>
    <row r="201" spans="1:13" ht="19" customHeight="1">
      <c r="A201" s="62"/>
      <c r="G201" s="48" t="e">
        <f>VLOOKUP(D201,단가!B:D,3,0)</f>
        <v>#N/A</v>
      </c>
      <c r="H201" s="48" t="e">
        <f t="shared" si="12"/>
        <v>#N/A</v>
      </c>
      <c r="I201" s="48" t="e">
        <f t="shared" si="13"/>
        <v>#N/A</v>
      </c>
      <c r="J201" s="49" t="e">
        <f t="shared" si="11"/>
        <v>#N/A</v>
      </c>
    </row>
    <row r="202" spans="1:13" ht="19" customHeight="1">
      <c r="A202" s="62"/>
      <c r="G202" s="48" t="e">
        <f>VLOOKUP(D202,단가!B:D,3,0)</f>
        <v>#N/A</v>
      </c>
      <c r="H202" s="48" t="e">
        <f t="shared" si="12"/>
        <v>#N/A</v>
      </c>
      <c r="I202" s="48" t="e">
        <f t="shared" si="13"/>
        <v>#N/A</v>
      </c>
      <c r="J202" s="49" t="e">
        <f t="shared" si="11"/>
        <v>#N/A</v>
      </c>
    </row>
    <row r="203" spans="1:13" ht="19" customHeight="1">
      <c r="A203" s="62"/>
      <c r="G203" s="48" t="e">
        <f>VLOOKUP(D203,단가!B:D,3,0)</f>
        <v>#N/A</v>
      </c>
      <c r="H203" s="48" t="e">
        <f t="shared" si="12"/>
        <v>#N/A</v>
      </c>
      <c r="I203" s="48" t="e">
        <f t="shared" si="13"/>
        <v>#N/A</v>
      </c>
      <c r="J203" s="49" t="e">
        <f t="shared" si="11"/>
        <v>#N/A</v>
      </c>
      <c r="M203" s="56"/>
    </row>
    <row r="204" spans="1:13" ht="19" customHeight="1">
      <c r="A204" s="62"/>
      <c r="G204" s="48" t="e">
        <f>VLOOKUP(D204,단가!B:D,3,0)</f>
        <v>#N/A</v>
      </c>
      <c r="H204" s="48" t="e">
        <f t="shared" si="12"/>
        <v>#N/A</v>
      </c>
      <c r="I204" s="48" t="e">
        <f t="shared" si="13"/>
        <v>#N/A</v>
      </c>
      <c r="J204" s="49" t="e">
        <f t="shared" si="11"/>
        <v>#N/A</v>
      </c>
      <c r="L204" s="56"/>
    </row>
    <row r="205" spans="1:13" ht="19" customHeight="1">
      <c r="A205" s="62"/>
      <c r="G205" s="48" t="e">
        <f>VLOOKUP(D205,단가!B:D,3,0)</f>
        <v>#N/A</v>
      </c>
      <c r="H205" s="48" t="e">
        <f t="shared" si="12"/>
        <v>#N/A</v>
      </c>
      <c r="I205" s="48" t="e">
        <f t="shared" si="13"/>
        <v>#N/A</v>
      </c>
      <c r="J205" s="49" t="e">
        <f t="shared" si="11"/>
        <v>#N/A</v>
      </c>
    </row>
    <row r="206" spans="1:13" ht="19" customHeight="1">
      <c r="A206" s="62"/>
      <c r="G206" s="48" t="e">
        <f>VLOOKUP(D206,단가!B:D,3,0)</f>
        <v>#N/A</v>
      </c>
      <c r="H206" s="48" t="e">
        <f t="shared" si="12"/>
        <v>#N/A</v>
      </c>
      <c r="I206" s="48" t="e">
        <f t="shared" si="13"/>
        <v>#N/A</v>
      </c>
      <c r="J206" s="49" t="e">
        <f t="shared" si="11"/>
        <v>#N/A</v>
      </c>
      <c r="L206" s="56"/>
    </row>
    <row r="207" spans="1:13" ht="19" customHeight="1">
      <c r="A207" s="62"/>
      <c r="G207" s="48" t="e">
        <f>VLOOKUP(D207,단가!B:D,3,0)</f>
        <v>#N/A</v>
      </c>
      <c r="H207" s="48" t="e">
        <f t="shared" si="12"/>
        <v>#N/A</v>
      </c>
      <c r="I207" s="48" t="e">
        <f t="shared" si="13"/>
        <v>#N/A</v>
      </c>
      <c r="J207" s="49" t="e">
        <f t="shared" si="11"/>
        <v>#N/A</v>
      </c>
    </row>
    <row r="208" spans="1:13" ht="19" customHeight="1">
      <c r="A208" s="62"/>
      <c r="G208" s="48" t="e">
        <f>VLOOKUP(D208,단가!B:D,3,0)</f>
        <v>#N/A</v>
      </c>
      <c r="H208" s="48" t="e">
        <f t="shared" si="12"/>
        <v>#N/A</v>
      </c>
      <c r="I208" s="48" t="e">
        <f t="shared" si="13"/>
        <v>#N/A</v>
      </c>
      <c r="J208" s="49" t="e">
        <f t="shared" si="11"/>
        <v>#N/A</v>
      </c>
    </row>
    <row r="209" spans="1:10" ht="19" customHeight="1">
      <c r="A209" s="62"/>
      <c r="G209" s="48" t="e">
        <f>VLOOKUP(D209,단가!B:D,3,0)</f>
        <v>#N/A</v>
      </c>
      <c r="H209" s="48" t="e">
        <f t="shared" si="12"/>
        <v>#N/A</v>
      </c>
      <c r="I209" s="48" t="e">
        <f t="shared" si="13"/>
        <v>#N/A</v>
      </c>
      <c r="J209" s="49" t="e">
        <f t="shared" si="11"/>
        <v>#N/A</v>
      </c>
    </row>
    <row r="210" spans="1:10" ht="19" customHeight="1">
      <c r="A210" s="62"/>
      <c r="G210" s="48" t="e">
        <f>VLOOKUP(D210,단가!B:D,3,0)</f>
        <v>#N/A</v>
      </c>
      <c r="H210" s="48" t="e">
        <f t="shared" si="12"/>
        <v>#N/A</v>
      </c>
      <c r="I210" s="48" t="e">
        <f t="shared" si="13"/>
        <v>#N/A</v>
      </c>
      <c r="J210" s="49" t="e">
        <f t="shared" si="11"/>
        <v>#N/A</v>
      </c>
    </row>
    <row r="211" spans="1:10" ht="19" customHeight="1">
      <c r="A211" s="62"/>
      <c r="G211" s="48" t="e">
        <f>VLOOKUP(D211,단가!B:D,3,0)</f>
        <v>#N/A</v>
      </c>
      <c r="H211" s="48" t="e">
        <f t="shared" si="12"/>
        <v>#N/A</v>
      </c>
      <c r="I211" s="48" t="e">
        <f t="shared" si="13"/>
        <v>#N/A</v>
      </c>
      <c r="J211" s="49" t="e">
        <f t="shared" si="11"/>
        <v>#N/A</v>
      </c>
    </row>
    <row r="212" spans="1:10" ht="19" customHeight="1">
      <c r="A212" s="62"/>
      <c r="G212" s="48" t="e">
        <f>VLOOKUP(D212,단가!B:D,3,0)</f>
        <v>#N/A</v>
      </c>
      <c r="H212" s="48" t="e">
        <f t="shared" si="12"/>
        <v>#N/A</v>
      </c>
      <c r="I212" s="48" t="e">
        <f t="shared" si="13"/>
        <v>#N/A</v>
      </c>
      <c r="J212" s="49" t="e">
        <f t="shared" si="11"/>
        <v>#N/A</v>
      </c>
    </row>
    <row r="213" spans="1:10" ht="19" customHeight="1">
      <c r="A213" s="62"/>
      <c r="G213" s="48" t="e">
        <f>VLOOKUP(D213,단가!B:D,3,0)</f>
        <v>#N/A</v>
      </c>
      <c r="H213" s="48" t="e">
        <f t="shared" si="12"/>
        <v>#N/A</v>
      </c>
      <c r="I213" s="48" t="e">
        <f t="shared" si="13"/>
        <v>#N/A</v>
      </c>
      <c r="J213" s="49" t="e">
        <f t="shared" si="11"/>
        <v>#N/A</v>
      </c>
    </row>
    <row r="214" spans="1:10" ht="19" customHeight="1">
      <c r="A214" s="62"/>
      <c r="G214" s="48" t="e">
        <f>VLOOKUP(D214,단가!B:D,3,0)</f>
        <v>#N/A</v>
      </c>
      <c r="H214" s="48" t="e">
        <f t="shared" si="12"/>
        <v>#N/A</v>
      </c>
      <c r="I214" s="48" t="e">
        <f t="shared" si="13"/>
        <v>#N/A</v>
      </c>
      <c r="J214" s="49" t="e">
        <f t="shared" si="11"/>
        <v>#N/A</v>
      </c>
    </row>
    <row r="215" spans="1:10" ht="19" customHeight="1">
      <c r="A215" s="62"/>
      <c r="G215" s="48" t="e">
        <f>VLOOKUP(D215,단가!B:D,3,0)</f>
        <v>#N/A</v>
      </c>
      <c r="H215" s="48" t="e">
        <f t="shared" si="12"/>
        <v>#N/A</v>
      </c>
      <c r="I215" s="48" t="e">
        <f t="shared" si="13"/>
        <v>#N/A</v>
      </c>
      <c r="J215" s="49" t="e">
        <f t="shared" si="11"/>
        <v>#N/A</v>
      </c>
    </row>
    <row r="216" spans="1:10" ht="19" customHeight="1">
      <c r="A216" s="62"/>
      <c r="G216" s="48" t="e">
        <f>VLOOKUP(D216,단가!B:D,3,0)</f>
        <v>#N/A</v>
      </c>
      <c r="H216" s="48" t="e">
        <f t="shared" si="12"/>
        <v>#N/A</v>
      </c>
      <c r="I216" s="48" t="e">
        <f t="shared" si="13"/>
        <v>#N/A</v>
      </c>
      <c r="J216" s="49" t="e">
        <f t="shared" si="11"/>
        <v>#N/A</v>
      </c>
    </row>
    <row r="217" spans="1:10" ht="19" customHeight="1">
      <c r="A217" s="62"/>
      <c r="G217" s="48" t="e">
        <f>VLOOKUP(D217,단가!B:D,3,0)</f>
        <v>#N/A</v>
      </c>
      <c r="H217" s="48" t="e">
        <f t="shared" si="12"/>
        <v>#N/A</v>
      </c>
      <c r="I217" s="48" t="e">
        <f t="shared" si="13"/>
        <v>#N/A</v>
      </c>
      <c r="J217" s="49" t="e">
        <f t="shared" si="11"/>
        <v>#N/A</v>
      </c>
    </row>
    <row r="218" spans="1:10" ht="19" customHeight="1">
      <c r="A218" s="62"/>
      <c r="G218" s="48" t="e">
        <f>VLOOKUP(D218,단가!B:D,3,0)</f>
        <v>#N/A</v>
      </c>
      <c r="H218" s="48" t="e">
        <f t="shared" si="12"/>
        <v>#N/A</v>
      </c>
      <c r="I218" s="48" t="e">
        <f t="shared" si="13"/>
        <v>#N/A</v>
      </c>
      <c r="J218" s="49" t="e">
        <f t="shared" si="11"/>
        <v>#N/A</v>
      </c>
    </row>
    <row r="219" spans="1:10" ht="19" customHeight="1">
      <c r="A219" s="62"/>
      <c r="G219" s="48" t="e">
        <f>VLOOKUP(D219,단가!B:D,3,0)</f>
        <v>#N/A</v>
      </c>
      <c r="H219" s="48" t="e">
        <f t="shared" si="12"/>
        <v>#N/A</v>
      </c>
      <c r="I219" s="48" t="e">
        <f t="shared" si="13"/>
        <v>#N/A</v>
      </c>
      <c r="J219" s="49" t="e">
        <f t="shared" si="11"/>
        <v>#N/A</v>
      </c>
    </row>
    <row r="220" spans="1:10" ht="19" customHeight="1">
      <c r="A220" s="62"/>
      <c r="G220" s="48" t="e">
        <f>VLOOKUP(D220,단가!B:D,3,0)</f>
        <v>#N/A</v>
      </c>
      <c r="H220" s="48" t="e">
        <f t="shared" si="12"/>
        <v>#N/A</v>
      </c>
      <c r="I220" s="48" t="e">
        <f t="shared" si="13"/>
        <v>#N/A</v>
      </c>
      <c r="J220" s="49" t="e">
        <f t="shared" si="11"/>
        <v>#N/A</v>
      </c>
    </row>
    <row r="221" spans="1:10" ht="19" customHeight="1">
      <c r="A221" s="62"/>
      <c r="G221" s="48" t="e">
        <f>VLOOKUP(D221,단가!B:D,3,0)</f>
        <v>#N/A</v>
      </c>
      <c r="H221" s="48" t="e">
        <f t="shared" si="12"/>
        <v>#N/A</v>
      </c>
      <c r="I221" s="48" t="e">
        <f t="shared" si="13"/>
        <v>#N/A</v>
      </c>
      <c r="J221" s="49" t="e">
        <f t="shared" si="11"/>
        <v>#N/A</v>
      </c>
    </row>
    <row r="222" spans="1:10" ht="19" customHeight="1">
      <c r="A222" s="62"/>
      <c r="G222" s="48" t="e">
        <f>VLOOKUP(D222,단가!B:D,3,0)</f>
        <v>#N/A</v>
      </c>
      <c r="H222" s="48" t="e">
        <f t="shared" si="12"/>
        <v>#N/A</v>
      </c>
      <c r="I222" s="48" t="e">
        <f t="shared" si="13"/>
        <v>#N/A</v>
      </c>
      <c r="J222" s="49" t="e">
        <f t="shared" si="11"/>
        <v>#N/A</v>
      </c>
    </row>
    <row r="223" spans="1:10" ht="19" customHeight="1">
      <c r="A223" s="62"/>
      <c r="G223" s="48" t="e">
        <f>VLOOKUP(D223,단가!B:D,3,0)</f>
        <v>#N/A</v>
      </c>
      <c r="H223" s="48" t="e">
        <f t="shared" si="12"/>
        <v>#N/A</v>
      </c>
      <c r="I223" s="48" t="e">
        <f t="shared" si="13"/>
        <v>#N/A</v>
      </c>
      <c r="J223" s="49" t="e">
        <f t="shared" si="11"/>
        <v>#N/A</v>
      </c>
    </row>
    <row r="224" spans="1:10" ht="19" customHeight="1">
      <c r="A224" s="62"/>
      <c r="G224" s="48" t="e">
        <f>VLOOKUP(D224,단가!B:D,3,0)</f>
        <v>#N/A</v>
      </c>
      <c r="H224" s="48" t="e">
        <f t="shared" si="12"/>
        <v>#N/A</v>
      </c>
      <c r="I224" s="48" t="e">
        <f t="shared" si="13"/>
        <v>#N/A</v>
      </c>
      <c r="J224" s="49" t="e">
        <f t="shared" si="11"/>
        <v>#N/A</v>
      </c>
    </row>
    <row r="225" spans="1:10" ht="19" customHeight="1">
      <c r="A225" s="62"/>
      <c r="G225" s="48" t="e">
        <f>VLOOKUP(D225,단가!B:D,3,0)</f>
        <v>#N/A</v>
      </c>
      <c r="H225" s="48" t="e">
        <f t="shared" si="12"/>
        <v>#N/A</v>
      </c>
      <c r="I225" s="48" t="e">
        <f t="shared" si="13"/>
        <v>#N/A</v>
      </c>
      <c r="J225" s="49" t="e">
        <f t="shared" si="11"/>
        <v>#N/A</v>
      </c>
    </row>
    <row r="226" spans="1:10" ht="19" customHeight="1">
      <c r="A226" s="62"/>
      <c r="G226" s="48" t="e">
        <f>VLOOKUP(D226,단가!B:D,3,0)</f>
        <v>#N/A</v>
      </c>
      <c r="H226" s="48" t="e">
        <f t="shared" si="12"/>
        <v>#N/A</v>
      </c>
      <c r="I226" s="48" t="e">
        <f t="shared" si="13"/>
        <v>#N/A</v>
      </c>
      <c r="J226" s="49" t="e">
        <f t="shared" si="11"/>
        <v>#N/A</v>
      </c>
    </row>
    <row r="227" spans="1:10" ht="19" customHeight="1">
      <c r="A227" s="62"/>
      <c r="G227" s="48" t="e">
        <f>VLOOKUP(D227,단가!B:D,3,0)</f>
        <v>#N/A</v>
      </c>
      <c r="H227" s="48" t="e">
        <f t="shared" si="12"/>
        <v>#N/A</v>
      </c>
      <c r="I227" s="48" t="e">
        <f t="shared" si="13"/>
        <v>#N/A</v>
      </c>
      <c r="J227" s="49" t="e">
        <f t="shared" si="11"/>
        <v>#N/A</v>
      </c>
    </row>
    <row r="228" spans="1:10" ht="19" customHeight="1">
      <c r="A228" s="62"/>
      <c r="G228" s="48" t="e">
        <f>VLOOKUP(D228,단가!B:D,3,0)</f>
        <v>#N/A</v>
      </c>
      <c r="H228" s="48" t="e">
        <f t="shared" si="12"/>
        <v>#N/A</v>
      </c>
      <c r="I228" s="48" t="e">
        <f t="shared" si="13"/>
        <v>#N/A</v>
      </c>
      <c r="J228" s="49" t="e">
        <f t="shared" ref="J228:J301" si="14">H228+I228</f>
        <v>#N/A</v>
      </c>
    </row>
    <row r="229" spans="1:10" ht="19" customHeight="1">
      <c r="A229" s="62"/>
      <c r="G229" s="48" t="e">
        <f>VLOOKUP(D229,단가!B:D,3,0)</f>
        <v>#N/A</v>
      </c>
      <c r="H229" s="48" t="e">
        <f t="shared" ref="H229:H302" si="15">F229*G229</f>
        <v>#N/A</v>
      </c>
      <c r="I229" s="48" t="e">
        <f t="shared" ref="I229:I302" si="16">H229*0.1</f>
        <v>#N/A</v>
      </c>
      <c r="J229" s="49" t="e">
        <f t="shared" si="14"/>
        <v>#N/A</v>
      </c>
    </row>
    <row r="230" spans="1:10" ht="19" customHeight="1">
      <c r="A230" s="62"/>
      <c r="G230" s="48" t="e">
        <f>VLOOKUP(D230,단가!B:D,3,0)</f>
        <v>#N/A</v>
      </c>
      <c r="H230" s="48" t="e">
        <f t="shared" si="15"/>
        <v>#N/A</v>
      </c>
      <c r="I230" s="48" t="e">
        <f t="shared" si="16"/>
        <v>#N/A</v>
      </c>
      <c r="J230" s="49" t="e">
        <f t="shared" si="14"/>
        <v>#N/A</v>
      </c>
    </row>
    <row r="231" spans="1:10" ht="19" customHeight="1">
      <c r="A231" s="62"/>
      <c r="G231" s="48" t="e">
        <f>VLOOKUP(D231,단가!B:D,3,0)</f>
        <v>#N/A</v>
      </c>
      <c r="H231" s="48" t="e">
        <f t="shared" si="15"/>
        <v>#N/A</v>
      </c>
      <c r="I231" s="48" t="e">
        <f t="shared" si="16"/>
        <v>#N/A</v>
      </c>
      <c r="J231" s="49" t="e">
        <f t="shared" si="14"/>
        <v>#N/A</v>
      </c>
    </row>
    <row r="232" spans="1:10" ht="19" customHeight="1">
      <c r="A232" s="62"/>
      <c r="G232" s="48" t="e">
        <f>VLOOKUP(D232,단가!B:D,3,0)</f>
        <v>#N/A</v>
      </c>
      <c r="H232" s="48" t="e">
        <f t="shared" si="15"/>
        <v>#N/A</v>
      </c>
      <c r="I232" s="48" t="e">
        <f t="shared" si="16"/>
        <v>#N/A</v>
      </c>
      <c r="J232" s="49" t="e">
        <f t="shared" si="14"/>
        <v>#N/A</v>
      </c>
    </row>
    <row r="233" spans="1:10" ht="19" customHeight="1">
      <c r="A233" s="62"/>
      <c r="G233" s="48" t="e">
        <f>VLOOKUP(D233,단가!B:D,3,0)</f>
        <v>#N/A</v>
      </c>
      <c r="H233" s="48" t="e">
        <f t="shared" si="15"/>
        <v>#N/A</v>
      </c>
      <c r="I233" s="48" t="e">
        <f t="shared" si="16"/>
        <v>#N/A</v>
      </c>
      <c r="J233" s="49" t="e">
        <f t="shared" si="14"/>
        <v>#N/A</v>
      </c>
    </row>
    <row r="234" spans="1:10" ht="19" customHeight="1">
      <c r="A234" s="62"/>
      <c r="G234" s="48" t="e">
        <f>VLOOKUP(D234,단가!B:D,3,0)</f>
        <v>#N/A</v>
      </c>
      <c r="H234" s="48" t="e">
        <f t="shared" si="15"/>
        <v>#N/A</v>
      </c>
      <c r="I234" s="48" t="e">
        <f t="shared" si="16"/>
        <v>#N/A</v>
      </c>
      <c r="J234" s="49" t="e">
        <f t="shared" si="14"/>
        <v>#N/A</v>
      </c>
    </row>
    <row r="235" spans="1:10" ht="19" customHeight="1">
      <c r="A235" s="62"/>
      <c r="G235" s="48" t="e">
        <f>VLOOKUP(D235,단가!B:D,3,0)</f>
        <v>#N/A</v>
      </c>
      <c r="H235" s="48" t="e">
        <f t="shared" si="15"/>
        <v>#N/A</v>
      </c>
      <c r="I235" s="48" t="e">
        <f t="shared" si="16"/>
        <v>#N/A</v>
      </c>
      <c r="J235" s="49" t="e">
        <f t="shared" si="14"/>
        <v>#N/A</v>
      </c>
    </row>
    <row r="236" spans="1:10" ht="19" customHeight="1">
      <c r="A236" s="62"/>
      <c r="G236" s="48" t="e">
        <f>VLOOKUP(D236,단가!B:D,3,0)</f>
        <v>#N/A</v>
      </c>
      <c r="H236" s="48" t="e">
        <f t="shared" si="15"/>
        <v>#N/A</v>
      </c>
      <c r="I236" s="48" t="e">
        <f t="shared" si="16"/>
        <v>#N/A</v>
      </c>
      <c r="J236" s="49" t="e">
        <f t="shared" si="14"/>
        <v>#N/A</v>
      </c>
    </row>
    <row r="237" spans="1:10" ht="19" customHeight="1">
      <c r="A237" s="62"/>
      <c r="G237" s="48" t="e">
        <f>VLOOKUP(D237,단가!B:D,3,0)</f>
        <v>#N/A</v>
      </c>
      <c r="H237" s="48" t="e">
        <f t="shared" si="15"/>
        <v>#N/A</v>
      </c>
      <c r="I237" s="48" t="e">
        <f t="shared" si="16"/>
        <v>#N/A</v>
      </c>
      <c r="J237" s="49" t="e">
        <f t="shared" si="14"/>
        <v>#N/A</v>
      </c>
    </row>
    <row r="238" spans="1:10" ht="19" customHeight="1">
      <c r="A238" s="62"/>
      <c r="G238" s="48" t="e">
        <f>VLOOKUP(D238,단가!B:D,3,0)</f>
        <v>#N/A</v>
      </c>
      <c r="H238" s="48" t="e">
        <f t="shared" si="15"/>
        <v>#N/A</v>
      </c>
      <c r="I238" s="48" t="e">
        <f t="shared" si="16"/>
        <v>#N/A</v>
      </c>
      <c r="J238" s="49" t="e">
        <f t="shared" si="14"/>
        <v>#N/A</v>
      </c>
    </row>
    <row r="239" spans="1:10" ht="19" customHeight="1">
      <c r="A239" s="62"/>
      <c r="G239" s="48" t="e">
        <f>VLOOKUP(D239,단가!B:D,3,0)</f>
        <v>#N/A</v>
      </c>
      <c r="H239" s="48" t="e">
        <f t="shared" si="15"/>
        <v>#N/A</v>
      </c>
      <c r="I239" s="48" t="e">
        <f t="shared" si="16"/>
        <v>#N/A</v>
      </c>
      <c r="J239" s="49" t="e">
        <f t="shared" si="14"/>
        <v>#N/A</v>
      </c>
    </row>
    <row r="240" spans="1:10" ht="19" customHeight="1">
      <c r="A240" s="62"/>
      <c r="G240" s="48" t="e">
        <f>VLOOKUP(D240,단가!B:D,3,0)</f>
        <v>#N/A</v>
      </c>
      <c r="H240" s="48" t="e">
        <f t="shared" si="15"/>
        <v>#N/A</v>
      </c>
      <c r="I240" s="48" t="e">
        <f t="shared" si="16"/>
        <v>#N/A</v>
      </c>
      <c r="J240" s="49" t="e">
        <f t="shared" si="14"/>
        <v>#N/A</v>
      </c>
    </row>
    <row r="241" spans="1:12" ht="19" customHeight="1">
      <c r="A241" s="62"/>
      <c r="G241" s="48" t="e">
        <f>VLOOKUP(D241,단가!B:D,3,0)</f>
        <v>#N/A</v>
      </c>
      <c r="H241" s="48" t="e">
        <f t="shared" si="15"/>
        <v>#N/A</v>
      </c>
      <c r="I241" s="48" t="e">
        <f t="shared" si="16"/>
        <v>#N/A</v>
      </c>
      <c r="J241" s="49" t="e">
        <f t="shared" si="14"/>
        <v>#N/A</v>
      </c>
    </row>
    <row r="242" spans="1:12" ht="19" customHeight="1">
      <c r="A242" s="62"/>
      <c r="G242" s="48" t="e">
        <f>VLOOKUP(D242,단가!B:D,3,0)</f>
        <v>#N/A</v>
      </c>
      <c r="H242" s="48" t="e">
        <f t="shared" si="15"/>
        <v>#N/A</v>
      </c>
      <c r="I242" s="48" t="e">
        <f t="shared" si="16"/>
        <v>#N/A</v>
      </c>
      <c r="J242" s="49" t="e">
        <f t="shared" si="14"/>
        <v>#N/A</v>
      </c>
    </row>
    <row r="243" spans="1:12" ht="19" customHeight="1">
      <c r="A243" s="62"/>
      <c r="G243" s="48" t="e">
        <f>VLOOKUP(D243,단가!B:D,3,0)</f>
        <v>#N/A</v>
      </c>
      <c r="H243" s="48" t="e">
        <f t="shared" si="15"/>
        <v>#N/A</v>
      </c>
      <c r="I243" s="48" t="e">
        <f t="shared" si="16"/>
        <v>#N/A</v>
      </c>
      <c r="J243" s="49" t="e">
        <f t="shared" si="14"/>
        <v>#N/A</v>
      </c>
    </row>
    <row r="244" spans="1:12" ht="19" customHeight="1">
      <c r="A244" s="62"/>
      <c r="G244" s="48" t="e">
        <f>VLOOKUP(D244,단가!B:D,3,0)</f>
        <v>#N/A</v>
      </c>
      <c r="H244" s="48" t="e">
        <f t="shared" si="15"/>
        <v>#N/A</v>
      </c>
      <c r="I244" s="48" t="e">
        <f t="shared" si="16"/>
        <v>#N/A</v>
      </c>
      <c r="J244" s="49" t="e">
        <f t="shared" si="14"/>
        <v>#N/A</v>
      </c>
    </row>
    <row r="245" spans="1:12" ht="19" customHeight="1">
      <c r="A245" s="62"/>
      <c r="G245" s="48" t="e">
        <f>VLOOKUP(D245,단가!B:D,3,0)</f>
        <v>#N/A</v>
      </c>
      <c r="H245" s="48" t="e">
        <f t="shared" si="15"/>
        <v>#N/A</v>
      </c>
      <c r="I245" s="48" t="e">
        <f t="shared" si="16"/>
        <v>#N/A</v>
      </c>
      <c r="J245" s="49" t="e">
        <f t="shared" si="14"/>
        <v>#N/A</v>
      </c>
    </row>
    <row r="246" spans="1:12" ht="19" customHeight="1">
      <c r="A246" s="62"/>
      <c r="G246" s="48" t="e">
        <f>VLOOKUP(D246,단가!B:D,3,0)</f>
        <v>#N/A</v>
      </c>
      <c r="H246" s="48" t="e">
        <f t="shared" si="15"/>
        <v>#N/A</v>
      </c>
      <c r="I246" s="48" t="e">
        <f t="shared" si="16"/>
        <v>#N/A</v>
      </c>
      <c r="J246" s="49" t="e">
        <f t="shared" si="14"/>
        <v>#N/A</v>
      </c>
    </row>
    <row r="247" spans="1:12" ht="19" customHeight="1">
      <c r="A247" s="62"/>
      <c r="G247" s="48" t="e">
        <f>VLOOKUP(D247,단가!B:D,3,0)</f>
        <v>#N/A</v>
      </c>
      <c r="H247" s="48" t="e">
        <f t="shared" si="15"/>
        <v>#N/A</v>
      </c>
      <c r="I247" s="48" t="e">
        <f t="shared" si="16"/>
        <v>#N/A</v>
      </c>
      <c r="J247" s="49" t="e">
        <f t="shared" si="14"/>
        <v>#N/A</v>
      </c>
    </row>
    <row r="248" spans="1:12" ht="19" customHeight="1">
      <c r="A248" s="62"/>
      <c r="G248" s="48" t="e">
        <f>VLOOKUP(D248,단가!B:D,3,0)</f>
        <v>#N/A</v>
      </c>
      <c r="H248" s="48" t="e">
        <f t="shared" si="15"/>
        <v>#N/A</v>
      </c>
      <c r="I248" s="48" t="e">
        <f t="shared" si="16"/>
        <v>#N/A</v>
      </c>
      <c r="J248" s="49" t="e">
        <f t="shared" si="14"/>
        <v>#N/A</v>
      </c>
    </row>
    <row r="249" spans="1:12" ht="19" customHeight="1">
      <c r="A249" s="62"/>
      <c r="G249" s="48" t="e">
        <f>VLOOKUP(D249,단가!B:D,3,0)</f>
        <v>#N/A</v>
      </c>
      <c r="H249" s="48" t="e">
        <f t="shared" si="15"/>
        <v>#N/A</v>
      </c>
      <c r="I249" s="48" t="e">
        <f t="shared" si="16"/>
        <v>#N/A</v>
      </c>
      <c r="J249" s="49" t="e">
        <f t="shared" si="14"/>
        <v>#N/A</v>
      </c>
    </row>
    <row r="250" spans="1:12" ht="19" customHeight="1">
      <c r="A250" s="62"/>
      <c r="G250" s="48" t="e">
        <f>VLOOKUP(D250,단가!B:D,3,0)</f>
        <v>#N/A</v>
      </c>
      <c r="H250" s="48" t="e">
        <f t="shared" si="15"/>
        <v>#N/A</v>
      </c>
      <c r="I250" s="48" t="e">
        <f t="shared" si="16"/>
        <v>#N/A</v>
      </c>
      <c r="J250" s="49" t="e">
        <f t="shared" si="14"/>
        <v>#N/A</v>
      </c>
    </row>
    <row r="251" spans="1:12" ht="19" customHeight="1">
      <c r="A251" s="62"/>
      <c r="G251" s="48" t="e">
        <f>VLOOKUP(D251,단가!B:D,3,0)</f>
        <v>#N/A</v>
      </c>
      <c r="H251" s="48" t="e">
        <f t="shared" si="15"/>
        <v>#N/A</v>
      </c>
      <c r="I251" s="48" t="e">
        <f t="shared" si="16"/>
        <v>#N/A</v>
      </c>
      <c r="J251" s="49" t="e">
        <f t="shared" si="14"/>
        <v>#N/A</v>
      </c>
    </row>
    <row r="252" spans="1:12" ht="19" customHeight="1">
      <c r="A252" s="62"/>
      <c r="G252" s="48" t="e">
        <f>VLOOKUP(D252,단가!B:D,3,0)</f>
        <v>#N/A</v>
      </c>
      <c r="H252" s="48" t="e">
        <f t="shared" si="15"/>
        <v>#N/A</v>
      </c>
      <c r="I252" s="48" t="e">
        <f t="shared" si="16"/>
        <v>#N/A</v>
      </c>
      <c r="J252" s="49" t="e">
        <f t="shared" si="14"/>
        <v>#N/A</v>
      </c>
    </row>
    <row r="253" spans="1:12" ht="19" customHeight="1">
      <c r="A253" s="62"/>
      <c r="G253" s="48" t="e">
        <f>VLOOKUP(D253,단가!B:D,3,0)</f>
        <v>#N/A</v>
      </c>
      <c r="H253" s="48" t="e">
        <f t="shared" si="15"/>
        <v>#N/A</v>
      </c>
      <c r="I253" s="48" t="e">
        <f t="shared" si="16"/>
        <v>#N/A</v>
      </c>
      <c r="J253" s="49" t="e">
        <f t="shared" si="14"/>
        <v>#N/A</v>
      </c>
      <c r="L253" s="56"/>
    </row>
    <row r="254" spans="1:12" ht="19" customHeight="1">
      <c r="A254" s="62"/>
      <c r="G254" s="48" t="e">
        <f>VLOOKUP(D254,단가!B:D,3,0)</f>
        <v>#N/A</v>
      </c>
      <c r="H254" s="48" t="e">
        <f t="shared" si="15"/>
        <v>#N/A</v>
      </c>
      <c r="I254" s="48" t="e">
        <f t="shared" si="16"/>
        <v>#N/A</v>
      </c>
      <c r="J254" s="49" t="e">
        <f t="shared" si="14"/>
        <v>#N/A</v>
      </c>
    </row>
    <row r="255" spans="1:12" ht="19" customHeight="1">
      <c r="A255" s="62"/>
      <c r="D255" s="67"/>
      <c r="G255" s="48" t="e">
        <f>VLOOKUP(D255,단가!B:D,3,0)</f>
        <v>#N/A</v>
      </c>
      <c r="H255" s="48" t="e">
        <f t="shared" si="15"/>
        <v>#N/A</v>
      </c>
      <c r="I255" s="48" t="e">
        <f t="shared" si="16"/>
        <v>#N/A</v>
      </c>
      <c r="J255" s="49" t="e">
        <f t="shared" si="14"/>
        <v>#N/A</v>
      </c>
    </row>
    <row r="256" spans="1:12" ht="19" customHeight="1">
      <c r="A256" s="62"/>
      <c r="G256" s="48" t="e">
        <f>VLOOKUP(D256,단가!B:D,3,0)</f>
        <v>#N/A</v>
      </c>
      <c r="H256" s="48" t="e">
        <f t="shared" si="15"/>
        <v>#N/A</v>
      </c>
      <c r="I256" s="48" t="e">
        <f t="shared" si="16"/>
        <v>#N/A</v>
      </c>
      <c r="J256" s="49" t="e">
        <f t="shared" si="14"/>
        <v>#N/A</v>
      </c>
    </row>
    <row r="257" spans="1:11" ht="19" customHeight="1">
      <c r="A257" s="62"/>
      <c r="G257" s="48" t="e">
        <f>VLOOKUP(D257,단가!B:D,3,0)</f>
        <v>#N/A</v>
      </c>
      <c r="H257" s="48" t="e">
        <f t="shared" si="15"/>
        <v>#N/A</v>
      </c>
      <c r="I257" s="48" t="e">
        <f t="shared" si="16"/>
        <v>#N/A</v>
      </c>
      <c r="J257" s="49" t="e">
        <f t="shared" si="14"/>
        <v>#N/A</v>
      </c>
    </row>
    <row r="258" spans="1:11" ht="19" customHeight="1">
      <c r="A258" s="62"/>
      <c r="G258" s="48" t="e">
        <f>VLOOKUP(D258,단가!B:D,3,0)</f>
        <v>#N/A</v>
      </c>
      <c r="H258" s="48" t="e">
        <f t="shared" si="15"/>
        <v>#N/A</v>
      </c>
      <c r="I258" s="48" t="e">
        <f t="shared" si="16"/>
        <v>#N/A</v>
      </c>
      <c r="J258" s="49" t="e">
        <f t="shared" si="14"/>
        <v>#N/A</v>
      </c>
    </row>
    <row r="259" spans="1:11" ht="19" customHeight="1">
      <c r="A259" s="62"/>
      <c r="G259" s="48" t="e">
        <f>VLOOKUP(D259,단가!B:D,3,0)</f>
        <v>#N/A</v>
      </c>
      <c r="H259" s="48" t="e">
        <f t="shared" si="15"/>
        <v>#N/A</v>
      </c>
      <c r="I259" s="48" t="e">
        <f t="shared" si="16"/>
        <v>#N/A</v>
      </c>
      <c r="J259" s="49" t="e">
        <f t="shared" si="14"/>
        <v>#N/A</v>
      </c>
    </row>
    <row r="260" spans="1:11" ht="19" customHeight="1">
      <c r="A260" s="62"/>
      <c r="G260" s="48" t="e">
        <f>VLOOKUP(D260,단가!B:D,3,0)</f>
        <v>#N/A</v>
      </c>
      <c r="H260" s="48" t="e">
        <f t="shared" si="15"/>
        <v>#N/A</v>
      </c>
      <c r="I260" s="48" t="e">
        <f t="shared" si="16"/>
        <v>#N/A</v>
      </c>
      <c r="J260" s="49" t="e">
        <f t="shared" si="14"/>
        <v>#N/A</v>
      </c>
    </row>
    <row r="261" spans="1:11" ht="19" customHeight="1">
      <c r="A261" s="62"/>
      <c r="G261" s="48" t="e">
        <f>VLOOKUP(D261,단가!B:D,3,0)</f>
        <v>#N/A</v>
      </c>
      <c r="H261" s="48" t="e">
        <f t="shared" si="15"/>
        <v>#N/A</v>
      </c>
      <c r="I261" s="48" t="e">
        <f t="shared" si="16"/>
        <v>#N/A</v>
      </c>
      <c r="J261" s="49" t="e">
        <f t="shared" si="14"/>
        <v>#N/A</v>
      </c>
    </row>
    <row r="262" spans="1:11" ht="19" customHeight="1">
      <c r="A262" s="62"/>
      <c r="G262" s="48" t="e">
        <f>VLOOKUP(D262,단가!B:D,3,0)</f>
        <v>#N/A</v>
      </c>
      <c r="H262" s="48" t="e">
        <f t="shared" si="15"/>
        <v>#N/A</v>
      </c>
      <c r="I262" s="48" t="e">
        <f t="shared" si="16"/>
        <v>#N/A</v>
      </c>
      <c r="J262" s="49" t="e">
        <f t="shared" si="14"/>
        <v>#N/A</v>
      </c>
    </row>
    <row r="263" spans="1:11" ht="19" customHeight="1">
      <c r="A263" s="62"/>
      <c r="G263" s="48" t="e">
        <f>VLOOKUP(D263,단가!B:D,3,0)</f>
        <v>#N/A</v>
      </c>
      <c r="H263" s="48" t="e">
        <f t="shared" si="15"/>
        <v>#N/A</v>
      </c>
      <c r="I263" s="48" t="e">
        <f t="shared" si="16"/>
        <v>#N/A</v>
      </c>
      <c r="J263" s="49" t="e">
        <f t="shared" si="14"/>
        <v>#N/A</v>
      </c>
    </row>
    <row r="264" spans="1:11" ht="19" customHeight="1">
      <c r="A264" s="62"/>
      <c r="G264" s="48" t="e">
        <f>VLOOKUP(D264,단가!B:D,3,0)</f>
        <v>#N/A</v>
      </c>
      <c r="H264" s="48" t="e">
        <f t="shared" si="15"/>
        <v>#N/A</v>
      </c>
      <c r="I264" s="48" t="e">
        <f t="shared" si="16"/>
        <v>#N/A</v>
      </c>
      <c r="J264" s="49" t="e">
        <f t="shared" si="14"/>
        <v>#N/A</v>
      </c>
    </row>
    <row r="265" spans="1:11" ht="19" customHeight="1">
      <c r="A265" s="62"/>
      <c r="G265" s="48" t="e">
        <f>VLOOKUP(D265,단가!B:D,3,0)</f>
        <v>#N/A</v>
      </c>
      <c r="H265" s="48" t="e">
        <f t="shared" si="15"/>
        <v>#N/A</v>
      </c>
      <c r="I265" s="48" t="e">
        <f t="shared" si="16"/>
        <v>#N/A</v>
      </c>
      <c r="J265" s="49" t="e">
        <f t="shared" si="14"/>
        <v>#N/A</v>
      </c>
    </row>
    <row r="266" spans="1:11" ht="19" customHeight="1">
      <c r="A266" s="62"/>
      <c r="G266" s="48" t="e">
        <f>VLOOKUP(D266,단가!B:D,3,0)</f>
        <v>#N/A</v>
      </c>
      <c r="H266" s="48" t="e">
        <f t="shared" si="15"/>
        <v>#N/A</v>
      </c>
      <c r="I266" s="48" t="e">
        <f t="shared" si="16"/>
        <v>#N/A</v>
      </c>
      <c r="J266" s="49" t="e">
        <f t="shared" si="14"/>
        <v>#N/A</v>
      </c>
    </row>
    <row r="267" spans="1:11" ht="19" customHeight="1">
      <c r="A267" s="62"/>
      <c r="G267" s="48" t="e">
        <f>VLOOKUP(D267,단가!B:D,3,0)</f>
        <v>#N/A</v>
      </c>
      <c r="H267" s="48" t="e">
        <f t="shared" si="15"/>
        <v>#N/A</v>
      </c>
      <c r="I267" s="48" t="e">
        <f t="shared" si="16"/>
        <v>#N/A</v>
      </c>
      <c r="J267" s="49" t="e">
        <f t="shared" si="14"/>
        <v>#N/A</v>
      </c>
    </row>
    <row r="268" spans="1:11" ht="19" customHeight="1">
      <c r="A268" s="62"/>
      <c r="G268" s="48" t="e">
        <f>VLOOKUP(D268,단가!B:D,3,0)</f>
        <v>#N/A</v>
      </c>
      <c r="H268" s="48" t="e">
        <f t="shared" si="15"/>
        <v>#N/A</v>
      </c>
      <c r="I268" s="48" t="e">
        <f t="shared" si="16"/>
        <v>#N/A</v>
      </c>
      <c r="J268" s="49" t="e">
        <f t="shared" si="14"/>
        <v>#N/A</v>
      </c>
    </row>
    <row r="269" spans="1:11" ht="19" customHeight="1">
      <c r="A269" s="62"/>
      <c r="G269" s="48" t="e">
        <f>VLOOKUP(D269,단가!B:D,3,0)</f>
        <v>#N/A</v>
      </c>
      <c r="H269" s="48" t="e">
        <f t="shared" si="15"/>
        <v>#N/A</v>
      </c>
      <c r="I269" s="48" t="e">
        <f t="shared" si="16"/>
        <v>#N/A</v>
      </c>
      <c r="J269" s="49" t="e">
        <f t="shared" si="14"/>
        <v>#N/A</v>
      </c>
      <c r="K269" s="49"/>
    </row>
    <row r="270" spans="1:11" ht="19" customHeight="1">
      <c r="A270" s="62"/>
      <c r="G270" s="48" t="e">
        <f>VLOOKUP(D270,단가!B:D,3,0)</f>
        <v>#N/A</v>
      </c>
      <c r="H270" s="48" t="e">
        <f t="shared" si="15"/>
        <v>#N/A</v>
      </c>
      <c r="I270" s="48" t="e">
        <f t="shared" si="16"/>
        <v>#N/A</v>
      </c>
      <c r="J270" s="49" t="e">
        <f t="shared" si="14"/>
        <v>#N/A</v>
      </c>
    </row>
    <row r="271" spans="1:11" ht="19" customHeight="1">
      <c r="A271" s="62"/>
      <c r="G271" s="48" t="e">
        <f>VLOOKUP(D271,단가!B:D,3,0)</f>
        <v>#N/A</v>
      </c>
      <c r="H271" s="48" t="e">
        <f t="shared" si="15"/>
        <v>#N/A</v>
      </c>
      <c r="I271" s="48" t="e">
        <f t="shared" si="16"/>
        <v>#N/A</v>
      </c>
      <c r="J271" s="49" t="e">
        <f t="shared" si="14"/>
        <v>#N/A</v>
      </c>
    </row>
    <row r="272" spans="1:11" ht="19" customHeight="1">
      <c r="A272" s="62"/>
      <c r="G272" s="48" t="e">
        <f>VLOOKUP(D272,단가!B:D,3,0)</f>
        <v>#N/A</v>
      </c>
      <c r="H272" s="48" t="e">
        <f t="shared" si="15"/>
        <v>#N/A</v>
      </c>
      <c r="I272" s="48" t="e">
        <f t="shared" si="16"/>
        <v>#N/A</v>
      </c>
      <c r="J272" s="49" t="e">
        <f t="shared" si="14"/>
        <v>#N/A</v>
      </c>
    </row>
    <row r="273" spans="1:12" ht="19" customHeight="1">
      <c r="A273" s="62"/>
      <c r="G273" s="48" t="e">
        <f>VLOOKUP(D273,단가!B:D,3,0)</f>
        <v>#N/A</v>
      </c>
      <c r="H273" s="48" t="e">
        <f t="shared" si="15"/>
        <v>#N/A</v>
      </c>
      <c r="I273" s="48" t="e">
        <f t="shared" si="16"/>
        <v>#N/A</v>
      </c>
      <c r="J273" s="49" t="e">
        <f t="shared" si="14"/>
        <v>#N/A</v>
      </c>
    </row>
    <row r="274" spans="1:12" ht="19" customHeight="1">
      <c r="A274" s="62"/>
      <c r="G274" s="48" t="e">
        <f>VLOOKUP(D274,단가!B:D,3,0)</f>
        <v>#N/A</v>
      </c>
      <c r="H274" s="48" t="e">
        <f t="shared" si="15"/>
        <v>#N/A</v>
      </c>
      <c r="I274" s="48" t="e">
        <f t="shared" si="16"/>
        <v>#N/A</v>
      </c>
      <c r="J274" s="49" t="e">
        <f t="shared" si="14"/>
        <v>#N/A</v>
      </c>
      <c r="L274" s="56"/>
    </row>
    <row r="275" spans="1:12" ht="19" customHeight="1">
      <c r="A275" s="62"/>
      <c r="G275" s="48" t="e">
        <f>VLOOKUP(D275,단가!B:D,3,0)</f>
        <v>#N/A</v>
      </c>
      <c r="H275" s="48" t="e">
        <f t="shared" si="15"/>
        <v>#N/A</v>
      </c>
      <c r="I275" s="48" t="e">
        <f t="shared" si="16"/>
        <v>#N/A</v>
      </c>
      <c r="J275" s="49" t="e">
        <f t="shared" si="14"/>
        <v>#N/A</v>
      </c>
    </row>
    <row r="276" spans="1:12" ht="19" customHeight="1">
      <c r="A276" s="62"/>
      <c r="G276" s="48" t="e">
        <f>VLOOKUP(D276,단가!B:D,3,0)</f>
        <v>#N/A</v>
      </c>
      <c r="H276" s="48" t="e">
        <f t="shared" si="15"/>
        <v>#N/A</v>
      </c>
      <c r="I276" s="48" t="e">
        <f t="shared" si="16"/>
        <v>#N/A</v>
      </c>
      <c r="J276" s="49" t="e">
        <f t="shared" si="14"/>
        <v>#N/A</v>
      </c>
    </row>
    <row r="277" spans="1:12" ht="19" customHeight="1">
      <c r="A277" s="62"/>
      <c r="G277" s="48" t="e">
        <f>VLOOKUP(D277,단가!B:D,3,0)</f>
        <v>#N/A</v>
      </c>
      <c r="H277" s="48" t="e">
        <f t="shared" si="15"/>
        <v>#N/A</v>
      </c>
      <c r="I277" s="48" t="e">
        <f t="shared" si="16"/>
        <v>#N/A</v>
      </c>
      <c r="J277" s="49" t="e">
        <f t="shared" si="14"/>
        <v>#N/A</v>
      </c>
    </row>
    <row r="278" spans="1:12" ht="19" customHeight="1">
      <c r="A278" s="62"/>
      <c r="G278" s="48" t="e">
        <f>VLOOKUP(D278,단가!B:D,3,0)</f>
        <v>#N/A</v>
      </c>
      <c r="H278" s="48" t="e">
        <f t="shared" si="15"/>
        <v>#N/A</v>
      </c>
      <c r="I278" s="48" t="e">
        <f t="shared" si="16"/>
        <v>#N/A</v>
      </c>
      <c r="J278" s="49" t="e">
        <f t="shared" si="14"/>
        <v>#N/A</v>
      </c>
    </row>
    <row r="279" spans="1:12" ht="19" customHeight="1">
      <c r="A279" s="62"/>
      <c r="G279" s="48" t="e">
        <f>VLOOKUP(D279,단가!B:D,3,0)</f>
        <v>#N/A</v>
      </c>
      <c r="H279" s="48" t="e">
        <f t="shared" si="15"/>
        <v>#N/A</v>
      </c>
      <c r="I279" s="48" t="e">
        <f t="shared" si="16"/>
        <v>#N/A</v>
      </c>
      <c r="J279" s="49" t="e">
        <f t="shared" si="14"/>
        <v>#N/A</v>
      </c>
    </row>
    <row r="280" spans="1:12" ht="19" customHeight="1">
      <c r="A280" s="62"/>
      <c r="G280" s="48" t="e">
        <f>VLOOKUP(D280,단가!B:D,3,0)</f>
        <v>#N/A</v>
      </c>
      <c r="H280" s="48" t="e">
        <f t="shared" si="15"/>
        <v>#N/A</v>
      </c>
      <c r="I280" s="48" t="e">
        <f t="shared" si="16"/>
        <v>#N/A</v>
      </c>
      <c r="J280" s="49" t="e">
        <f t="shared" si="14"/>
        <v>#N/A</v>
      </c>
    </row>
    <row r="281" spans="1:12" ht="19" customHeight="1">
      <c r="A281" s="62"/>
      <c r="G281" s="48" t="e">
        <f>VLOOKUP(D281,단가!B:D,3,0)</f>
        <v>#N/A</v>
      </c>
      <c r="H281" s="48" t="e">
        <f t="shared" si="15"/>
        <v>#N/A</v>
      </c>
      <c r="I281" s="48" t="e">
        <f t="shared" si="16"/>
        <v>#N/A</v>
      </c>
      <c r="J281" s="49" t="e">
        <f t="shared" si="14"/>
        <v>#N/A</v>
      </c>
    </row>
    <row r="282" spans="1:12" ht="19" customHeight="1">
      <c r="A282" s="62"/>
      <c r="G282" s="48" t="e">
        <f>VLOOKUP(D282,단가!B:D,3,0)</f>
        <v>#N/A</v>
      </c>
      <c r="H282" s="48" t="e">
        <f t="shared" si="15"/>
        <v>#N/A</v>
      </c>
      <c r="I282" s="48" t="e">
        <f t="shared" si="16"/>
        <v>#N/A</v>
      </c>
      <c r="J282" s="49" t="e">
        <f t="shared" si="14"/>
        <v>#N/A</v>
      </c>
    </row>
    <row r="283" spans="1:12" ht="19" customHeight="1">
      <c r="A283" s="62"/>
      <c r="G283" s="48" t="e">
        <f>VLOOKUP(D283,단가!B:D,3,0)</f>
        <v>#N/A</v>
      </c>
      <c r="H283" s="48" t="e">
        <f t="shared" si="15"/>
        <v>#N/A</v>
      </c>
      <c r="I283" s="48" t="e">
        <f t="shared" si="16"/>
        <v>#N/A</v>
      </c>
      <c r="J283" s="49" t="e">
        <f t="shared" si="14"/>
        <v>#N/A</v>
      </c>
    </row>
    <row r="284" spans="1:12" ht="19" customHeight="1">
      <c r="A284" s="62"/>
      <c r="G284" s="48" t="e">
        <f>VLOOKUP(D284,단가!B:D,3,0)</f>
        <v>#N/A</v>
      </c>
      <c r="H284" s="48" t="e">
        <f t="shared" si="15"/>
        <v>#N/A</v>
      </c>
      <c r="I284" s="48" t="e">
        <f t="shared" si="16"/>
        <v>#N/A</v>
      </c>
      <c r="J284" s="49" t="e">
        <f t="shared" si="14"/>
        <v>#N/A</v>
      </c>
    </row>
    <row r="285" spans="1:12" ht="19" customHeight="1">
      <c r="A285" s="62"/>
      <c r="G285" s="48" t="e">
        <f>VLOOKUP(D285,단가!B:D,3,0)</f>
        <v>#N/A</v>
      </c>
      <c r="H285" s="48" t="e">
        <f t="shared" si="15"/>
        <v>#N/A</v>
      </c>
      <c r="I285" s="48" t="e">
        <f t="shared" si="16"/>
        <v>#N/A</v>
      </c>
      <c r="J285" s="49" t="e">
        <f t="shared" si="14"/>
        <v>#N/A</v>
      </c>
    </row>
    <row r="286" spans="1:12" ht="19" customHeight="1">
      <c r="A286" s="62"/>
      <c r="G286" s="48" t="e">
        <f>VLOOKUP(D286,단가!B:D,3,0)</f>
        <v>#N/A</v>
      </c>
      <c r="H286" s="48" t="e">
        <f t="shared" si="15"/>
        <v>#N/A</v>
      </c>
      <c r="I286" s="48" t="e">
        <f t="shared" si="16"/>
        <v>#N/A</v>
      </c>
      <c r="J286" s="49" t="e">
        <f t="shared" si="14"/>
        <v>#N/A</v>
      </c>
    </row>
    <row r="287" spans="1:12" ht="19" customHeight="1">
      <c r="A287" s="62"/>
      <c r="G287" s="48" t="e">
        <f>VLOOKUP(D287,단가!B:D,3,0)</f>
        <v>#N/A</v>
      </c>
      <c r="H287" s="48" t="e">
        <f t="shared" si="15"/>
        <v>#N/A</v>
      </c>
      <c r="I287" s="48" t="e">
        <f t="shared" si="16"/>
        <v>#N/A</v>
      </c>
      <c r="J287" s="49" t="e">
        <f t="shared" si="14"/>
        <v>#N/A</v>
      </c>
    </row>
    <row r="288" spans="1:12" ht="19" customHeight="1">
      <c r="A288" s="62"/>
      <c r="G288" s="48" t="e">
        <f>VLOOKUP(D288,단가!B:D,3,0)</f>
        <v>#N/A</v>
      </c>
      <c r="H288" s="48" t="e">
        <f t="shared" si="15"/>
        <v>#N/A</v>
      </c>
      <c r="I288" s="48" t="e">
        <f t="shared" si="16"/>
        <v>#N/A</v>
      </c>
      <c r="J288" s="49" t="e">
        <f t="shared" si="14"/>
        <v>#N/A</v>
      </c>
    </row>
    <row r="289" spans="1:11" ht="19" customHeight="1">
      <c r="A289" s="62"/>
      <c r="G289" s="48" t="e">
        <f>VLOOKUP(D289,단가!B:D,3,0)</f>
        <v>#N/A</v>
      </c>
      <c r="H289" s="48" t="e">
        <f t="shared" si="15"/>
        <v>#N/A</v>
      </c>
      <c r="I289" s="48" t="e">
        <f t="shared" si="16"/>
        <v>#N/A</v>
      </c>
      <c r="J289" s="49" t="e">
        <f t="shared" si="14"/>
        <v>#N/A</v>
      </c>
    </row>
    <row r="290" spans="1:11" ht="19" customHeight="1">
      <c r="A290" s="62"/>
      <c r="G290" s="48" t="e">
        <f>VLOOKUP(D290,단가!B:D,3,0)</f>
        <v>#N/A</v>
      </c>
      <c r="H290" s="48" t="e">
        <f t="shared" si="15"/>
        <v>#N/A</v>
      </c>
      <c r="I290" s="48" t="e">
        <f t="shared" si="16"/>
        <v>#N/A</v>
      </c>
      <c r="J290" s="49" t="e">
        <f t="shared" si="14"/>
        <v>#N/A</v>
      </c>
    </row>
    <row r="291" spans="1:11" ht="19" customHeight="1">
      <c r="A291" s="62"/>
      <c r="G291" s="48" t="e">
        <f>VLOOKUP(D291,단가!B:D,3,0)</f>
        <v>#N/A</v>
      </c>
      <c r="H291" s="48" t="e">
        <f t="shared" si="15"/>
        <v>#N/A</v>
      </c>
      <c r="I291" s="48" t="e">
        <f t="shared" si="16"/>
        <v>#N/A</v>
      </c>
      <c r="J291" s="49" t="e">
        <f t="shared" si="14"/>
        <v>#N/A</v>
      </c>
      <c r="K291" s="49"/>
    </row>
    <row r="292" spans="1:11" ht="19" customHeight="1">
      <c r="A292" s="62"/>
      <c r="G292" s="48" t="e">
        <f>VLOOKUP(D292,단가!B:D,3,0)</f>
        <v>#N/A</v>
      </c>
      <c r="H292" s="48" t="e">
        <f t="shared" si="15"/>
        <v>#N/A</v>
      </c>
      <c r="I292" s="48" t="e">
        <f t="shared" si="16"/>
        <v>#N/A</v>
      </c>
      <c r="J292" s="49" t="e">
        <f t="shared" si="14"/>
        <v>#N/A</v>
      </c>
    </row>
    <row r="293" spans="1:11" ht="19" customHeight="1">
      <c r="A293" s="62"/>
      <c r="G293" s="48" t="e">
        <f>VLOOKUP(D293,단가!B:D,3,0)</f>
        <v>#N/A</v>
      </c>
      <c r="H293" s="48" t="e">
        <f t="shared" si="15"/>
        <v>#N/A</v>
      </c>
      <c r="I293" s="48" t="e">
        <f t="shared" si="16"/>
        <v>#N/A</v>
      </c>
      <c r="J293" s="49" t="e">
        <f t="shared" si="14"/>
        <v>#N/A</v>
      </c>
    </row>
    <row r="294" spans="1:11" ht="19" customHeight="1">
      <c r="A294" s="62"/>
      <c r="G294" s="48" t="e">
        <f>VLOOKUP(D294,단가!B:D,3,0)</f>
        <v>#N/A</v>
      </c>
      <c r="H294" s="48" t="e">
        <f t="shared" si="15"/>
        <v>#N/A</v>
      </c>
      <c r="I294" s="48" t="e">
        <f t="shared" si="16"/>
        <v>#N/A</v>
      </c>
      <c r="J294" s="49" t="e">
        <f t="shared" si="14"/>
        <v>#N/A</v>
      </c>
    </row>
    <row r="295" spans="1:11" ht="19" customHeight="1">
      <c r="A295" s="62"/>
      <c r="G295" s="48" t="e">
        <f>VLOOKUP(D295,단가!B:D,3,0)</f>
        <v>#N/A</v>
      </c>
      <c r="H295" s="48" t="e">
        <f t="shared" si="15"/>
        <v>#N/A</v>
      </c>
      <c r="I295" s="48" t="e">
        <f t="shared" si="16"/>
        <v>#N/A</v>
      </c>
      <c r="J295" s="49" t="e">
        <f t="shared" si="14"/>
        <v>#N/A</v>
      </c>
    </row>
    <row r="296" spans="1:11" ht="19" customHeight="1">
      <c r="A296" s="62"/>
      <c r="G296" s="48" t="e">
        <f>VLOOKUP(D296,단가!B:D,3,0)</f>
        <v>#N/A</v>
      </c>
      <c r="H296" s="48" t="e">
        <f t="shared" si="15"/>
        <v>#N/A</v>
      </c>
      <c r="I296" s="48" t="e">
        <f t="shared" si="16"/>
        <v>#N/A</v>
      </c>
      <c r="J296" s="49" t="e">
        <f t="shared" si="14"/>
        <v>#N/A</v>
      </c>
      <c r="K296" s="49"/>
    </row>
    <row r="297" spans="1:11" ht="19" customHeight="1">
      <c r="A297" s="62"/>
      <c r="G297" s="48" t="e">
        <f>VLOOKUP(D297,단가!B:D,3,0)</f>
        <v>#N/A</v>
      </c>
      <c r="H297" s="48" t="e">
        <f t="shared" si="15"/>
        <v>#N/A</v>
      </c>
      <c r="I297" s="48" t="e">
        <f t="shared" si="16"/>
        <v>#N/A</v>
      </c>
      <c r="J297" s="49" t="e">
        <f t="shared" si="14"/>
        <v>#N/A</v>
      </c>
      <c r="K297" s="49"/>
    </row>
    <row r="298" spans="1:11" ht="19" customHeight="1">
      <c r="A298" s="62"/>
      <c r="G298" s="48" t="e">
        <f>VLOOKUP(D298,단가!B:D,3,0)</f>
        <v>#N/A</v>
      </c>
      <c r="H298" s="48" t="e">
        <f t="shared" si="15"/>
        <v>#N/A</v>
      </c>
      <c r="I298" s="48" t="e">
        <f t="shared" si="16"/>
        <v>#N/A</v>
      </c>
      <c r="J298" s="49" t="e">
        <f t="shared" si="14"/>
        <v>#N/A</v>
      </c>
    </row>
    <row r="299" spans="1:11" ht="19" customHeight="1">
      <c r="A299" s="62"/>
      <c r="G299" s="48" t="e">
        <f>VLOOKUP(D299,단가!B:D,3,0)</f>
        <v>#N/A</v>
      </c>
      <c r="H299" s="48" t="e">
        <f t="shared" si="15"/>
        <v>#N/A</v>
      </c>
      <c r="I299" s="48" t="e">
        <f t="shared" si="16"/>
        <v>#N/A</v>
      </c>
      <c r="J299" s="49" t="e">
        <f t="shared" si="14"/>
        <v>#N/A</v>
      </c>
    </row>
    <row r="300" spans="1:11" ht="19" customHeight="1">
      <c r="A300" s="62"/>
      <c r="G300" s="48" t="e">
        <f>VLOOKUP(D300,단가!B:D,3,0)</f>
        <v>#N/A</v>
      </c>
      <c r="H300" s="48" t="e">
        <f t="shared" si="15"/>
        <v>#N/A</v>
      </c>
      <c r="I300" s="48" t="e">
        <f t="shared" si="16"/>
        <v>#N/A</v>
      </c>
      <c r="J300" s="49" t="e">
        <f t="shared" si="14"/>
        <v>#N/A</v>
      </c>
    </row>
    <row r="301" spans="1:11" ht="19" customHeight="1">
      <c r="A301" s="62"/>
      <c r="G301" s="48" t="e">
        <f>VLOOKUP(D301,단가!B:D,3,0)</f>
        <v>#N/A</v>
      </c>
      <c r="H301" s="48" t="e">
        <f t="shared" si="15"/>
        <v>#N/A</v>
      </c>
      <c r="I301" s="48" t="e">
        <f t="shared" si="16"/>
        <v>#N/A</v>
      </c>
      <c r="J301" s="49" t="e">
        <f t="shared" si="14"/>
        <v>#N/A</v>
      </c>
    </row>
    <row r="302" spans="1:11" ht="19" customHeight="1">
      <c r="A302" s="62"/>
      <c r="G302" s="48" t="e">
        <f>VLOOKUP(D302,단가!B:D,3,0)</f>
        <v>#N/A</v>
      </c>
      <c r="H302" s="48" t="e">
        <f t="shared" si="15"/>
        <v>#N/A</v>
      </c>
      <c r="I302" s="48" t="e">
        <f t="shared" si="16"/>
        <v>#N/A</v>
      </c>
      <c r="J302" s="49" t="e">
        <f t="shared" ref="J302:J365" si="17">H302+I302</f>
        <v>#N/A</v>
      </c>
    </row>
    <row r="303" spans="1:11" ht="19" customHeight="1">
      <c r="A303" s="62"/>
      <c r="G303" s="48" t="e">
        <f>VLOOKUP(D303,단가!B:D,3,0)</f>
        <v>#N/A</v>
      </c>
      <c r="H303" s="48" t="e">
        <f t="shared" ref="H303:H366" si="18">F303*G303</f>
        <v>#N/A</v>
      </c>
      <c r="I303" s="48" t="e">
        <f t="shared" ref="I303:I366" si="19">H303*0.1</f>
        <v>#N/A</v>
      </c>
      <c r="J303" s="49" t="e">
        <f t="shared" si="17"/>
        <v>#N/A</v>
      </c>
    </row>
    <row r="304" spans="1:11" ht="19" customHeight="1">
      <c r="A304" s="62"/>
      <c r="G304" s="48" t="e">
        <f>VLOOKUP(D304,단가!B:D,3,0)</f>
        <v>#N/A</v>
      </c>
      <c r="H304" s="48" t="e">
        <f t="shared" si="18"/>
        <v>#N/A</v>
      </c>
      <c r="I304" s="48" t="e">
        <f t="shared" si="19"/>
        <v>#N/A</v>
      </c>
      <c r="J304" s="49" t="e">
        <f t="shared" si="17"/>
        <v>#N/A</v>
      </c>
    </row>
    <row r="305" spans="1:12" ht="19" customHeight="1">
      <c r="A305" s="62"/>
      <c r="G305" s="48" t="e">
        <f>VLOOKUP(D305,단가!B:D,3,0)</f>
        <v>#N/A</v>
      </c>
      <c r="H305" s="48" t="e">
        <f t="shared" si="18"/>
        <v>#N/A</v>
      </c>
      <c r="I305" s="48" t="e">
        <f t="shared" si="19"/>
        <v>#N/A</v>
      </c>
      <c r="J305" s="49" t="e">
        <f t="shared" si="17"/>
        <v>#N/A</v>
      </c>
      <c r="K305" s="49"/>
    </row>
    <row r="306" spans="1:12" ht="19" customHeight="1">
      <c r="A306" s="62"/>
      <c r="G306" s="48" t="e">
        <f>VLOOKUP(D306,단가!B:D,3,0)</f>
        <v>#N/A</v>
      </c>
      <c r="H306" s="48" t="e">
        <f t="shared" si="18"/>
        <v>#N/A</v>
      </c>
      <c r="I306" s="48" t="e">
        <f t="shared" si="19"/>
        <v>#N/A</v>
      </c>
      <c r="J306" s="49" t="e">
        <f t="shared" si="17"/>
        <v>#N/A</v>
      </c>
    </row>
    <row r="307" spans="1:12" ht="19" customHeight="1">
      <c r="A307" s="62"/>
      <c r="G307" s="48" t="e">
        <f>VLOOKUP(D307,단가!B:D,3,0)</f>
        <v>#N/A</v>
      </c>
      <c r="H307" s="48" t="e">
        <f t="shared" si="18"/>
        <v>#N/A</v>
      </c>
      <c r="I307" s="48" t="e">
        <f t="shared" si="19"/>
        <v>#N/A</v>
      </c>
      <c r="J307" s="49" t="e">
        <f t="shared" si="17"/>
        <v>#N/A</v>
      </c>
    </row>
    <row r="308" spans="1:12" ht="19" customHeight="1">
      <c r="A308" s="62"/>
      <c r="G308" s="48" t="e">
        <f>VLOOKUP(D308,단가!B:D,3,0)</f>
        <v>#N/A</v>
      </c>
      <c r="H308" s="48" t="e">
        <f t="shared" si="18"/>
        <v>#N/A</v>
      </c>
      <c r="I308" s="48" t="e">
        <f t="shared" si="19"/>
        <v>#N/A</v>
      </c>
      <c r="J308" s="49" t="e">
        <f t="shared" si="17"/>
        <v>#N/A</v>
      </c>
      <c r="K308" s="49"/>
    </row>
    <row r="309" spans="1:12" ht="19" customHeight="1">
      <c r="A309" s="62"/>
      <c r="G309" s="48" t="e">
        <f>VLOOKUP(D309,단가!B:D,3,0)</f>
        <v>#N/A</v>
      </c>
      <c r="H309" s="48" t="e">
        <f t="shared" si="18"/>
        <v>#N/A</v>
      </c>
      <c r="I309" s="48" t="e">
        <f t="shared" si="19"/>
        <v>#N/A</v>
      </c>
      <c r="J309" s="49" t="e">
        <f t="shared" si="17"/>
        <v>#N/A</v>
      </c>
    </row>
    <row r="310" spans="1:12" ht="19" customHeight="1">
      <c r="A310" s="62"/>
      <c r="G310" s="48" t="e">
        <f>VLOOKUP(D310,단가!B:D,3,0)</f>
        <v>#N/A</v>
      </c>
      <c r="H310" s="48" t="e">
        <f t="shared" si="18"/>
        <v>#N/A</v>
      </c>
      <c r="I310" s="48" t="e">
        <f t="shared" si="19"/>
        <v>#N/A</v>
      </c>
      <c r="J310" s="49" t="e">
        <f t="shared" si="17"/>
        <v>#N/A</v>
      </c>
      <c r="L310" s="56"/>
    </row>
    <row r="311" spans="1:12" ht="19" customHeight="1">
      <c r="A311" s="62"/>
      <c r="G311" s="48" t="e">
        <f>VLOOKUP(D311,단가!B:D,3,0)</f>
        <v>#N/A</v>
      </c>
      <c r="H311" s="48" t="e">
        <f t="shared" si="18"/>
        <v>#N/A</v>
      </c>
      <c r="I311" s="48" t="e">
        <f t="shared" si="19"/>
        <v>#N/A</v>
      </c>
      <c r="J311" s="49" t="e">
        <f t="shared" si="17"/>
        <v>#N/A</v>
      </c>
    </row>
    <row r="312" spans="1:12" ht="19" customHeight="1">
      <c r="A312" s="62"/>
      <c r="G312" s="48" t="e">
        <f>VLOOKUP(D312,단가!B:D,3,0)</f>
        <v>#N/A</v>
      </c>
      <c r="H312" s="48" t="e">
        <f t="shared" si="18"/>
        <v>#N/A</v>
      </c>
      <c r="I312" s="48" t="e">
        <f t="shared" si="19"/>
        <v>#N/A</v>
      </c>
      <c r="J312" s="49" t="e">
        <f t="shared" si="17"/>
        <v>#N/A</v>
      </c>
    </row>
    <row r="313" spans="1:12" ht="19" customHeight="1">
      <c r="A313" s="62"/>
      <c r="G313" s="48" t="e">
        <f>VLOOKUP(D313,단가!B:D,3,0)</f>
        <v>#N/A</v>
      </c>
      <c r="H313" s="48" t="e">
        <f t="shared" si="18"/>
        <v>#N/A</v>
      </c>
      <c r="I313" s="48" t="e">
        <f t="shared" si="19"/>
        <v>#N/A</v>
      </c>
      <c r="J313" s="49" t="e">
        <f t="shared" si="17"/>
        <v>#N/A</v>
      </c>
    </row>
    <row r="314" spans="1:12" ht="19" customHeight="1">
      <c r="A314" s="62"/>
      <c r="G314" s="48" t="e">
        <f>VLOOKUP(D314,단가!B:D,3,0)</f>
        <v>#N/A</v>
      </c>
      <c r="H314" s="48" t="e">
        <f t="shared" si="18"/>
        <v>#N/A</v>
      </c>
      <c r="I314" s="48" t="e">
        <f t="shared" si="19"/>
        <v>#N/A</v>
      </c>
      <c r="J314" s="49" t="e">
        <f t="shared" si="17"/>
        <v>#N/A</v>
      </c>
    </row>
    <row r="315" spans="1:12" ht="19" customHeight="1">
      <c r="A315" s="62"/>
      <c r="G315" s="48" t="e">
        <f>VLOOKUP(D315,단가!B:D,3,0)</f>
        <v>#N/A</v>
      </c>
      <c r="H315" s="48" t="e">
        <f t="shared" si="18"/>
        <v>#N/A</v>
      </c>
      <c r="I315" s="48" t="e">
        <f t="shared" si="19"/>
        <v>#N/A</v>
      </c>
      <c r="J315" s="49" t="e">
        <f t="shared" si="17"/>
        <v>#N/A</v>
      </c>
    </row>
    <row r="316" spans="1:12" ht="19" customHeight="1">
      <c r="A316" s="62"/>
      <c r="G316" s="48" t="e">
        <f>VLOOKUP(D316,단가!B:D,3,0)</f>
        <v>#N/A</v>
      </c>
      <c r="H316" s="48" t="e">
        <f t="shared" si="18"/>
        <v>#N/A</v>
      </c>
      <c r="I316" s="48" t="e">
        <f t="shared" si="19"/>
        <v>#N/A</v>
      </c>
      <c r="J316" s="49" t="e">
        <f t="shared" si="17"/>
        <v>#N/A</v>
      </c>
    </row>
    <row r="317" spans="1:12" ht="19" customHeight="1">
      <c r="A317" s="62"/>
      <c r="G317" s="48" t="e">
        <f>VLOOKUP(D317,단가!B:D,3,0)</f>
        <v>#N/A</v>
      </c>
      <c r="H317" s="48" t="e">
        <f t="shared" si="18"/>
        <v>#N/A</v>
      </c>
      <c r="I317" s="48" t="e">
        <f t="shared" si="19"/>
        <v>#N/A</v>
      </c>
      <c r="J317" s="49" t="e">
        <f t="shared" si="17"/>
        <v>#N/A</v>
      </c>
    </row>
    <row r="318" spans="1:12" ht="19" customHeight="1">
      <c r="A318" s="62"/>
      <c r="G318" s="48" t="e">
        <f>VLOOKUP(D318,단가!B:D,3,0)</f>
        <v>#N/A</v>
      </c>
      <c r="H318" s="48" t="e">
        <f t="shared" si="18"/>
        <v>#N/A</v>
      </c>
      <c r="I318" s="48" t="e">
        <f t="shared" si="19"/>
        <v>#N/A</v>
      </c>
      <c r="J318" s="49" t="e">
        <f t="shared" si="17"/>
        <v>#N/A</v>
      </c>
    </row>
    <row r="319" spans="1:12" ht="19" customHeight="1">
      <c r="A319" s="62"/>
      <c r="G319" s="48" t="e">
        <f>VLOOKUP(D319,단가!B:D,3,0)</f>
        <v>#N/A</v>
      </c>
      <c r="H319" s="48" t="e">
        <f t="shared" si="18"/>
        <v>#N/A</v>
      </c>
      <c r="I319" s="48" t="e">
        <f t="shared" si="19"/>
        <v>#N/A</v>
      </c>
      <c r="J319" s="49" t="e">
        <f t="shared" si="17"/>
        <v>#N/A</v>
      </c>
      <c r="K319" s="49"/>
    </row>
    <row r="320" spans="1:12" ht="19" customHeight="1">
      <c r="A320" s="62"/>
      <c r="G320" s="48" t="e">
        <f>VLOOKUP(D320,단가!B:D,3,0)</f>
        <v>#N/A</v>
      </c>
      <c r="H320" s="48" t="e">
        <f t="shared" si="18"/>
        <v>#N/A</v>
      </c>
      <c r="I320" s="48" t="e">
        <f t="shared" si="19"/>
        <v>#N/A</v>
      </c>
      <c r="J320" s="49" t="e">
        <f t="shared" si="17"/>
        <v>#N/A</v>
      </c>
    </row>
    <row r="321" spans="1:11" ht="19" customHeight="1">
      <c r="A321" s="62"/>
      <c r="G321" s="48" t="e">
        <f>VLOOKUP(D321,단가!B:D,3,0)</f>
        <v>#N/A</v>
      </c>
      <c r="H321" s="48" t="e">
        <f t="shared" si="18"/>
        <v>#N/A</v>
      </c>
      <c r="I321" s="48" t="e">
        <f t="shared" si="19"/>
        <v>#N/A</v>
      </c>
      <c r="J321" s="49" t="e">
        <f t="shared" si="17"/>
        <v>#N/A</v>
      </c>
    </row>
    <row r="322" spans="1:11" ht="19" customHeight="1">
      <c r="A322" s="62"/>
      <c r="G322" s="48" t="e">
        <f>VLOOKUP(D322,단가!B:D,3,0)</f>
        <v>#N/A</v>
      </c>
      <c r="H322" s="48" t="e">
        <f t="shared" si="18"/>
        <v>#N/A</v>
      </c>
      <c r="I322" s="48" t="e">
        <f t="shared" si="19"/>
        <v>#N/A</v>
      </c>
      <c r="J322" s="49" t="e">
        <f t="shared" si="17"/>
        <v>#N/A</v>
      </c>
    </row>
    <row r="323" spans="1:11" ht="19" customHeight="1">
      <c r="A323" s="62"/>
      <c r="G323" s="48" t="e">
        <f>VLOOKUP(D323,단가!B:D,3,0)</f>
        <v>#N/A</v>
      </c>
      <c r="H323" s="48" t="e">
        <f t="shared" si="18"/>
        <v>#N/A</v>
      </c>
      <c r="I323" s="48" t="e">
        <f t="shared" si="19"/>
        <v>#N/A</v>
      </c>
      <c r="J323" s="49" t="e">
        <f t="shared" si="17"/>
        <v>#N/A</v>
      </c>
      <c r="K323" s="49"/>
    </row>
    <row r="324" spans="1:11" ht="19" customHeight="1">
      <c r="A324" s="62"/>
      <c r="G324" s="48" t="e">
        <f>VLOOKUP(D324,단가!B:D,3,0)</f>
        <v>#N/A</v>
      </c>
      <c r="H324" s="48" t="e">
        <f t="shared" si="18"/>
        <v>#N/A</v>
      </c>
      <c r="I324" s="48" t="e">
        <f t="shared" si="19"/>
        <v>#N/A</v>
      </c>
      <c r="J324" s="49" t="e">
        <f t="shared" si="17"/>
        <v>#N/A</v>
      </c>
    </row>
    <row r="325" spans="1:11" ht="19" customHeight="1">
      <c r="A325" s="62"/>
      <c r="G325" s="48" t="e">
        <f>VLOOKUP(D325,단가!B:D,3,0)</f>
        <v>#N/A</v>
      </c>
      <c r="H325" s="48" t="e">
        <f t="shared" si="18"/>
        <v>#N/A</v>
      </c>
      <c r="I325" s="48" t="e">
        <f t="shared" si="19"/>
        <v>#N/A</v>
      </c>
      <c r="J325" s="49" t="e">
        <f t="shared" si="17"/>
        <v>#N/A</v>
      </c>
    </row>
    <row r="326" spans="1:11" ht="19" customHeight="1">
      <c r="A326" s="62"/>
      <c r="G326" s="48" t="e">
        <f>VLOOKUP(D326,단가!B:D,3,0)</f>
        <v>#N/A</v>
      </c>
      <c r="H326" s="48" t="e">
        <f t="shared" si="18"/>
        <v>#N/A</v>
      </c>
      <c r="I326" s="48" t="e">
        <f t="shared" si="19"/>
        <v>#N/A</v>
      </c>
      <c r="J326" s="49" t="e">
        <f t="shared" si="17"/>
        <v>#N/A</v>
      </c>
    </row>
    <row r="327" spans="1:11" ht="19" customHeight="1">
      <c r="A327" s="62"/>
      <c r="G327" s="48" t="e">
        <f>VLOOKUP(D327,단가!B:D,3,0)</f>
        <v>#N/A</v>
      </c>
      <c r="H327" s="48" t="e">
        <f t="shared" si="18"/>
        <v>#N/A</v>
      </c>
      <c r="I327" s="48" t="e">
        <f t="shared" si="19"/>
        <v>#N/A</v>
      </c>
      <c r="J327" s="49" t="e">
        <f t="shared" si="17"/>
        <v>#N/A</v>
      </c>
    </row>
    <row r="328" spans="1:11" ht="19" customHeight="1">
      <c r="A328" s="62"/>
      <c r="G328" s="48" t="e">
        <f>VLOOKUP(D328,단가!B:D,3,0)</f>
        <v>#N/A</v>
      </c>
      <c r="H328" s="48" t="e">
        <f t="shared" si="18"/>
        <v>#N/A</v>
      </c>
      <c r="I328" s="48" t="e">
        <f t="shared" si="19"/>
        <v>#N/A</v>
      </c>
      <c r="J328" s="49" t="e">
        <f t="shared" si="17"/>
        <v>#N/A</v>
      </c>
    </row>
    <row r="329" spans="1:11" ht="19" customHeight="1">
      <c r="A329" s="62"/>
      <c r="G329" s="48" t="e">
        <f>VLOOKUP(D329,단가!B:D,3,0)</f>
        <v>#N/A</v>
      </c>
      <c r="H329" s="48" t="e">
        <f t="shared" si="18"/>
        <v>#N/A</v>
      </c>
      <c r="I329" s="48" t="e">
        <f t="shared" si="19"/>
        <v>#N/A</v>
      </c>
      <c r="J329" s="49" t="e">
        <f t="shared" si="17"/>
        <v>#N/A</v>
      </c>
    </row>
    <row r="330" spans="1:11" ht="19" customHeight="1">
      <c r="A330" s="62"/>
      <c r="G330" s="48" t="e">
        <f>VLOOKUP(D330,단가!B:D,3,0)</f>
        <v>#N/A</v>
      </c>
      <c r="H330" s="48" t="e">
        <f t="shared" si="18"/>
        <v>#N/A</v>
      </c>
      <c r="I330" s="48" t="e">
        <f t="shared" si="19"/>
        <v>#N/A</v>
      </c>
      <c r="J330" s="49" t="e">
        <f t="shared" si="17"/>
        <v>#N/A</v>
      </c>
    </row>
    <row r="331" spans="1:11" ht="19" customHeight="1">
      <c r="A331" s="62"/>
      <c r="G331" s="48" t="e">
        <f>VLOOKUP(D331,단가!B:D,3,0)</f>
        <v>#N/A</v>
      </c>
      <c r="H331" s="48" t="e">
        <f t="shared" si="18"/>
        <v>#N/A</v>
      </c>
      <c r="I331" s="48" t="e">
        <f t="shared" si="19"/>
        <v>#N/A</v>
      </c>
      <c r="J331" s="49" t="e">
        <f t="shared" si="17"/>
        <v>#N/A</v>
      </c>
    </row>
    <row r="332" spans="1:11" ht="19" customHeight="1">
      <c r="A332" s="62"/>
      <c r="G332" s="48" t="e">
        <f>VLOOKUP(D332,단가!B:D,3,0)</f>
        <v>#N/A</v>
      </c>
      <c r="H332" s="48" t="e">
        <f t="shared" si="18"/>
        <v>#N/A</v>
      </c>
      <c r="I332" s="48" t="e">
        <f t="shared" si="19"/>
        <v>#N/A</v>
      </c>
      <c r="J332" s="49" t="e">
        <f t="shared" si="17"/>
        <v>#N/A</v>
      </c>
    </row>
    <row r="333" spans="1:11" ht="19" customHeight="1">
      <c r="A333" s="62"/>
      <c r="G333" s="48" t="e">
        <f>VLOOKUP(D333,단가!B:D,3,0)</f>
        <v>#N/A</v>
      </c>
      <c r="H333" s="48" t="e">
        <f t="shared" si="18"/>
        <v>#N/A</v>
      </c>
      <c r="I333" s="48" t="e">
        <f t="shared" si="19"/>
        <v>#N/A</v>
      </c>
      <c r="J333" s="49" t="e">
        <f t="shared" si="17"/>
        <v>#N/A</v>
      </c>
    </row>
    <row r="334" spans="1:11" ht="19" customHeight="1">
      <c r="A334" s="62"/>
      <c r="G334" s="48" t="e">
        <f>VLOOKUP(D334,단가!B:D,3,0)</f>
        <v>#N/A</v>
      </c>
      <c r="H334" s="48" t="e">
        <f t="shared" si="18"/>
        <v>#N/A</v>
      </c>
      <c r="I334" s="48" t="e">
        <f t="shared" si="19"/>
        <v>#N/A</v>
      </c>
      <c r="J334" s="49" t="e">
        <f t="shared" si="17"/>
        <v>#N/A</v>
      </c>
    </row>
    <row r="335" spans="1:11" ht="19" customHeight="1">
      <c r="A335" s="62"/>
      <c r="G335" s="48" t="e">
        <f>VLOOKUP(D335,단가!B:D,3,0)</f>
        <v>#N/A</v>
      </c>
      <c r="H335" s="48" t="e">
        <f t="shared" si="18"/>
        <v>#N/A</v>
      </c>
      <c r="J335" s="49" t="e">
        <f t="shared" si="17"/>
        <v>#N/A</v>
      </c>
      <c r="K335" s="49"/>
    </row>
    <row r="336" spans="1:11" ht="19" customHeight="1">
      <c r="A336" s="62"/>
      <c r="G336" s="48" t="e">
        <f>VLOOKUP(D336,단가!B:D,3,0)</f>
        <v>#N/A</v>
      </c>
      <c r="H336" s="48" t="e">
        <f t="shared" si="18"/>
        <v>#N/A</v>
      </c>
      <c r="I336" s="48" t="e">
        <f t="shared" si="19"/>
        <v>#N/A</v>
      </c>
      <c r="J336" s="49" t="e">
        <f t="shared" si="17"/>
        <v>#N/A</v>
      </c>
    </row>
    <row r="337" spans="1:11" ht="19" customHeight="1">
      <c r="A337" s="62"/>
      <c r="G337" s="48" t="e">
        <f>VLOOKUP(D337,단가!B:D,3,0)</f>
        <v>#N/A</v>
      </c>
      <c r="H337" s="48" t="e">
        <f t="shared" si="18"/>
        <v>#N/A</v>
      </c>
      <c r="I337" s="48" t="e">
        <f t="shared" si="19"/>
        <v>#N/A</v>
      </c>
      <c r="J337" s="49" t="e">
        <f t="shared" si="17"/>
        <v>#N/A</v>
      </c>
    </row>
    <row r="338" spans="1:11" ht="19" customHeight="1">
      <c r="A338" s="62"/>
      <c r="G338" s="48" t="e">
        <f>VLOOKUP(D338,단가!B:D,3,0)</f>
        <v>#N/A</v>
      </c>
      <c r="H338" s="48" t="e">
        <f t="shared" si="18"/>
        <v>#N/A</v>
      </c>
      <c r="I338" s="48" t="e">
        <f t="shared" si="19"/>
        <v>#N/A</v>
      </c>
      <c r="J338" s="49" t="e">
        <f t="shared" si="17"/>
        <v>#N/A</v>
      </c>
    </row>
    <row r="339" spans="1:11" ht="19" customHeight="1">
      <c r="A339" s="62"/>
      <c r="G339" s="48" t="e">
        <f>VLOOKUP(D339,단가!B:D,3,0)</f>
        <v>#N/A</v>
      </c>
      <c r="H339" s="48" t="e">
        <f t="shared" si="18"/>
        <v>#N/A</v>
      </c>
      <c r="I339" s="48" t="e">
        <f t="shared" si="19"/>
        <v>#N/A</v>
      </c>
      <c r="J339" s="49" t="e">
        <f t="shared" si="17"/>
        <v>#N/A</v>
      </c>
    </row>
    <row r="340" spans="1:11" ht="19" customHeight="1">
      <c r="A340" s="62"/>
      <c r="G340" s="48" t="e">
        <f>VLOOKUP(D340,단가!B:D,3,0)</f>
        <v>#N/A</v>
      </c>
      <c r="H340" s="48" t="e">
        <f t="shared" si="18"/>
        <v>#N/A</v>
      </c>
      <c r="I340" s="48" t="e">
        <f t="shared" si="19"/>
        <v>#N/A</v>
      </c>
      <c r="J340" s="49" t="e">
        <f t="shared" si="17"/>
        <v>#N/A</v>
      </c>
    </row>
    <row r="341" spans="1:11" ht="19" customHeight="1">
      <c r="A341" s="62"/>
      <c r="G341" s="48" t="e">
        <f>VLOOKUP(D341,단가!B:D,3,0)</f>
        <v>#N/A</v>
      </c>
      <c r="H341" s="48" t="e">
        <f t="shared" si="18"/>
        <v>#N/A</v>
      </c>
      <c r="I341" s="48" t="e">
        <f t="shared" si="19"/>
        <v>#N/A</v>
      </c>
      <c r="J341" s="49" t="e">
        <f t="shared" si="17"/>
        <v>#N/A</v>
      </c>
    </row>
    <row r="342" spans="1:11" ht="19" customHeight="1">
      <c r="A342" s="62"/>
      <c r="G342" s="48" t="e">
        <f>VLOOKUP(D342,단가!B:D,3,0)</f>
        <v>#N/A</v>
      </c>
      <c r="H342" s="48" t="e">
        <f t="shared" si="18"/>
        <v>#N/A</v>
      </c>
      <c r="I342" s="48" t="e">
        <f t="shared" si="19"/>
        <v>#N/A</v>
      </c>
      <c r="J342" s="49" t="e">
        <f t="shared" si="17"/>
        <v>#N/A</v>
      </c>
    </row>
    <row r="343" spans="1:11" ht="19" customHeight="1">
      <c r="A343" s="62"/>
      <c r="G343" s="48" t="e">
        <f>VLOOKUP(D343,단가!B:D,3,0)</f>
        <v>#N/A</v>
      </c>
      <c r="H343" s="48" t="e">
        <f t="shared" si="18"/>
        <v>#N/A</v>
      </c>
      <c r="I343" s="48" t="e">
        <f t="shared" si="19"/>
        <v>#N/A</v>
      </c>
      <c r="J343" s="49" t="e">
        <f t="shared" si="17"/>
        <v>#N/A</v>
      </c>
    </row>
    <row r="344" spans="1:11" ht="19" customHeight="1">
      <c r="A344" s="62"/>
      <c r="G344" s="48" t="e">
        <f>VLOOKUP(D344,단가!B:D,3,0)</f>
        <v>#N/A</v>
      </c>
      <c r="H344" s="48" t="e">
        <f t="shared" si="18"/>
        <v>#N/A</v>
      </c>
      <c r="I344" s="48" t="e">
        <f t="shared" si="19"/>
        <v>#N/A</v>
      </c>
      <c r="J344" s="49" t="e">
        <f t="shared" si="17"/>
        <v>#N/A</v>
      </c>
    </row>
    <row r="345" spans="1:11" ht="19" customHeight="1">
      <c r="A345" s="62"/>
      <c r="G345" s="48" t="e">
        <f>VLOOKUP(D345,단가!B:D,3,0)</f>
        <v>#N/A</v>
      </c>
      <c r="H345" s="48" t="e">
        <f t="shared" si="18"/>
        <v>#N/A</v>
      </c>
      <c r="I345" s="48" t="e">
        <f t="shared" si="19"/>
        <v>#N/A</v>
      </c>
      <c r="J345" s="49" t="e">
        <f t="shared" si="17"/>
        <v>#N/A</v>
      </c>
    </row>
    <row r="346" spans="1:11" ht="19" customHeight="1">
      <c r="A346" s="62"/>
      <c r="G346" s="48" t="e">
        <f>VLOOKUP(D346,단가!B:D,3,0)</f>
        <v>#N/A</v>
      </c>
      <c r="H346" s="48" t="e">
        <f t="shared" si="18"/>
        <v>#N/A</v>
      </c>
      <c r="I346" s="48" t="e">
        <f t="shared" si="19"/>
        <v>#N/A</v>
      </c>
      <c r="J346" s="49" t="e">
        <f t="shared" si="17"/>
        <v>#N/A</v>
      </c>
    </row>
    <row r="347" spans="1:11" ht="19" customHeight="1">
      <c r="A347" s="62"/>
      <c r="G347" s="48" t="e">
        <f>VLOOKUP(D347,단가!B:D,3,0)</f>
        <v>#N/A</v>
      </c>
      <c r="H347" s="48" t="e">
        <f t="shared" si="18"/>
        <v>#N/A</v>
      </c>
      <c r="I347" s="48" t="e">
        <f t="shared" si="19"/>
        <v>#N/A</v>
      </c>
      <c r="J347" s="49" t="e">
        <f t="shared" si="17"/>
        <v>#N/A</v>
      </c>
    </row>
    <row r="348" spans="1:11" ht="19" customHeight="1">
      <c r="A348" s="62"/>
      <c r="G348" s="48" t="e">
        <f>VLOOKUP(D348,단가!B:D,3,0)</f>
        <v>#N/A</v>
      </c>
      <c r="H348" s="48" t="e">
        <f t="shared" si="18"/>
        <v>#N/A</v>
      </c>
      <c r="I348" s="48" t="e">
        <f t="shared" si="19"/>
        <v>#N/A</v>
      </c>
      <c r="J348" s="49" t="e">
        <f t="shared" si="17"/>
        <v>#N/A</v>
      </c>
    </row>
    <row r="349" spans="1:11" ht="19" customHeight="1">
      <c r="A349" s="62"/>
      <c r="G349" s="48" t="e">
        <f>VLOOKUP(D349,단가!B:D,3,0)</f>
        <v>#N/A</v>
      </c>
      <c r="H349" s="48" t="e">
        <f t="shared" si="18"/>
        <v>#N/A</v>
      </c>
      <c r="I349" s="48" t="e">
        <f t="shared" si="19"/>
        <v>#N/A</v>
      </c>
      <c r="J349" s="49" t="e">
        <f t="shared" si="17"/>
        <v>#N/A</v>
      </c>
    </row>
    <row r="350" spans="1:11" ht="19" customHeight="1">
      <c r="A350" s="62"/>
      <c r="G350" s="48" t="e">
        <f>VLOOKUP(D350,단가!B:D,3,0)</f>
        <v>#N/A</v>
      </c>
      <c r="H350" s="48" t="e">
        <f t="shared" si="18"/>
        <v>#N/A</v>
      </c>
      <c r="I350" s="48" t="e">
        <f t="shared" si="19"/>
        <v>#N/A</v>
      </c>
      <c r="J350" s="49" t="e">
        <f t="shared" si="17"/>
        <v>#N/A</v>
      </c>
    </row>
    <row r="351" spans="1:11" ht="19" customHeight="1">
      <c r="A351" s="62"/>
      <c r="G351" s="48" t="e">
        <f>VLOOKUP(D351,단가!B:D,3,0)</f>
        <v>#N/A</v>
      </c>
      <c r="H351" s="48" t="e">
        <f t="shared" si="18"/>
        <v>#N/A</v>
      </c>
      <c r="I351" s="48" t="e">
        <f t="shared" si="19"/>
        <v>#N/A</v>
      </c>
      <c r="J351" s="49" t="e">
        <f t="shared" si="17"/>
        <v>#N/A</v>
      </c>
    </row>
    <row r="352" spans="1:11" ht="19" customHeight="1">
      <c r="A352" s="62"/>
      <c r="G352" s="48" t="e">
        <f>VLOOKUP(D352,단가!B:D,3,0)</f>
        <v>#N/A</v>
      </c>
      <c r="H352" s="48" t="e">
        <f t="shared" si="18"/>
        <v>#N/A</v>
      </c>
      <c r="I352" s="48" t="e">
        <f t="shared" si="19"/>
        <v>#N/A</v>
      </c>
      <c r="J352" s="49" t="e">
        <f t="shared" si="17"/>
        <v>#N/A</v>
      </c>
      <c r="K352" s="49"/>
    </row>
    <row r="353" spans="1:11" ht="19" customHeight="1">
      <c r="A353" s="62"/>
      <c r="G353" s="48" t="e">
        <f>VLOOKUP(D353,단가!B:D,3,0)</f>
        <v>#N/A</v>
      </c>
      <c r="H353" s="48" t="e">
        <f t="shared" si="18"/>
        <v>#N/A</v>
      </c>
      <c r="I353" s="48" t="e">
        <f t="shared" si="19"/>
        <v>#N/A</v>
      </c>
      <c r="J353" s="49" t="e">
        <f t="shared" si="17"/>
        <v>#N/A</v>
      </c>
    </row>
    <row r="354" spans="1:11" ht="19" customHeight="1">
      <c r="A354" s="62"/>
      <c r="G354" s="48" t="e">
        <f>VLOOKUP(D354,단가!B:D,3,0)</f>
        <v>#N/A</v>
      </c>
      <c r="H354" s="48" t="e">
        <f t="shared" si="18"/>
        <v>#N/A</v>
      </c>
      <c r="I354" s="48" t="e">
        <f t="shared" si="19"/>
        <v>#N/A</v>
      </c>
      <c r="J354" s="49" t="e">
        <f t="shared" si="17"/>
        <v>#N/A</v>
      </c>
    </row>
    <row r="355" spans="1:11" ht="19" customHeight="1">
      <c r="A355" s="62"/>
      <c r="G355" s="48" t="e">
        <f>VLOOKUP(D355,단가!B:D,3,0)</f>
        <v>#N/A</v>
      </c>
      <c r="H355" s="48" t="e">
        <f t="shared" si="18"/>
        <v>#N/A</v>
      </c>
      <c r="I355" s="48" t="e">
        <f t="shared" si="19"/>
        <v>#N/A</v>
      </c>
      <c r="J355" s="49" t="e">
        <f t="shared" si="17"/>
        <v>#N/A</v>
      </c>
    </row>
    <row r="356" spans="1:11" ht="19" customHeight="1">
      <c r="A356" s="62"/>
      <c r="G356" s="48" t="e">
        <f>VLOOKUP(D356,단가!B:D,3,0)</f>
        <v>#N/A</v>
      </c>
      <c r="H356" s="48" t="e">
        <f t="shared" si="18"/>
        <v>#N/A</v>
      </c>
      <c r="I356" s="48" t="e">
        <f t="shared" si="19"/>
        <v>#N/A</v>
      </c>
      <c r="J356" s="49" t="e">
        <f t="shared" si="17"/>
        <v>#N/A</v>
      </c>
    </row>
    <row r="357" spans="1:11" ht="19" customHeight="1">
      <c r="A357" s="62"/>
      <c r="G357" s="48" t="e">
        <f>VLOOKUP(D357,단가!B:D,3,0)</f>
        <v>#N/A</v>
      </c>
      <c r="H357" s="48" t="e">
        <f t="shared" si="18"/>
        <v>#N/A</v>
      </c>
      <c r="I357" s="48" t="e">
        <f t="shared" si="19"/>
        <v>#N/A</v>
      </c>
      <c r="J357" s="49" t="e">
        <f t="shared" si="17"/>
        <v>#N/A</v>
      </c>
    </row>
    <row r="358" spans="1:11" ht="19" customHeight="1">
      <c r="A358" s="62"/>
      <c r="G358" s="48" t="e">
        <f>VLOOKUP(D358,단가!B:D,3,0)</f>
        <v>#N/A</v>
      </c>
      <c r="H358" s="48" t="e">
        <f t="shared" si="18"/>
        <v>#N/A</v>
      </c>
      <c r="J358" s="49" t="e">
        <f t="shared" si="17"/>
        <v>#N/A</v>
      </c>
    </row>
    <row r="359" spans="1:11" ht="19" customHeight="1">
      <c r="A359" s="62"/>
      <c r="G359" s="48" t="e">
        <f>VLOOKUP(D359,단가!B:D,3,0)</f>
        <v>#N/A</v>
      </c>
      <c r="H359" s="48" t="e">
        <f t="shared" si="18"/>
        <v>#N/A</v>
      </c>
      <c r="I359" s="48" t="e">
        <f t="shared" si="19"/>
        <v>#N/A</v>
      </c>
      <c r="J359" s="49" t="e">
        <f t="shared" si="17"/>
        <v>#N/A</v>
      </c>
    </row>
    <row r="360" spans="1:11" ht="19" customHeight="1">
      <c r="A360" s="62"/>
      <c r="G360" s="48" t="e">
        <f>VLOOKUP(D360,단가!B:D,3,0)</f>
        <v>#N/A</v>
      </c>
      <c r="H360" s="48" t="e">
        <f t="shared" si="18"/>
        <v>#N/A</v>
      </c>
      <c r="I360" s="48" t="e">
        <f t="shared" si="19"/>
        <v>#N/A</v>
      </c>
      <c r="J360" s="49" t="e">
        <f t="shared" si="17"/>
        <v>#N/A</v>
      </c>
    </row>
    <row r="361" spans="1:11" ht="19" customHeight="1">
      <c r="A361" s="62"/>
      <c r="G361" s="48" t="e">
        <f>VLOOKUP(D361,단가!B:D,3,0)</f>
        <v>#N/A</v>
      </c>
      <c r="H361" s="48" t="e">
        <f t="shared" si="18"/>
        <v>#N/A</v>
      </c>
      <c r="I361" s="48" t="e">
        <f t="shared" si="19"/>
        <v>#N/A</v>
      </c>
      <c r="J361" s="49" t="e">
        <f t="shared" si="17"/>
        <v>#N/A</v>
      </c>
    </row>
    <row r="362" spans="1:11" ht="19" customHeight="1">
      <c r="A362" s="62"/>
      <c r="G362" s="48" t="e">
        <f>VLOOKUP(D362,단가!B:D,3,0)</f>
        <v>#N/A</v>
      </c>
      <c r="H362" s="48" t="e">
        <f t="shared" si="18"/>
        <v>#N/A</v>
      </c>
      <c r="I362" s="48" t="e">
        <f t="shared" si="19"/>
        <v>#N/A</v>
      </c>
      <c r="J362" s="49" t="e">
        <f t="shared" si="17"/>
        <v>#N/A</v>
      </c>
      <c r="K362" s="49"/>
    </row>
    <row r="363" spans="1:11" ht="19" customHeight="1">
      <c r="A363" s="62"/>
      <c r="G363" s="48" t="e">
        <f>VLOOKUP(D363,단가!B:D,3,0)</f>
        <v>#N/A</v>
      </c>
      <c r="H363" s="48" t="e">
        <f t="shared" si="18"/>
        <v>#N/A</v>
      </c>
      <c r="I363" s="48" t="e">
        <f t="shared" si="19"/>
        <v>#N/A</v>
      </c>
      <c r="J363" s="49" t="e">
        <f t="shared" si="17"/>
        <v>#N/A</v>
      </c>
    </row>
    <row r="364" spans="1:11" ht="19" customHeight="1">
      <c r="A364" s="62"/>
      <c r="G364" s="48" t="e">
        <f>VLOOKUP(D364,단가!B:D,3,0)</f>
        <v>#N/A</v>
      </c>
      <c r="H364" s="48" t="e">
        <f t="shared" si="18"/>
        <v>#N/A</v>
      </c>
      <c r="I364" s="48" t="e">
        <f t="shared" si="19"/>
        <v>#N/A</v>
      </c>
      <c r="J364" s="49" t="e">
        <f t="shared" si="17"/>
        <v>#N/A</v>
      </c>
    </row>
    <row r="365" spans="1:11" ht="19" customHeight="1">
      <c r="A365" s="62"/>
      <c r="G365" s="48" t="e">
        <f>VLOOKUP(D365,단가!B:D,3,0)</f>
        <v>#N/A</v>
      </c>
      <c r="H365" s="48" t="e">
        <f t="shared" si="18"/>
        <v>#N/A</v>
      </c>
      <c r="I365" s="48" t="e">
        <f t="shared" si="19"/>
        <v>#N/A</v>
      </c>
      <c r="J365" s="49" t="e">
        <f t="shared" si="17"/>
        <v>#N/A</v>
      </c>
    </row>
    <row r="366" spans="1:11" ht="19" customHeight="1">
      <c r="A366" s="62"/>
      <c r="G366" s="48" t="e">
        <f>VLOOKUP(D366,단가!B:D,3,0)</f>
        <v>#N/A</v>
      </c>
      <c r="H366" s="48" t="e">
        <f t="shared" si="18"/>
        <v>#N/A</v>
      </c>
      <c r="I366" s="48" t="e">
        <f t="shared" si="19"/>
        <v>#N/A</v>
      </c>
      <c r="J366" s="49" t="e">
        <f t="shared" ref="J366:J429" si="20">H366+I366</f>
        <v>#N/A</v>
      </c>
    </row>
    <row r="367" spans="1:11" ht="19" customHeight="1">
      <c r="A367" s="62"/>
      <c r="G367" s="48" t="e">
        <f>VLOOKUP(D367,단가!B:D,3,0)</f>
        <v>#N/A</v>
      </c>
      <c r="H367" s="48" t="e">
        <f t="shared" ref="H367:H430" si="21">F367*G367</f>
        <v>#N/A</v>
      </c>
      <c r="I367" s="48" t="e">
        <f t="shared" ref="I367:I430" si="22">H367*0.1</f>
        <v>#N/A</v>
      </c>
      <c r="J367" s="49" t="e">
        <f t="shared" si="20"/>
        <v>#N/A</v>
      </c>
    </row>
    <row r="368" spans="1:11" ht="19" customHeight="1">
      <c r="A368" s="62"/>
      <c r="G368" s="48" t="e">
        <f>VLOOKUP(D368,단가!B:D,3,0)</f>
        <v>#N/A</v>
      </c>
      <c r="H368" s="48" t="e">
        <f t="shared" si="21"/>
        <v>#N/A</v>
      </c>
      <c r="I368" s="48" t="e">
        <f t="shared" si="22"/>
        <v>#N/A</v>
      </c>
      <c r="J368" s="49" t="e">
        <f t="shared" si="20"/>
        <v>#N/A</v>
      </c>
    </row>
    <row r="369" spans="1:14" ht="19" customHeight="1">
      <c r="A369" s="62"/>
      <c r="G369" s="48" t="e">
        <f>VLOOKUP(D369,단가!B:D,3,0)</f>
        <v>#N/A</v>
      </c>
      <c r="H369" s="48" t="e">
        <f t="shared" si="21"/>
        <v>#N/A</v>
      </c>
      <c r="I369" s="48" t="e">
        <f t="shared" si="22"/>
        <v>#N/A</v>
      </c>
      <c r="J369" s="49" t="e">
        <f t="shared" si="20"/>
        <v>#N/A</v>
      </c>
    </row>
    <row r="370" spans="1:14" ht="19" customHeight="1">
      <c r="A370" s="62"/>
      <c r="G370" s="48" t="e">
        <f>VLOOKUP(D370,단가!B:D,3,0)</f>
        <v>#N/A</v>
      </c>
      <c r="H370" s="48" t="e">
        <f t="shared" si="21"/>
        <v>#N/A</v>
      </c>
      <c r="J370" s="49" t="e">
        <f t="shared" si="20"/>
        <v>#N/A</v>
      </c>
    </row>
    <row r="371" spans="1:14" ht="19" customHeight="1">
      <c r="A371" s="62"/>
      <c r="G371" s="48" t="e">
        <f>VLOOKUP(D371,단가!B:D,3,0)</f>
        <v>#N/A</v>
      </c>
      <c r="H371" s="48" t="e">
        <f t="shared" si="21"/>
        <v>#N/A</v>
      </c>
      <c r="I371" s="48" t="e">
        <f t="shared" si="22"/>
        <v>#N/A</v>
      </c>
      <c r="J371" s="49" t="e">
        <f t="shared" si="20"/>
        <v>#N/A</v>
      </c>
    </row>
    <row r="372" spans="1:14" ht="19" customHeight="1">
      <c r="A372" s="62"/>
      <c r="G372" s="48" t="e">
        <f>VLOOKUP(D372,단가!B:D,3,0)</f>
        <v>#N/A</v>
      </c>
      <c r="H372" s="48" t="e">
        <f t="shared" si="21"/>
        <v>#N/A</v>
      </c>
      <c r="I372" s="48" t="e">
        <f t="shared" si="22"/>
        <v>#N/A</v>
      </c>
      <c r="J372" s="49" t="e">
        <f t="shared" si="20"/>
        <v>#N/A</v>
      </c>
    </row>
    <row r="373" spans="1:14" ht="19" customHeight="1">
      <c r="A373" s="62"/>
      <c r="D373" s="67"/>
      <c r="G373" s="48" t="e">
        <f>VLOOKUP(D373,단가!B:D,3,0)</f>
        <v>#N/A</v>
      </c>
      <c r="H373" s="48" t="e">
        <f t="shared" si="21"/>
        <v>#N/A</v>
      </c>
      <c r="I373" s="48" t="e">
        <f t="shared" si="22"/>
        <v>#N/A</v>
      </c>
      <c r="J373" s="49" t="e">
        <f t="shared" si="20"/>
        <v>#N/A</v>
      </c>
      <c r="N373" s="56"/>
    </row>
    <row r="374" spans="1:14" ht="19" customHeight="1">
      <c r="A374" s="62"/>
      <c r="G374" s="48" t="e">
        <f>VLOOKUP(D374,단가!B:D,3,0)</f>
        <v>#N/A</v>
      </c>
      <c r="H374" s="48" t="e">
        <f t="shared" si="21"/>
        <v>#N/A</v>
      </c>
      <c r="I374" s="48" t="e">
        <f t="shared" si="22"/>
        <v>#N/A</v>
      </c>
      <c r="J374" s="49" t="e">
        <f t="shared" si="20"/>
        <v>#N/A</v>
      </c>
    </row>
    <row r="375" spans="1:14" ht="19" customHeight="1">
      <c r="A375" s="62"/>
      <c r="G375" s="48" t="e">
        <f>VLOOKUP(D375,단가!B:D,3,0)</f>
        <v>#N/A</v>
      </c>
      <c r="H375" s="48" t="e">
        <f t="shared" si="21"/>
        <v>#N/A</v>
      </c>
      <c r="I375" s="48" t="e">
        <f t="shared" si="22"/>
        <v>#N/A</v>
      </c>
      <c r="J375" s="49" t="e">
        <f t="shared" si="20"/>
        <v>#N/A</v>
      </c>
    </row>
    <row r="376" spans="1:14" ht="19" customHeight="1">
      <c r="A376" s="62"/>
      <c r="G376" s="48" t="e">
        <f>VLOOKUP(D376,단가!B:D,3,0)</f>
        <v>#N/A</v>
      </c>
      <c r="H376" s="48" t="e">
        <f t="shared" si="21"/>
        <v>#N/A</v>
      </c>
      <c r="I376" s="48" t="e">
        <f t="shared" si="22"/>
        <v>#N/A</v>
      </c>
      <c r="J376" s="49" t="e">
        <f t="shared" si="20"/>
        <v>#N/A</v>
      </c>
    </row>
    <row r="377" spans="1:14" ht="19" customHeight="1">
      <c r="A377" s="62"/>
      <c r="G377" s="48" t="e">
        <f>VLOOKUP(D377,단가!B:D,3,0)</f>
        <v>#N/A</v>
      </c>
      <c r="H377" s="48" t="e">
        <f t="shared" si="21"/>
        <v>#N/A</v>
      </c>
      <c r="I377" s="48" t="e">
        <f t="shared" si="22"/>
        <v>#N/A</v>
      </c>
      <c r="J377" s="49" t="e">
        <f t="shared" si="20"/>
        <v>#N/A</v>
      </c>
    </row>
    <row r="378" spans="1:14" ht="19" customHeight="1">
      <c r="A378" s="62"/>
      <c r="G378" s="48" t="e">
        <f>VLOOKUP(D378,단가!B:D,3,0)</f>
        <v>#N/A</v>
      </c>
      <c r="H378" s="48" t="e">
        <f t="shared" si="21"/>
        <v>#N/A</v>
      </c>
      <c r="I378" s="48" t="e">
        <f t="shared" si="22"/>
        <v>#N/A</v>
      </c>
      <c r="J378" s="49" t="e">
        <f t="shared" si="20"/>
        <v>#N/A</v>
      </c>
      <c r="K378" s="49"/>
    </row>
    <row r="379" spans="1:14" ht="19" customHeight="1">
      <c r="A379" s="62"/>
      <c r="G379" s="48" t="e">
        <f>VLOOKUP(D379,단가!B:D,3,0)</f>
        <v>#N/A</v>
      </c>
      <c r="H379" s="48" t="e">
        <f t="shared" si="21"/>
        <v>#N/A</v>
      </c>
      <c r="I379" s="48" t="e">
        <f t="shared" si="22"/>
        <v>#N/A</v>
      </c>
      <c r="J379" s="49" t="e">
        <f t="shared" si="20"/>
        <v>#N/A</v>
      </c>
    </row>
    <row r="380" spans="1:14" ht="19" customHeight="1">
      <c r="A380" s="62"/>
      <c r="G380" s="48" t="e">
        <f>VLOOKUP(D380,단가!B:D,3,0)</f>
        <v>#N/A</v>
      </c>
      <c r="H380" s="48" t="e">
        <f t="shared" si="21"/>
        <v>#N/A</v>
      </c>
      <c r="I380" s="48" t="e">
        <f t="shared" si="22"/>
        <v>#N/A</v>
      </c>
      <c r="J380" s="49" t="e">
        <f t="shared" si="20"/>
        <v>#N/A</v>
      </c>
    </row>
    <row r="381" spans="1:14" ht="19" customHeight="1">
      <c r="A381" s="62"/>
      <c r="G381" s="48" t="e">
        <f>VLOOKUP(D381,단가!B:D,3,0)</f>
        <v>#N/A</v>
      </c>
      <c r="H381" s="48" t="e">
        <f t="shared" si="21"/>
        <v>#N/A</v>
      </c>
      <c r="J381" s="49" t="e">
        <f t="shared" si="20"/>
        <v>#N/A</v>
      </c>
    </row>
    <row r="382" spans="1:14" ht="19" customHeight="1">
      <c r="A382" s="62"/>
      <c r="G382" s="48" t="e">
        <f>VLOOKUP(D382,단가!B:D,3,0)</f>
        <v>#N/A</v>
      </c>
      <c r="H382" s="48" t="e">
        <f t="shared" si="21"/>
        <v>#N/A</v>
      </c>
      <c r="I382" s="48" t="e">
        <f t="shared" si="22"/>
        <v>#N/A</v>
      </c>
      <c r="J382" s="49" t="e">
        <f t="shared" si="20"/>
        <v>#N/A</v>
      </c>
    </row>
    <row r="383" spans="1:14" ht="19" customHeight="1">
      <c r="A383" s="62"/>
      <c r="G383" s="48" t="e">
        <f>VLOOKUP(D383,단가!B:D,3,0)</f>
        <v>#N/A</v>
      </c>
      <c r="H383" s="48" t="e">
        <f t="shared" si="21"/>
        <v>#N/A</v>
      </c>
      <c r="I383" s="48" t="e">
        <f t="shared" si="22"/>
        <v>#N/A</v>
      </c>
      <c r="J383" s="49" t="e">
        <f t="shared" si="20"/>
        <v>#N/A</v>
      </c>
    </row>
    <row r="384" spans="1:14" ht="19" customHeight="1">
      <c r="A384" s="62"/>
      <c r="G384" s="48" t="e">
        <f>VLOOKUP(D384,단가!B:D,3,0)</f>
        <v>#N/A</v>
      </c>
      <c r="H384" s="48" t="e">
        <f t="shared" si="21"/>
        <v>#N/A</v>
      </c>
      <c r="I384" s="48" t="e">
        <f t="shared" si="22"/>
        <v>#N/A</v>
      </c>
      <c r="J384" s="49" t="e">
        <f t="shared" si="20"/>
        <v>#N/A</v>
      </c>
    </row>
    <row r="385" spans="1:10" ht="19" customHeight="1">
      <c r="A385" s="62"/>
      <c r="G385" s="48" t="e">
        <f>VLOOKUP(D385,단가!B:D,3,0)</f>
        <v>#N/A</v>
      </c>
      <c r="H385" s="48" t="e">
        <f t="shared" si="21"/>
        <v>#N/A</v>
      </c>
      <c r="I385" s="48" t="e">
        <f t="shared" si="22"/>
        <v>#N/A</v>
      </c>
      <c r="J385" s="49" t="e">
        <f t="shared" si="20"/>
        <v>#N/A</v>
      </c>
    </row>
    <row r="386" spans="1:10" ht="19" customHeight="1">
      <c r="A386" s="62"/>
      <c r="G386" s="48" t="e">
        <f>VLOOKUP(D386,단가!B:D,3,0)</f>
        <v>#N/A</v>
      </c>
      <c r="H386" s="48" t="e">
        <f t="shared" si="21"/>
        <v>#N/A</v>
      </c>
      <c r="I386" s="48" t="e">
        <f t="shared" si="22"/>
        <v>#N/A</v>
      </c>
      <c r="J386" s="49" t="e">
        <f t="shared" si="20"/>
        <v>#N/A</v>
      </c>
    </row>
    <row r="387" spans="1:10" ht="19" customHeight="1">
      <c r="A387" s="62"/>
      <c r="G387" s="48" t="e">
        <f>VLOOKUP(D387,단가!B:D,3,0)</f>
        <v>#N/A</v>
      </c>
      <c r="H387" s="48" t="e">
        <f t="shared" si="21"/>
        <v>#N/A</v>
      </c>
      <c r="I387" s="48" t="e">
        <f t="shared" si="22"/>
        <v>#N/A</v>
      </c>
      <c r="J387" s="49" t="e">
        <f t="shared" si="20"/>
        <v>#N/A</v>
      </c>
    </row>
    <row r="388" spans="1:10" ht="19" customHeight="1">
      <c r="A388" s="62"/>
      <c r="G388" s="48" t="e">
        <f>VLOOKUP(D388,단가!B:D,3,0)</f>
        <v>#N/A</v>
      </c>
      <c r="H388" s="48" t="e">
        <f t="shared" si="21"/>
        <v>#N/A</v>
      </c>
      <c r="I388" s="48" t="e">
        <f t="shared" si="22"/>
        <v>#N/A</v>
      </c>
      <c r="J388" s="49" t="e">
        <f t="shared" si="20"/>
        <v>#N/A</v>
      </c>
    </row>
    <row r="389" spans="1:10" ht="19" customHeight="1">
      <c r="A389" s="62"/>
      <c r="G389" s="48" t="e">
        <f>VLOOKUP(D389,단가!B:D,3,0)</f>
        <v>#N/A</v>
      </c>
      <c r="H389" s="48" t="e">
        <f t="shared" si="21"/>
        <v>#N/A</v>
      </c>
      <c r="I389" s="48" t="e">
        <f t="shared" si="22"/>
        <v>#N/A</v>
      </c>
      <c r="J389" s="49" t="e">
        <f t="shared" si="20"/>
        <v>#N/A</v>
      </c>
    </row>
    <row r="390" spans="1:10" ht="19" customHeight="1">
      <c r="A390" s="62"/>
      <c r="G390" s="48" t="e">
        <f>VLOOKUP(D390,단가!B:D,3,0)</f>
        <v>#N/A</v>
      </c>
      <c r="H390" s="48" t="e">
        <f t="shared" si="21"/>
        <v>#N/A</v>
      </c>
      <c r="I390" s="48" t="e">
        <f t="shared" si="22"/>
        <v>#N/A</v>
      </c>
      <c r="J390" s="49" t="e">
        <f t="shared" si="20"/>
        <v>#N/A</v>
      </c>
    </row>
    <row r="391" spans="1:10" ht="19" customHeight="1">
      <c r="A391" s="62"/>
      <c r="G391" s="48" t="e">
        <f>VLOOKUP(D391,단가!B:D,3,0)</f>
        <v>#N/A</v>
      </c>
      <c r="H391" s="48" t="e">
        <f t="shared" si="21"/>
        <v>#N/A</v>
      </c>
      <c r="I391" s="48" t="e">
        <f t="shared" si="22"/>
        <v>#N/A</v>
      </c>
      <c r="J391" s="49" t="e">
        <f t="shared" si="20"/>
        <v>#N/A</v>
      </c>
    </row>
    <row r="392" spans="1:10" ht="19" customHeight="1">
      <c r="A392" s="62"/>
      <c r="G392" s="48" t="e">
        <f>VLOOKUP(D392,단가!B:D,3,0)</f>
        <v>#N/A</v>
      </c>
      <c r="H392" s="48" t="e">
        <f t="shared" si="21"/>
        <v>#N/A</v>
      </c>
      <c r="I392" s="48" t="e">
        <f t="shared" si="22"/>
        <v>#N/A</v>
      </c>
      <c r="J392" s="49" t="e">
        <f t="shared" si="20"/>
        <v>#N/A</v>
      </c>
    </row>
    <row r="393" spans="1:10" ht="19" customHeight="1">
      <c r="A393" s="62"/>
      <c r="G393" s="48" t="e">
        <f>VLOOKUP(D393,단가!B:D,3,0)</f>
        <v>#N/A</v>
      </c>
      <c r="H393" s="48" t="e">
        <f t="shared" si="21"/>
        <v>#N/A</v>
      </c>
      <c r="I393" s="48" t="e">
        <f t="shared" si="22"/>
        <v>#N/A</v>
      </c>
      <c r="J393" s="49" t="e">
        <f t="shared" si="20"/>
        <v>#N/A</v>
      </c>
    </row>
    <row r="394" spans="1:10" ht="19" customHeight="1">
      <c r="A394" s="62"/>
      <c r="G394" s="48" t="e">
        <f>VLOOKUP(D394,단가!B:D,3,0)</f>
        <v>#N/A</v>
      </c>
      <c r="H394" s="48" t="e">
        <f t="shared" si="21"/>
        <v>#N/A</v>
      </c>
      <c r="I394" s="48" t="e">
        <f t="shared" si="22"/>
        <v>#N/A</v>
      </c>
      <c r="J394" s="49" t="e">
        <f t="shared" si="20"/>
        <v>#N/A</v>
      </c>
    </row>
    <row r="395" spans="1:10" ht="19" customHeight="1">
      <c r="A395" s="62"/>
      <c r="G395" s="48" t="e">
        <f>VLOOKUP(D395,단가!B:D,3,0)</f>
        <v>#N/A</v>
      </c>
      <c r="H395" s="48" t="e">
        <f t="shared" si="21"/>
        <v>#N/A</v>
      </c>
      <c r="I395" s="48" t="e">
        <f t="shared" si="22"/>
        <v>#N/A</v>
      </c>
      <c r="J395" s="49" t="e">
        <f t="shared" si="20"/>
        <v>#N/A</v>
      </c>
    </row>
    <row r="396" spans="1:10" ht="19" customHeight="1">
      <c r="A396" s="62"/>
      <c r="G396" s="48" t="e">
        <f>VLOOKUP(D396,단가!B:D,3,0)</f>
        <v>#N/A</v>
      </c>
      <c r="H396" s="48" t="e">
        <f t="shared" si="21"/>
        <v>#N/A</v>
      </c>
      <c r="I396" s="48" t="e">
        <f t="shared" si="22"/>
        <v>#N/A</v>
      </c>
      <c r="J396" s="49" t="e">
        <f t="shared" si="20"/>
        <v>#N/A</v>
      </c>
    </row>
    <row r="397" spans="1:10" ht="19" customHeight="1">
      <c r="A397" s="62"/>
      <c r="G397" s="48" t="e">
        <f>VLOOKUP(D397,단가!B:D,3,0)</f>
        <v>#N/A</v>
      </c>
      <c r="H397" s="48" t="e">
        <f t="shared" si="21"/>
        <v>#N/A</v>
      </c>
      <c r="I397" s="48" t="e">
        <f t="shared" si="22"/>
        <v>#N/A</v>
      </c>
      <c r="J397" s="49" t="e">
        <f t="shared" si="20"/>
        <v>#N/A</v>
      </c>
    </row>
    <row r="398" spans="1:10" ht="19" customHeight="1">
      <c r="A398" s="62"/>
      <c r="G398" s="48" t="e">
        <f>VLOOKUP(D398,단가!B:D,3,0)</f>
        <v>#N/A</v>
      </c>
      <c r="H398" s="48" t="e">
        <f t="shared" si="21"/>
        <v>#N/A</v>
      </c>
      <c r="I398" s="48" t="e">
        <f t="shared" si="22"/>
        <v>#N/A</v>
      </c>
      <c r="J398" s="49" t="e">
        <f t="shared" si="20"/>
        <v>#N/A</v>
      </c>
    </row>
    <row r="399" spans="1:10" ht="19" customHeight="1">
      <c r="A399" s="62"/>
      <c r="G399" s="48" t="e">
        <f>VLOOKUP(D399,단가!B:D,3,0)</f>
        <v>#N/A</v>
      </c>
      <c r="H399" s="48" t="e">
        <f t="shared" si="21"/>
        <v>#N/A</v>
      </c>
      <c r="I399" s="48" t="e">
        <f t="shared" si="22"/>
        <v>#N/A</v>
      </c>
      <c r="J399" s="49" t="e">
        <f t="shared" si="20"/>
        <v>#N/A</v>
      </c>
    </row>
    <row r="400" spans="1:10" ht="19" customHeight="1">
      <c r="A400" s="62"/>
      <c r="G400" s="48" t="e">
        <f>VLOOKUP(D400,단가!B:D,3,0)</f>
        <v>#N/A</v>
      </c>
      <c r="H400" s="48" t="e">
        <f t="shared" si="21"/>
        <v>#N/A</v>
      </c>
      <c r="I400" s="48" t="e">
        <f t="shared" si="22"/>
        <v>#N/A</v>
      </c>
      <c r="J400" s="49" t="e">
        <f t="shared" si="20"/>
        <v>#N/A</v>
      </c>
    </row>
    <row r="401" spans="1:12" ht="19" customHeight="1">
      <c r="A401" s="62"/>
      <c r="G401" s="48" t="e">
        <f>VLOOKUP(D401,단가!B:D,3,0)</f>
        <v>#N/A</v>
      </c>
      <c r="H401" s="48" t="e">
        <f t="shared" si="21"/>
        <v>#N/A</v>
      </c>
      <c r="I401" s="48" t="e">
        <f t="shared" si="22"/>
        <v>#N/A</v>
      </c>
      <c r="J401" s="49" t="e">
        <f t="shared" si="20"/>
        <v>#N/A</v>
      </c>
    </row>
    <row r="402" spans="1:12" ht="19" customHeight="1">
      <c r="A402" s="62"/>
      <c r="G402" s="48" t="e">
        <f>VLOOKUP(D402,단가!B:D,3,0)</f>
        <v>#N/A</v>
      </c>
      <c r="H402" s="48" t="e">
        <f t="shared" si="21"/>
        <v>#N/A</v>
      </c>
      <c r="I402" s="48" t="e">
        <f t="shared" si="22"/>
        <v>#N/A</v>
      </c>
      <c r="J402" s="49" t="e">
        <f t="shared" si="20"/>
        <v>#N/A</v>
      </c>
    </row>
    <row r="403" spans="1:12" ht="19" customHeight="1">
      <c r="A403" s="62"/>
      <c r="G403" s="48" t="e">
        <f>VLOOKUP(D403,단가!B:D,3,0)</f>
        <v>#N/A</v>
      </c>
      <c r="H403" s="48" t="e">
        <f t="shared" si="21"/>
        <v>#N/A</v>
      </c>
      <c r="I403" s="48" t="e">
        <f t="shared" si="22"/>
        <v>#N/A</v>
      </c>
      <c r="J403" s="49" t="e">
        <f t="shared" si="20"/>
        <v>#N/A</v>
      </c>
    </row>
    <row r="404" spans="1:12" ht="19" customHeight="1">
      <c r="A404" s="62"/>
      <c r="G404" s="48" t="e">
        <f>VLOOKUP(D404,단가!B:D,3,0)</f>
        <v>#N/A</v>
      </c>
      <c r="H404" s="48" t="e">
        <f t="shared" si="21"/>
        <v>#N/A</v>
      </c>
      <c r="I404" s="48" t="e">
        <f t="shared" si="22"/>
        <v>#N/A</v>
      </c>
      <c r="J404" s="49" t="e">
        <f t="shared" si="20"/>
        <v>#N/A</v>
      </c>
    </row>
    <row r="405" spans="1:12" ht="19" customHeight="1">
      <c r="A405" s="62"/>
      <c r="G405" s="48" t="e">
        <f>VLOOKUP(D405,단가!B:D,3,0)</f>
        <v>#N/A</v>
      </c>
      <c r="H405" s="48" t="e">
        <f t="shared" si="21"/>
        <v>#N/A</v>
      </c>
      <c r="I405" s="48" t="e">
        <f t="shared" si="22"/>
        <v>#N/A</v>
      </c>
      <c r="J405" s="49" t="e">
        <f t="shared" si="20"/>
        <v>#N/A</v>
      </c>
    </row>
    <row r="406" spans="1:12" ht="19" customHeight="1">
      <c r="A406" s="62"/>
      <c r="G406" s="48" t="e">
        <f>VLOOKUP(D406,단가!B:D,3,0)</f>
        <v>#N/A</v>
      </c>
      <c r="H406" s="48" t="e">
        <f t="shared" si="21"/>
        <v>#N/A</v>
      </c>
      <c r="I406" s="48" t="e">
        <f t="shared" si="22"/>
        <v>#N/A</v>
      </c>
      <c r="J406" s="49" t="e">
        <f t="shared" si="20"/>
        <v>#N/A</v>
      </c>
    </row>
    <row r="407" spans="1:12" ht="19" customHeight="1">
      <c r="A407" s="62"/>
      <c r="G407" s="48" t="e">
        <f>VLOOKUP(D407,단가!B:D,3,0)</f>
        <v>#N/A</v>
      </c>
      <c r="H407" s="48" t="e">
        <f t="shared" si="21"/>
        <v>#N/A</v>
      </c>
      <c r="I407" s="48" t="e">
        <f t="shared" si="22"/>
        <v>#N/A</v>
      </c>
      <c r="J407" s="49" t="e">
        <f t="shared" si="20"/>
        <v>#N/A</v>
      </c>
    </row>
    <row r="408" spans="1:12" ht="19" customHeight="1">
      <c r="A408" s="62"/>
      <c r="G408" s="48" t="e">
        <f>VLOOKUP(D408,단가!B:D,3,0)</f>
        <v>#N/A</v>
      </c>
      <c r="H408" s="48" t="e">
        <f t="shared" si="21"/>
        <v>#N/A</v>
      </c>
      <c r="I408" s="48" t="e">
        <f t="shared" si="22"/>
        <v>#N/A</v>
      </c>
      <c r="J408" s="49" t="e">
        <f t="shared" si="20"/>
        <v>#N/A</v>
      </c>
    </row>
    <row r="409" spans="1:12" ht="19" customHeight="1">
      <c r="A409" s="62"/>
      <c r="G409" s="48" t="e">
        <f>VLOOKUP(D409,단가!B:D,3,0)</f>
        <v>#N/A</v>
      </c>
      <c r="H409" s="48" t="e">
        <f t="shared" si="21"/>
        <v>#N/A</v>
      </c>
      <c r="I409" s="48" t="e">
        <f t="shared" si="22"/>
        <v>#N/A</v>
      </c>
      <c r="J409" s="49" t="e">
        <f t="shared" si="20"/>
        <v>#N/A</v>
      </c>
    </row>
    <row r="410" spans="1:12" ht="19" customHeight="1">
      <c r="A410" s="62"/>
      <c r="G410" s="48" t="e">
        <f>VLOOKUP(D410,단가!B:D,3,0)</f>
        <v>#N/A</v>
      </c>
      <c r="H410" s="48" t="e">
        <f t="shared" si="21"/>
        <v>#N/A</v>
      </c>
      <c r="I410" s="48" t="e">
        <f t="shared" si="22"/>
        <v>#N/A</v>
      </c>
      <c r="J410" s="49" t="e">
        <f t="shared" si="20"/>
        <v>#N/A</v>
      </c>
      <c r="L410" s="56"/>
    </row>
    <row r="411" spans="1:12" ht="19" customHeight="1">
      <c r="A411" s="62"/>
      <c r="G411" s="48" t="e">
        <f>VLOOKUP(D411,단가!B:D,3,0)</f>
        <v>#N/A</v>
      </c>
      <c r="H411" s="48" t="e">
        <f t="shared" si="21"/>
        <v>#N/A</v>
      </c>
      <c r="I411" s="48" t="e">
        <f t="shared" si="22"/>
        <v>#N/A</v>
      </c>
      <c r="J411" s="49" t="e">
        <f t="shared" si="20"/>
        <v>#N/A</v>
      </c>
    </row>
    <row r="412" spans="1:12" ht="19" customHeight="1">
      <c r="A412" s="62"/>
      <c r="G412" s="48" t="e">
        <f>VLOOKUP(D412,단가!B:D,3,0)</f>
        <v>#N/A</v>
      </c>
      <c r="H412" s="48" t="e">
        <f t="shared" si="21"/>
        <v>#N/A</v>
      </c>
      <c r="I412" s="48" t="e">
        <f t="shared" si="22"/>
        <v>#N/A</v>
      </c>
      <c r="J412" s="49" t="e">
        <f t="shared" si="20"/>
        <v>#N/A</v>
      </c>
    </row>
    <row r="413" spans="1:12" ht="19" customHeight="1">
      <c r="A413" s="62"/>
      <c r="G413" s="48" t="e">
        <f>VLOOKUP(D413,단가!B:D,3,0)</f>
        <v>#N/A</v>
      </c>
      <c r="H413" s="48" t="e">
        <f t="shared" si="21"/>
        <v>#N/A</v>
      </c>
      <c r="I413" s="48" t="e">
        <f t="shared" si="22"/>
        <v>#N/A</v>
      </c>
      <c r="J413" s="49" t="e">
        <f t="shared" si="20"/>
        <v>#N/A</v>
      </c>
    </row>
    <row r="414" spans="1:12" ht="19" customHeight="1">
      <c r="A414" s="62"/>
      <c r="G414" s="48" t="e">
        <f>VLOOKUP(D414,단가!B:D,3,0)</f>
        <v>#N/A</v>
      </c>
      <c r="H414" s="48" t="e">
        <f t="shared" si="21"/>
        <v>#N/A</v>
      </c>
      <c r="I414" s="48" t="e">
        <f t="shared" si="22"/>
        <v>#N/A</v>
      </c>
      <c r="J414" s="49" t="e">
        <f t="shared" si="20"/>
        <v>#N/A</v>
      </c>
    </row>
    <row r="415" spans="1:12" ht="19" customHeight="1">
      <c r="A415" s="62"/>
      <c r="G415" s="48" t="e">
        <f>VLOOKUP(D415,단가!B:D,3,0)</f>
        <v>#N/A</v>
      </c>
      <c r="H415" s="48" t="e">
        <f t="shared" si="21"/>
        <v>#N/A</v>
      </c>
      <c r="I415" s="48" t="e">
        <f t="shared" si="22"/>
        <v>#N/A</v>
      </c>
      <c r="J415" s="49" t="e">
        <f t="shared" si="20"/>
        <v>#N/A</v>
      </c>
    </row>
    <row r="416" spans="1:12" ht="19" customHeight="1">
      <c r="A416" s="62"/>
      <c r="G416" s="48" t="e">
        <f>VLOOKUP(D416,단가!B:D,3,0)</f>
        <v>#N/A</v>
      </c>
      <c r="H416" s="48" t="e">
        <f t="shared" si="21"/>
        <v>#N/A</v>
      </c>
      <c r="I416" s="48" t="e">
        <f t="shared" si="22"/>
        <v>#N/A</v>
      </c>
      <c r="J416" s="49" t="e">
        <f t="shared" si="20"/>
        <v>#N/A</v>
      </c>
    </row>
    <row r="417" spans="1:11" ht="19" customHeight="1">
      <c r="A417" s="62"/>
      <c r="G417" s="48" t="e">
        <f>VLOOKUP(D417,단가!B:D,3,0)</f>
        <v>#N/A</v>
      </c>
      <c r="H417" s="48" t="e">
        <f t="shared" si="21"/>
        <v>#N/A</v>
      </c>
      <c r="I417" s="48" t="e">
        <f t="shared" si="22"/>
        <v>#N/A</v>
      </c>
      <c r="J417" s="49" t="e">
        <f t="shared" si="20"/>
        <v>#N/A</v>
      </c>
    </row>
    <row r="418" spans="1:11" ht="19" customHeight="1">
      <c r="A418" s="62"/>
      <c r="G418" s="48" t="e">
        <f>VLOOKUP(D418,단가!B:D,3,0)</f>
        <v>#N/A</v>
      </c>
      <c r="H418" s="48" t="e">
        <f t="shared" si="21"/>
        <v>#N/A</v>
      </c>
      <c r="I418" s="48" t="e">
        <f t="shared" si="22"/>
        <v>#N/A</v>
      </c>
      <c r="J418" s="49" t="e">
        <f t="shared" si="20"/>
        <v>#N/A</v>
      </c>
    </row>
    <row r="419" spans="1:11" ht="19" customHeight="1">
      <c r="A419" s="62"/>
      <c r="G419" s="48" t="e">
        <f>VLOOKUP(D419,단가!B:D,3,0)</f>
        <v>#N/A</v>
      </c>
      <c r="H419" s="48" t="e">
        <f t="shared" si="21"/>
        <v>#N/A</v>
      </c>
      <c r="I419" s="48" t="e">
        <f t="shared" si="22"/>
        <v>#N/A</v>
      </c>
      <c r="J419" s="49" t="e">
        <f t="shared" si="20"/>
        <v>#N/A</v>
      </c>
    </row>
    <row r="420" spans="1:11" ht="19" customHeight="1">
      <c r="A420" s="62"/>
      <c r="G420" s="48" t="e">
        <f>VLOOKUP(D420,단가!B:D,3,0)</f>
        <v>#N/A</v>
      </c>
      <c r="H420" s="48" t="e">
        <f t="shared" si="21"/>
        <v>#N/A</v>
      </c>
      <c r="I420" s="48" t="e">
        <f t="shared" si="22"/>
        <v>#N/A</v>
      </c>
      <c r="J420" s="49" t="e">
        <f t="shared" si="20"/>
        <v>#N/A</v>
      </c>
    </row>
    <row r="421" spans="1:11" ht="19" customHeight="1">
      <c r="A421" s="62"/>
      <c r="G421" s="48" t="e">
        <f>VLOOKUP(D421,단가!B:D,3,0)</f>
        <v>#N/A</v>
      </c>
      <c r="H421" s="48" t="e">
        <f t="shared" si="21"/>
        <v>#N/A</v>
      </c>
      <c r="I421" s="48" t="e">
        <f t="shared" si="22"/>
        <v>#N/A</v>
      </c>
      <c r="J421" s="49" t="e">
        <f t="shared" si="20"/>
        <v>#N/A</v>
      </c>
    </row>
    <row r="422" spans="1:11" ht="19" customHeight="1">
      <c r="A422" s="62"/>
      <c r="G422" s="48" t="e">
        <f>VLOOKUP(D422,단가!B:D,3,0)</f>
        <v>#N/A</v>
      </c>
      <c r="H422" s="48" t="e">
        <f t="shared" si="21"/>
        <v>#N/A</v>
      </c>
      <c r="I422" s="48" t="e">
        <f t="shared" si="22"/>
        <v>#N/A</v>
      </c>
      <c r="J422" s="49" t="e">
        <f t="shared" si="20"/>
        <v>#N/A</v>
      </c>
    </row>
    <row r="423" spans="1:11" ht="19" customHeight="1">
      <c r="A423" s="62"/>
      <c r="G423" s="48" t="e">
        <f>VLOOKUP(D423,단가!B:D,3,0)</f>
        <v>#N/A</v>
      </c>
      <c r="H423" s="48" t="e">
        <f t="shared" si="21"/>
        <v>#N/A</v>
      </c>
      <c r="I423" s="48" t="e">
        <f t="shared" si="22"/>
        <v>#N/A</v>
      </c>
      <c r="J423" s="49" t="e">
        <f t="shared" si="20"/>
        <v>#N/A</v>
      </c>
    </row>
    <row r="424" spans="1:11" ht="19" customHeight="1">
      <c r="A424" s="62"/>
      <c r="G424" s="48" t="e">
        <f>VLOOKUP(D424,단가!B:D,3,0)</f>
        <v>#N/A</v>
      </c>
      <c r="H424" s="48" t="e">
        <f t="shared" si="21"/>
        <v>#N/A</v>
      </c>
      <c r="I424" s="48" t="e">
        <f t="shared" si="22"/>
        <v>#N/A</v>
      </c>
      <c r="J424" s="49" t="e">
        <f t="shared" si="20"/>
        <v>#N/A</v>
      </c>
    </row>
    <row r="425" spans="1:11" ht="19" customHeight="1">
      <c r="A425" s="62"/>
      <c r="G425" s="48" t="e">
        <f>VLOOKUP(D425,단가!B:D,3,0)</f>
        <v>#N/A</v>
      </c>
      <c r="H425" s="48" t="e">
        <f t="shared" si="21"/>
        <v>#N/A</v>
      </c>
      <c r="I425" s="48" t="e">
        <f t="shared" si="22"/>
        <v>#N/A</v>
      </c>
      <c r="J425" s="49" t="e">
        <f t="shared" si="20"/>
        <v>#N/A</v>
      </c>
      <c r="K425" s="49"/>
    </row>
    <row r="426" spans="1:11" ht="19" customHeight="1">
      <c r="A426" s="62"/>
      <c r="G426" s="48" t="e">
        <f>VLOOKUP(D426,단가!B:D,3,0)</f>
        <v>#N/A</v>
      </c>
      <c r="H426" s="48" t="e">
        <f t="shared" si="21"/>
        <v>#N/A</v>
      </c>
      <c r="I426" s="48" t="e">
        <f t="shared" si="22"/>
        <v>#N/A</v>
      </c>
      <c r="J426" s="49" t="e">
        <f t="shared" si="20"/>
        <v>#N/A</v>
      </c>
    </row>
    <row r="427" spans="1:11" ht="19" customHeight="1">
      <c r="A427" s="62"/>
      <c r="G427" s="48" t="e">
        <f>VLOOKUP(D427,단가!B:D,3,0)</f>
        <v>#N/A</v>
      </c>
      <c r="H427" s="48" t="e">
        <f t="shared" si="21"/>
        <v>#N/A</v>
      </c>
      <c r="I427" s="48" t="e">
        <f t="shared" si="22"/>
        <v>#N/A</v>
      </c>
      <c r="J427" s="49" t="e">
        <f t="shared" si="20"/>
        <v>#N/A</v>
      </c>
    </row>
    <row r="428" spans="1:11" ht="19" customHeight="1">
      <c r="A428" s="62"/>
      <c r="G428" s="48" t="e">
        <f>VLOOKUP(D428,단가!B:D,3,0)</f>
        <v>#N/A</v>
      </c>
      <c r="H428" s="48" t="e">
        <f t="shared" si="21"/>
        <v>#N/A</v>
      </c>
      <c r="I428" s="48" t="e">
        <f t="shared" si="22"/>
        <v>#N/A</v>
      </c>
      <c r="J428" s="49" t="e">
        <f t="shared" si="20"/>
        <v>#N/A</v>
      </c>
    </row>
    <row r="429" spans="1:11" ht="19" customHeight="1">
      <c r="A429" s="62"/>
      <c r="G429" s="48" t="e">
        <f>VLOOKUP(D429,단가!B:D,3,0)</f>
        <v>#N/A</v>
      </c>
      <c r="H429" s="48" t="e">
        <f t="shared" si="21"/>
        <v>#N/A</v>
      </c>
      <c r="I429" s="48" t="e">
        <f t="shared" si="22"/>
        <v>#N/A</v>
      </c>
      <c r="J429" s="49" t="e">
        <f t="shared" si="20"/>
        <v>#N/A</v>
      </c>
    </row>
    <row r="430" spans="1:11" ht="19" customHeight="1">
      <c r="A430" s="62"/>
      <c r="G430" s="48" t="e">
        <f>VLOOKUP(D430,단가!B:D,3,0)</f>
        <v>#N/A</v>
      </c>
      <c r="H430" s="48" t="e">
        <f t="shared" si="21"/>
        <v>#N/A</v>
      </c>
      <c r="I430" s="48" t="e">
        <f t="shared" si="22"/>
        <v>#N/A</v>
      </c>
      <c r="J430" s="49" t="e">
        <f t="shared" ref="J430:J493" si="23">H430+I430</f>
        <v>#N/A</v>
      </c>
    </row>
    <row r="431" spans="1:11" ht="19" customHeight="1">
      <c r="A431" s="62"/>
      <c r="G431" s="48" t="e">
        <f>VLOOKUP(D431,단가!B:D,3,0)</f>
        <v>#N/A</v>
      </c>
      <c r="H431" s="48" t="e">
        <f t="shared" ref="H431:H494" si="24">F431*G431</f>
        <v>#N/A</v>
      </c>
      <c r="I431" s="48" t="e">
        <f t="shared" ref="I431:I494" si="25">H431*0.1</f>
        <v>#N/A</v>
      </c>
      <c r="J431" s="49" t="e">
        <f t="shared" si="23"/>
        <v>#N/A</v>
      </c>
    </row>
    <row r="432" spans="1:11" ht="19" customHeight="1">
      <c r="A432" s="62"/>
      <c r="G432" s="48" t="e">
        <f>VLOOKUP(D432,단가!B:D,3,0)</f>
        <v>#N/A</v>
      </c>
      <c r="H432" s="48" t="e">
        <f t="shared" si="24"/>
        <v>#N/A</v>
      </c>
      <c r="I432" s="48" t="e">
        <f t="shared" si="25"/>
        <v>#N/A</v>
      </c>
      <c r="J432" s="49" t="e">
        <f t="shared" si="23"/>
        <v>#N/A</v>
      </c>
    </row>
    <row r="433" spans="1:10" ht="19" customHeight="1">
      <c r="A433" s="62"/>
      <c r="G433" s="48" t="e">
        <f>VLOOKUP(D433,단가!B:D,3,0)</f>
        <v>#N/A</v>
      </c>
      <c r="H433" s="48" t="e">
        <f t="shared" si="24"/>
        <v>#N/A</v>
      </c>
      <c r="I433" s="48" t="e">
        <f t="shared" si="25"/>
        <v>#N/A</v>
      </c>
      <c r="J433" s="49" t="e">
        <f t="shared" si="23"/>
        <v>#N/A</v>
      </c>
    </row>
    <row r="434" spans="1:10" ht="19" customHeight="1">
      <c r="A434" s="62"/>
      <c r="G434" s="48" t="e">
        <f>VLOOKUP(D434,단가!B:D,3,0)</f>
        <v>#N/A</v>
      </c>
      <c r="H434" s="48" t="e">
        <f t="shared" si="24"/>
        <v>#N/A</v>
      </c>
      <c r="I434" s="48" t="e">
        <f t="shared" si="25"/>
        <v>#N/A</v>
      </c>
      <c r="J434" s="49" t="e">
        <f t="shared" si="23"/>
        <v>#N/A</v>
      </c>
    </row>
    <row r="435" spans="1:10" ht="19" customHeight="1">
      <c r="A435" s="62"/>
      <c r="G435" s="48" t="e">
        <f>VLOOKUP(D435,단가!B:D,3,0)</f>
        <v>#N/A</v>
      </c>
      <c r="H435" s="48" t="e">
        <f t="shared" si="24"/>
        <v>#N/A</v>
      </c>
      <c r="I435" s="48" t="e">
        <f t="shared" si="25"/>
        <v>#N/A</v>
      </c>
      <c r="J435" s="49" t="e">
        <f t="shared" si="23"/>
        <v>#N/A</v>
      </c>
    </row>
    <row r="436" spans="1:10" ht="19" customHeight="1">
      <c r="A436" s="62"/>
      <c r="G436" s="48" t="e">
        <f>VLOOKUP(D436,단가!B:D,3,0)</f>
        <v>#N/A</v>
      </c>
      <c r="H436" s="48" t="e">
        <f t="shared" si="24"/>
        <v>#N/A</v>
      </c>
      <c r="J436" s="49" t="e">
        <f t="shared" si="23"/>
        <v>#N/A</v>
      </c>
    </row>
    <row r="437" spans="1:10" ht="19" customHeight="1">
      <c r="A437" s="62"/>
      <c r="G437" s="48" t="e">
        <f>VLOOKUP(D437,단가!B:D,3,0)</f>
        <v>#N/A</v>
      </c>
      <c r="H437" s="48" t="e">
        <f t="shared" si="24"/>
        <v>#N/A</v>
      </c>
      <c r="I437" s="48" t="e">
        <f t="shared" si="25"/>
        <v>#N/A</v>
      </c>
      <c r="J437" s="49" t="e">
        <f t="shared" si="23"/>
        <v>#N/A</v>
      </c>
    </row>
    <row r="438" spans="1:10" ht="19" customHeight="1">
      <c r="A438" s="62"/>
      <c r="D438" s="67"/>
      <c r="G438" s="48" t="e">
        <f>VLOOKUP(D438,단가!B:D,3,0)</f>
        <v>#N/A</v>
      </c>
      <c r="H438" s="48" t="e">
        <f t="shared" si="24"/>
        <v>#N/A</v>
      </c>
      <c r="I438" s="48" t="e">
        <f t="shared" si="25"/>
        <v>#N/A</v>
      </c>
      <c r="J438" s="49" t="e">
        <f t="shared" si="23"/>
        <v>#N/A</v>
      </c>
    </row>
    <row r="439" spans="1:10" ht="19" customHeight="1">
      <c r="A439" s="62"/>
      <c r="G439" s="48" t="e">
        <f>VLOOKUP(D439,단가!B:D,3,0)</f>
        <v>#N/A</v>
      </c>
      <c r="H439" s="48" t="e">
        <f t="shared" si="24"/>
        <v>#N/A</v>
      </c>
      <c r="I439" s="48" t="e">
        <f t="shared" si="25"/>
        <v>#N/A</v>
      </c>
      <c r="J439" s="49" t="e">
        <f t="shared" si="23"/>
        <v>#N/A</v>
      </c>
    </row>
    <row r="440" spans="1:10" ht="19" customHeight="1">
      <c r="A440" s="62"/>
      <c r="G440" s="48" t="e">
        <f>VLOOKUP(D440,단가!B:D,3,0)</f>
        <v>#N/A</v>
      </c>
      <c r="H440" s="48" t="e">
        <f t="shared" si="24"/>
        <v>#N/A</v>
      </c>
      <c r="I440" s="48" t="e">
        <f t="shared" si="25"/>
        <v>#N/A</v>
      </c>
      <c r="J440" s="49" t="e">
        <f t="shared" si="23"/>
        <v>#N/A</v>
      </c>
    </row>
    <row r="441" spans="1:10" ht="19" customHeight="1">
      <c r="A441" s="62"/>
      <c r="G441" s="48" t="e">
        <f>VLOOKUP(D441,단가!B:D,3,0)</f>
        <v>#N/A</v>
      </c>
      <c r="H441" s="48" t="e">
        <f t="shared" si="24"/>
        <v>#N/A</v>
      </c>
      <c r="I441" s="48" t="e">
        <f t="shared" si="25"/>
        <v>#N/A</v>
      </c>
      <c r="J441" s="49" t="e">
        <f t="shared" si="23"/>
        <v>#N/A</v>
      </c>
    </row>
    <row r="442" spans="1:10" ht="19" customHeight="1">
      <c r="A442" s="62"/>
      <c r="G442" s="48" t="e">
        <f>VLOOKUP(D442,단가!B:D,3,0)</f>
        <v>#N/A</v>
      </c>
      <c r="H442" s="48" t="e">
        <f t="shared" si="24"/>
        <v>#N/A</v>
      </c>
      <c r="I442" s="48" t="e">
        <f t="shared" si="25"/>
        <v>#N/A</v>
      </c>
      <c r="J442" s="49" t="e">
        <f t="shared" si="23"/>
        <v>#N/A</v>
      </c>
    </row>
    <row r="443" spans="1:10" ht="19" customHeight="1">
      <c r="A443" s="62"/>
      <c r="G443" s="48" t="e">
        <f>VLOOKUP(D443,단가!B:D,3,0)</f>
        <v>#N/A</v>
      </c>
      <c r="H443" s="48" t="e">
        <f t="shared" si="24"/>
        <v>#N/A</v>
      </c>
      <c r="I443" s="48" t="e">
        <f t="shared" si="25"/>
        <v>#N/A</v>
      </c>
      <c r="J443" s="49" t="e">
        <f t="shared" si="23"/>
        <v>#N/A</v>
      </c>
    </row>
    <row r="444" spans="1:10" ht="19" customHeight="1">
      <c r="A444" s="62"/>
      <c r="G444" s="48" t="e">
        <f>VLOOKUP(D444,단가!B:D,3,0)</f>
        <v>#N/A</v>
      </c>
      <c r="H444" s="48" t="e">
        <f t="shared" si="24"/>
        <v>#N/A</v>
      </c>
      <c r="I444" s="48" t="e">
        <f t="shared" si="25"/>
        <v>#N/A</v>
      </c>
      <c r="J444" s="49" t="e">
        <f t="shared" si="23"/>
        <v>#N/A</v>
      </c>
    </row>
    <row r="445" spans="1:10" ht="19" customHeight="1">
      <c r="A445" s="62"/>
      <c r="G445" s="48" t="e">
        <f>VLOOKUP(D445,단가!B:D,3,0)</f>
        <v>#N/A</v>
      </c>
      <c r="H445" s="48" t="e">
        <f t="shared" si="24"/>
        <v>#N/A</v>
      </c>
      <c r="I445" s="48" t="e">
        <f t="shared" si="25"/>
        <v>#N/A</v>
      </c>
      <c r="J445" s="49" t="e">
        <f t="shared" si="23"/>
        <v>#N/A</v>
      </c>
    </row>
    <row r="446" spans="1:10" ht="19" customHeight="1">
      <c r="A446" s="62"/>
      <c r="G446" s="48" t="e">
        <f>VLOOKUP(D446,단가!B:D,3,0)</f>
        <v>#N/A</v>
      </c>
      <c r="H446" s="48" t="e">
        <f t="shared" si="24"/>
        <v>#N/A</v>
      </c>
      <c r="I446" s="48" t="e">
        <f t="shared" si="25"/>
        <v>#N/A</v>
      </c>
      <c r="J446" s="49" t="e">
        <f t="shared" si="23"/>
        <v>#N/A</v>
      </c>
    </row>
    <row r="447" spans="1:10" ht="19" customHeight="1">
      <c r="A447" s="62"/>
      <c r="G447" s="48" t="e">
        <f>VLOOKUP(D447,단가!B:D,3,0)</f>
        <v>#N/A</v>
      </c>
      <c r="H447" s="48" t="e">
        <f t="shared" si="24"/>
        <v>#N/A</v>
      </c>
      <c r="I447" s="48" t="e">
        <f t="shared" si="25"/>
        <v>#N/A</v>
      </c>
      <c r="J447" s="49" t="e">
        <f t="shared" si="23"/>
        <v>#N/A</v>
      </c>
    </row>
    <row r="448" spans="1:10" ht="19" customHeight="1">
      <c r="A448" s="62"/>
      <c r="G448" s="48" t="e">
        <f>VLOOKUP(D448,단가!B:D,3,0)</f>
        <v>#N/A</v>
      </c>
      <c r="H448" s="48" t="e">
        <f t="shared" si="24"/>
        <v>#N/A</v>
      </c>
      <c r="I448" s="48" t="e">
        <f t="shared" si="25"/>
        <v>#N/A</v>
      </c>
      <c r="J448" s="49" t="e">
        <f t="shared" si="23"/>
        <v>#N/A</v>
      </c>
    </row>
    <row r="449" spans="1:12" ht="19" customHeight="1">
      <c r="A449" s="62"/>
      <c r="G449" s="48" t="e">
        <f>VLOOKUP(D449,단가!B:D,3,0)</f>
        <v>#N/A</v>
      </c>
      <c r="H449" s="48" t="e">
        <f t="shared" si="24"/>
        <v>#N/A</v>
      </c>
      <c r="I449" s="48" t="e">
        <f t="shared" si="25"/>
        <v>#N/A</v>
      </c>
      <c r="J449" s="49" t="e">
        <f t="shared" si="23"/>
        <v>#N/A</v>
      </c>
    </row>
    <row r="450" spans="1:12" ht="19" customHeight="1">
      <c r="A450" s="62"/>
      <c r="G450" s="48" t="e">
        <f>VLOOKUP(D450,단가!B:D,3,0)</f>
        <v>#N/A</v>
      </c>
      <c r="H450" s="48" t="e">
        <f t="shared" si="24"/>
        <v>#N/A</v>
      </c>
      <c r="I450" s="48" t="e">
        <f t="shared" si="25"/>
        <v>#N/A</v>
      </c>
      <c r="J450" s="49" t="e">
        <f t="shared" si="23"/>
        <v>#N/A</v>
      </c>
    </row>
    <row r="451" spans="1:12" ht="19" customHeight="1">
      <c r="A451" s="62"/>
      <c r="G451" s="48" t="e">
        <f>VLOOKUP(D451,단가!B:D,3,0)</f>
        <v>#N/A</v>
      </c>
      <c r="H451" s="48" t="e">
        <f t="shared" si="24"/>
        <v>#N/A</v>
      </c>
      <c r="I451" s="48" t="e">
        <f t="shared" si="25"/>
        <v>#N/A</v>
      </c>
      <c r="J451" s="49" t="e">
        <f t="shared" si="23"/>
        <v>#N/A</v>
      </c>
    </row>
    <row r="452" spans="1:12" ht="19" customHeight="1">
      <c r="A452" s="62"/>
      <c r="G452" s="48" t="e">
        <f>VLOOKUP(D452,단가!B:D,3,0)</f>
        <v>#N/A</v>
      </c>
      <c r="H452" s="48" t="e">
        <f t="shared" si="24"/>
        <v>#N/A</v>
      </c>
      <c r="I452" s="48" t="e">
        <f t="shared" si="25"/>
        <v>#N/A</v>
      </c>
      <c r="J452" s="49" t="e">
        <f t="shared" si="23"/>
        <v>#N/A</v>
      </c>
    </row>
    <row r="453" spans="1:12" ht="19" customHeight="1">
      <c r="A453" s="62"/>
      <c r="G453" s="48" t="e">
        <f>VLOOKUP(D453,단가!B:D,3,0)</f>
        <v>#N/A</v>
      </c>
      <c r="H453" s="48" t="e">
        <f t="shared" si="24"/>
        <v>#N/A</v>
      </c>
      <c r="I453" s="48" t="e">
        <f t="shared" si="25"/>
        <v>#N/A</v>
      </c>
      <c r="J453" s="49" t="e">
        <f t="shared" si="23"/>
        <v>#N/A</v>
      </c>
    </row>
    <row r="454" spans="1:12" ht="19" customHeight="1">
      <c r="A454" s="62"/>
      <c r="G454" s="48" t="e">
        <f>VLOOKUP(D454,단가!B:D,3,0)</f>
        <v>#N/A</v>
      </c>
      <c r="H454" s="48" t="e">
        <f t="shared" si="24"/>
        <v>#N/A</v>
      </c>
      <c r="I454" s="48" t="e">
        <f t="shared" si="25"/>
        <v>#N/A</v>
      </c>
      <c r="J454" s="49" t="e">
        <f t="shared" si="23"/>
        <v>#N/A</v>
      </c>
    </row>
    <row r="455" spans="1:12" ht="19" customHeight="1">
      <c r="A455" s="62"/>
      <c r="G455" s="48" t="e">
        <f>VLOOKUP(D455,단가!B:D,3,0)</f>
        <v>#N/A</v>
      </c>
      <c r="H455" s="48" t="e">
        <f t="shared" si="24"/>
        <v>#N/A</v>
      </c>
      <c r="I455" s="48" t="e">
        <f t="shared" si="25"/>
        <v>#N/A</v>
      </c>
      <c r="J455" s="49" t="e">
        <f t="shared" si="23"/>
        <v>#N/A</v>
      </c>
    </row>
    <row r="456" spans="1:12" ht="19" customHeight="1">
      <c r="A456" s="62"/>
      <c r="G456" s="48" t="e">
        <f>VLOOKUP(D456,단가!B:D,3,0)</f>
        <v>#N/A</v>
      </c>
      <c r="H456" s="48" t="e">
        <f t="shared" si="24"/>
        <v>#N/A</v>
      </c>
      <c r="I456" s="48" t="e">
        <f t="shared" si="25"/>
        <v>#N/A</v>
      </c>
      <c r="J456" s="49" t="e">
        <f t="shared" si="23"/>
        <v>#N/A</v>
      </c>
    </row>
    <row r="457" spans="1:12" ht="19" customHeight="1">
      <c r="A457" s="62"/>
      <c r="G457" s="48" t="e">
        <f>VLOOKUP(D457,단가!B:D,3,0)</f>
        <v>#N/A</v>
      </c>
      <c r="H457" s="48" t="e">
        <f t="shared" si="24"/>
        <v>#N/A</v>
      </c>
      <c r="I457" s="48" t="e">
        <f t="shared" si="25"/>
        <v>#N/A</v>
      </c>
      <c r="J457" s="49" t="e">
        <f t="shared" si="23"/>
        <v>#N/A</v>
      </c>
    </row>
    <row r="458" spans="1:12" ht="19" customHeight="1">
      <c r="A458" s="62"/>
      <c r="G458" s="48" t="e">
        <f>VLOOKUP(D458,단가!B:D,3,0)</f>
        <v>#N/A</v>
      </c>
      <c r="H458" s="48" t="e">
        <f t="shared" si="24"/>
        <v>#N/A</v>
      </c>
      <c r="I458" s="48" t="e">
        <f t="shared" si="25"/>
        <v>#N/A</v>
      </c>
      <c r="J458" s="49" t="e">
        <f t="shared" si="23"/>
        <v>#N/A</v>
      </c>
    </row>
    <row r="459" spans="1:12" ht="19" customHeight="1">
      <c r="A459" s="62"/>
      <c r="G459" s="48" t="e">
        <f>VLOOKUP(D459,단가!B:D,3,0)</f>
        <v>#N/A</v>
      </c>
      <c r="H459" s="48" t="e">
        <f t="shared" si="24"/>
        <v>#N/A</v>
      </c>
      <c r="I459" s="48" t="e">
        <f t="shared" si="25"/>
        <v>#N/A</v>
      </c>
      <c r="J459" s="49" t="e">
        <f t="shared" si="23"/>
        <v>#N/A</v>
      </c>
    </row>
    <row r="460" spans="1:12" ht="19" customHeight="1">
      <c r="A460" s="62"/>
      <c r="G460" s="48" t="e">
        <f>VLOOKUP(D460,단가!B:D,3,0)</f>
        <v>#N/A</v>
      </c>
      <c r="H460" s="48" t="e">
        <f t="shared" si="24"/>
        <v>#N/A</v>
      </c>
      <c r="I460" s="48" t="e">
        <f t="shared" si="25"/>
        <v>#N/A</v>
      </c>
      <c r="J460" s="49" t="e">
        <f t="shared" si="23"/>
        <v>#N/A</v>
      </c>
      <c r="L460" s="56"/>
    </row>
    <row r="461" spans="1:12" ht="19" customHeight="1">
      <c r="A461" s="62"/>
      <c r="G461" s="48" t="e">
        <f>VLOOKUP(D461,단가!B:D,3,0)</f>
        <v>#N/A</v>
      </c>
      <c r="H461" s="48" t="e">
        <f t="shared" si="24"/>
        <v>#N/A</v>
      </c>
      <c r="I461" s="48" t="e">
        <f t="shared" si="25"/>
        <v>#N/A</v>
      </c>
      <c r="J461" s="49" t="e">
        <f t="shared" si="23"/>
        <v>#N/A</v>
      </c>
    </row>
    <row r="462" spans="1:12" ht="19" customHeight="1">
      <c r="A462" s="62"/>
      <c r="G462" s="48" t="e">
        <f>VLOOKUP(D462,단가!B:D,3,0)</f>
        <v>#N/A</v>
      </c>
      <c r="H462" s="48" t="e">
        <f t="shared" si="24"/>
        <v>#N/A</v>
      </c>
      <c r="I462" s="48" t="e">
        <f t="shared" si="25"/>
        <v>#N/A</v>
      </c>
      <c r="J462" s="49" t="e">
        <f t="shared" si="23"/>
        <v>#N/A</v>
      </c>
    </row>
    <row r="463" spans="1:12" ht="18.5" customHeight="1">
      <c r="A463" s="62"/>
      <c r="G463" s="48" t="e">
        <f>VLOOKUP(D463,단가!B:D,3,0)</f>
        <v>#N/A</v>
      </c>
      <c r="H463" s="48" t="e">
        <f t="shared" si="24"/>
        <v>#N/A</v>
      </c>
      <c r="I463" s="48" t="e">
        <f t="shared" si="25"/>
        <v>#N/A</v>
      </c>
      <c r="J463" s="49" t="e">
        <f t="shared" si="23"/>
        <v>#N/A</v>
      </c>
    </row>
    <row r="464" spans="1:12" ht="19" customHeight="1">
      <c r="A464" s="62"/>
      <c r="G464" s="48" t="e">
        <f>VLOOKUP(D464,단가!B:D,3,0)</f>
        <v>#N/A</v>
      </c>
      <c r="H464" s="48" t="e">
        <f t="shared" si="24"/>
        <v>#N/A</v>
      </c>
      <c r="I464" s="48" t="e">
        <f t="shared" si="25"/>
        <v>#N/A</v>
      </c>
      <c r="J464" s="49" t="e">
        <f t="shared" si="23"/>
        <v>#N/A</v>
      </c>
    </row>
    <row r="465" spans="1:13" ht="19" customHeight="1">
      <c r="A465" s="62"/>
      <c r="G465" s="48" t="e">
        <f>VLOOKUP(D465,단가!B:D,3,0)</f>
        <v>#N/A</v>
      </c>
      <c r="H465" s="48" t="e">
        <f t="shared" si="24"/>
        <v>#N/A</v>
      </c>
      <c r="I465" s="48" t="e">
        <f t="shared" si="25"/>
        <v>#N/A</v>
      </c>
      <c r="J465" s="49" t="e">
        <f t="shared" si="23"/>
        <v>#N/A</v>
      </c>
    </row>
    <row r="466" spans="1:13" ht="19" customHeight="1">
      <c r="A466" s="62"/>
      <c r="G466" s="48" t="e">
        <f>VLOOKUP(D466,단가!B:D,3,0)</f>
        <v>#N/A</v>
      </c>
      <c r="H466" s="48" t="e">
        <f t="shared" si="24"/>
        <v>#N/A</v>
      </c>
      <c r="I466" s="48" t="e">
        <f t="shared" si="25"/>
        <v>#N/A</v>
      </c>
      <c r="J466" s="49" t="e">
        <f t="shared" si="23"/>
        <v>#N/A</v>
      </c>
      <c r="L466" s="56"/>
      <c r="M466" s="54"/>
    </row>
    <row r="467" spans="1:13" ht="19" customHeight="1">
      <c r="A467" s="62"/>
      <c r="G467" s="48" t="e">
        <f>VLOOKUP(D467,단가!B:D,3,0)</f>
        <v>#N/A</v>
      </c>
      <c r="H467" s="48" t="e">
        <f t="shared" si="24"/>
        <v>#N/A</v>
      </c>
      <c r="I467" s="48" t="e">
        <f t="shared" si="25"/>
        <v>#N/A</v>
      </c>
      <c r="J467" s="49" t="e">
        <f t="shared" si="23"/>
        <v>#N/A</v>
      </c>
    </row>
    <row r="468" spans="1:13" ht="19" customHeight="1">
      <c r="A468" s="62"/>
      <c r="G468" s="48" t="e">
        <f>VLOOKUP(D468,단가!B:D,3,0)</f>
        <v>#N/A</v>
      </c>
      <c r="H468" s="48" t="e">
        <f t="shared" si="24"/>
        <v>#N/A</v>
      </c>
      <c r="I468" s="48" t="e">
        <f t="shared" si="25"/>
        <v>#N/A</v>
      </c>
      <c r="J468" s="49" t="e">
        <f t="shared" si="23"/>
        <v>#N/A</v>
      </c>
    </row>
    <row r="469" spans="1:13" ht="19" customHeight="1">
      <c r="A469" s="62"/>
      <c r="G469" s="48" t="e">
        <f>VLOOKUP(D469,단가!B:D,3,0)</f>
        <v>#N/A</v>
      </c>
      <c r="H469" s="48" t="e">
        <f t="shared" si="24"/>
        <v>#N/A</v>
      </c>
      <c r="I469" s="48" t="e">
        <f t="shared" si="25"/>
        <v>#N/A</v>
      </c>
      <c r="J469" s="49" t="e">
        <f t="shared" si="23"/>
        <v>#N/A</v>
      </c>
    </row>
    <row r="470" spans="1:13" ht="19" customHeight="1">
      <c r="A470" s="62"/>
      <c r="G470" s="48" t="e">
        <f>VLOOKUP(D470,단가!B:D,3,0)</f>
        <v>#N/A</v>
      </c>
      <c r="H470" s="48" t="e">
        <f t="shared" si="24"/>
        <v>#N/A</v>
      </c>
      <c r="I470" s="48" t="e">
        <f t="shared" si="25"/>
        <v>#N/A</v>
      </c>
      <c r="J470" s="49" t="e">
        <f t="shared" si="23"/>
        <v>#N/A</v>
      </c>
    </row>
    <row r="471" spans="1:13" ht="19" customHeight="1">
      <c r="A471" s="62"/>
      <c r="G471" s="48" t="e">
        <f>VLOOKUP(D471,단가!B:D,3,0)</f>
        <v>#N/A</v>
      </c>
      <c r="H471" s="48" t="e">
        <f t="shared" si="24"/>
        <v>#N/A</v>
      </c>
      <c r="I471" s="48" t="e">
        <f t="shared" si="25"/>
        <v>#N/A</v>
      </c>
      <c r="J471" s="49" t="e">
        <f t="shared" si="23"/>
        <v>#N/A</v>
      </c>
    </row>
    <row r="472" spans="1:13" ht="19" customHeight="1">
      <c r="A472" s="62"/>
      <c r="G472" s="48" t="e">
        <f>VLOOKUP(D472,단가!B:D,3,0)</f>
        <v>#N/A</v>
      </c>
      <c r="H472" s="48" t="e">
        <f t="shared" si="24"/>
        <v>#N/A</v>
      </c>
      <c r="I472" s="48" t="e">
        <f t="shared" si="25"/>
        <v>#N/A</v>
      </c>
      <c r="J472" s="49" t="e">
        <f t="shared" si="23"/>
        <v>#N/A</v>
      </c>
    </row>
    <row r="473" spans="1:13" ht="19" customHeight="1">
      <c r="A473" s="62"/>
      <c r="G473" s="48" t="e">
        <f>VLOOKUP(D473,단가!B:D,3,0)</f>
        <v>#N/A</v>
      </c>
      <c r="H473" s="48" t="e">
        <f t="shared" si="24"/>
        <v>#N/A</v>
      </c>
      <c r="I473" s="48" t="e">
        <f t="shared" si="25"/>
        <v>#N/A</v>
      </c>
      <c r="J473" s="49" t="e">
        <f t="shared" si="23"/>
        <v>#N/A</v>
      </c>
    </row>
    <row r="474" spans="1:13" ht="19" customHeight="1">
      <c r="A474" s="62"/>
      <c r="G474" s="48" t="e">
        <f>VLOOKUP(D474,단가!B:D,3,0)</f>
        <v>#N/A</v>
      </c>
      <c r="H474" s="48" t="e">
        <f t="shared" si="24"/>
        <v>#N/A</v>
      </c>
      <c r="I474" s="48" t="e">
        <f t="shared" si="25"/>
        <v>#N/A</v>
      </c>
      <c r="J474" s="49" t="e">
        <f t="shared" si="23"/>
        <v>#N/A</v>
      </c>
    </row>
    <row r="475" spans="1:13" ht="19" customHeight="1">
      <c r="A475" s="62"/>
      <c r="G475" s="48" t="e">
        <f>VLOOKUP(D475,단가!B:D,3,0)</f>
        <v>#N/A</v>
      </c>
      <c r="H475" s="48" t="e">
        <f t="shared" si="24"/>
        <v>#N/A</v>
      </c>
      <c r="I475" s="48" t="e">
        <f t="shared" si="25"/>
        <v>#N/A</v>
      </c>
      <c r="J475" s="49" t="e">
        <f t="shared" si="23"/>
        <v>#N/A</v>
      </c>
    </row>
    <row r="476" spans="1:13" ht="19" customHeight="1">
      <c r="A476" s="62"/>
      <c r="G476" s="48" t="e">
        <f>VLOOKUP(D476,단가!B:D,3,0)</f>
        <v>#N/A</v>
      </c>
      <c r="H476" s="48" t="e">
        <f t="shared" si="24"/>
        <v>#N/A</v>
      </c>
      <c r="I476" s="48" t="e">
        <f t="shared" si="25"/>
        <v>#N/A</v>
      </c>
      <c r="J476" s="49" t="e">
        <f t="shared" si="23"/>
        <v>#N/A</v>
      </c>
    </row>
    <row r="477" spans="1:13" ht="19" customHeight="1">
      <c r="A477" s="62"/>
      <c r="G477" s="48" t="e">
        <f>VLOOKUP(D477,단가!B:D,3,0)</f>
        <v>#N/A</v>
      </c>
      <c r="H477" s="48" t="e">
        <f t="shared" si="24"/>
        <v>#N/A</v>
      </c>
      <c r="I477" s="48" t="e">
        <f t="shared" si="25"/>
        <v>#N/A</v>
      </c>
      <c r="J477" s="49" t="e">
        <f t="shared" si="23"/>
        <v>#N/A</v>
      </c>
    </row>
    <row r="478" spans="1:13" ht="19" customHeight="1">
      <c r="A478" s="62"/>
      <c r="G478" s="48" t="e">
        <f>VLOOKUP(D478,단가!B:D,3,0)</f>
        <v>#N/A</v>
      </c>
      <c r="H478" s="48" t="e">
        <f t="shared" si="24"/>
        <v>#N/A</v>
      </c>
      <c r="I478" s="48" t="e">
        <f t="shared" si="25"/>
        <v>#N/A</v>
      </c>
      <c r="J478" s="49" t="e">
        <f t="shared" si="23"/>
        <v>#N/A</v>
      </c>
    </row>
    <row r="479" spans="1:13" ht="19" customHeight="1">
      <c r="A479" s="62"/>
      <c r="G479" s="48" t="e">
        <f>VLOOKUP(D479,단가!B:D,3,0)</f>
        <v>#N/A</v>
      </c>
      <c r="H479" s="48" t="e">
        <f t="shared" si="24"/>
        <v>#N/A</v>
      </c>
      <c r="I479" s="48" t="e">
        <f t="shared" si="25"/>
        <v>#N/A</v>
      </c>
      <c r="J479" s="49" t="e">
        <f t="shared" si="23"/>
        <v>#N/A</v>
      </c>
    </row>
    <row r="480" spans="1:13" ht="19" customHeight="1">
      <c r="A480" s="62"/>
      <c r="G480" s="48" t="e">
        <f>VLOOKUP(D480,단가!B:D,3,0)</f>
        <v>#N/A</v>
      </c>
      <c r="H480" s="48" t="e">
        <f t="shared" si="24"/>
        <v>#N/A</v>
      </c>
      <c r="I480" s="48" t="e">
        <f t="shared" si="25"/>
        <v>#N/A</v>
      </c>
      <c r="J480" s="49" t="e">
        <f t="shared" si="23"/>
        <v>#N/A</v>
      </c>
    </row>
    <row r="481" spans="1:12" ht="19" customHeight="1">
      <c r="A481" s="62"/>
      <c r="G481" s="48" t="e">
        <f>VLOOKUP(D481,단가!B:D,3,0)</f>
        <v>#N/A</v>
      </c>
      <c r="H481" s="48" t="e">
        <f t="shared" si="24"/>
        <v>#N/A</v>
      </c>
      <c r="I481" s="48" t="e">
        <f t="shared" si="25"/>
        <v>#N/A</v>
      </c>
      <c r="J481" s="49" t="e">
        <f t="shared" si="23"/>
        <v>#N/A</v>
      </c>
      <c r="K481" s="49"/>
    </row>
    <row r="482" spans="1:12" ht="19" customHeight="1">
      <c r="A482" s="62"/>
      <c r="G482" s="48" t="e">
        <f>VLOOKUP(D482,단가!B:D,3,0)</f>
        <v>#N/A</v>
      </c>
      <c r="H482" s="48" t="e">
        <f t="shared" si="24"/>
        <v>#N/A</v>
      </c>
      <c r="I482" s="48" t="e">
        <f t="shared" si="25"/>
        <v>#N/A</v>
      </c>
      <c r="J482" s="49" t="e">
        <f t="shared" si="23"/>
        <v>#N/A</v>
      </c>
    </row>
    <row r="483" spans="1:12" ht="19" customHeight="1">
      <c r="A483" s="62"/>
      <c r="G483" s="48" t="e">
        <f>VLOOKUP(D483,단가!B:D,3,0)</f>
        <v>#N/A</v>
      </c>
      <c r="H483" s="48" t="e">
        <f t="shared" si="24"/>
        <v>#N/A</v>
      </c>
      <c r="I483" s="48" t="e">
        <f t="shared" si="25"/>
        <v>#N/A</v>
      </c>
      <c r="J483" s="49" t="e">
        <f t="shared" si="23"/>
        <v>#N/A</v>
      </c>
    </row>
    <row r="484" spans="1:12" ht="19" customHeight="1">
      <c r="A484" s="62"/>
      <c r="G484" s="48" t="e">
        <f>VLOOKUP(D484,단가!B:D,3,0)</f>
        <v>#N/A</v>
      </c>
      <c r="H484" s="48" t="e">
        <f t="shared" si="24"/>
        <v>#N/A</v>
      </c>
      <c r="I484" s="48" t="e">
        <f t="shared" si="25"/>
        <v>#N/A</v>
      </c>
      <c r="J484" s="49" t="e">
        <f t="shared" si="23"/>
        <v>#N/A</v>
      </c>
    </row>
    <row r="485" spans="1:12" ht="19" customHeight="1">
      <c r="A485" s="62"/>
      <c r="G485" s="48" t="e">
        <f>VLOOKUP(D485,단가!B:D,3,0)</f>
        <v>#N/A</v>
      </c>
      <c r="H485" s="48" t="e">
        <f t="shared" si="24"/>
        <v>#N/A</v>
      </c>
      <c r="I485" s="48" t="e">
        <f t="shared" si="25"/>
        <v>#N/A</v>
      </c>
      <c r="J485" s="49" t="e">
        <f t="shared" si="23"/>
        <v>#N/A</v>
      </c>
    </row>
    <row r="486" spans="1:12" ht="19" customHeight="1">
      <c r="A486" s="62"/>
      <c r="G486" s="48" t="e">
        <f>VLOOKUP(D486,단가!B:D,3,0)</f>
        <v>#N/A</v>
      </c>
      <c r="H486" s="48" t="e">
        <f t="shared" si="24"/>
        <v>#N/A</v>
      </c>
      <c r="I486" s="48" t="e">
        <f t="shared" si="25"/>
        <v>#N/A</v>
      </c>
      <c r="J486" s="49" t="e">
        <f t="shared" si="23"/>
        <v>#N/A</v>
      </c>
    </row>
    <row r="487" spans="1:12" ht="19" customHeight="1">
      <c r="A487" s="62"/>
      <c r="G487" s="48" t="e">
        <f>VLOOKUP(D487,단가!B:D,3,0)</f>
        <v>#N/A</v>
      </c>
      <c r="H487" s="48" t="e">
        <f t="shared" si="24"/>
        <v>#N/A</v>
      </c>
      <c r="I487" s="48" t="e">
        <f t="shared" si="25"/>
        <v>#N/A</v>
      </c>
      <c r="J487" s="49" t="e">
        <f t="shared" si="23"/>
        <v>#N/A</v>
      </c>
    </row>
    <row r="488" spans="1:12" ht="19" customHeight="1">
      <c r="A488" s="62"/>
      <c r="G488" s="48" t="e">
        <f>VLOOKUP(D488,단가!B:D,3,0)</f>
        <v>#N/A</v>
      </c>
      <c r="H488" s="48" t="e">
        <f t="shared" si="24"/>
        <v>#N/A</v>
      </c>
      <c r="J488" s="49" t="e">
        <f t="shared" si="23"/>
        <v>#N/A</v>
      </c>
      <c r="L488" s="56"/>
    </row>
    <row r="489" spans="1:12" ht="19" customHeight="1">
      <c r="A489" s="62"/>
      <c r="G489" s="48" t="e">
        <f>VLOOKUP(D489,단가!B:D,3,0)</f>
        <v>#N/A</v>
      </c>
      <c r="H489" s="48" t="e">
        <f t="shared" si="24"/>
        <v>#N/A</v>
      </c>
      <c r="I489" s="48" t="e">
        <f t="shared" si="25"/>
        <v>#N/A</v>
      </c>
      <c r="J489" s="49" t="e">
        <f t="shared" si="23"/>
        <v>#N/A</v>
      </c>
    </row>
    <row r="490" spans="1:12" ht="19" customHeight="1">
      <c r="A490" s="62"/>
      <c r="G490" s="48" t="e">
        <f>VLOOKUP(D490,단가!B:D,3,0)</f>
        <v>#N/A</v>
      </c>
      <c r="H490" s="48" t="e">
        <f t="shared" si="24"/>
        <v>#N/A</v>
      </c>
      <c r="I490" s="48" t="e">
        <f t="shared" si="25"/>
        <v>#N/A</v>
      </c>
      <c r="J490" s="49" t="e">
        <f t="shared" si="23"/>
        <v>#N/A</v>
      </c>
    </row>
    <row r="491" spans="1:12" ht="19" customHeight="1">
      <c r="A491" s="62"/>
      <c r="G491" s="48" t="e">
        <f>VLOOKUP(D491,단가!B:D,3,0)</f>
        <v>#N/A</v>
      </c>
      <c r="H491" s="48" t="e">
        <f t="shared" si="24"/>
        <v>#N/A</v>
      </c>
      <c r="I491" s="48" t="e">
        <f t="shared" si="25"/>
        <v>#N/A</v>
      </c>
      <c r="J491" s="49" t="e">
        <f t="shared" si="23"/>
        <v>#N/A</v>
      </c>
    </row>
    <row r="492" spans="1:12" ht="19" customHeight="1">
      <c r="A492" s="62"/>
      <c r="G492" s="48" t="e">
        <f>VLOOKUP(D492,단가!B:D,3,0)</f>
        <v>#N/A</v>
      </c>
      <c r="H492" s="48" t="e">
        <f t="shared" si="24"/>
        <v>#N/A</v>
      </c>
      <c r="I492" s="48" t="e">
        <f t="shared" si="25"/>
        <v>#N/A</v>
      </c>
      <c r="J492" s="49" t="e">
        <f t="shared" si="23"/>
        <v>#N/A</v>
      </c>
    </row>
    <row r="493" spans="1:12" ht="19" customHeight="1">
      <c r="A493" s="62"/>
      <c r="G493" s="48" t="e">
        <f>VLOOKUP(D493,단가!B:D,3,0)</f>
        <v>#N/A</v>
      </c>
      <c r="H493" s="48" t="e">
        <f t="shared" si="24"/>
        <v>#N/A</v>
      </c>
      <c r="I493" s="48" t="e">
        <f t="shared" si="25"/>
        <v>#N/A</v>
      </c>
      <c r="J493" s="49" t="e">
        <f t="shared" si="23"/>
        <v>#N/A</v>
      </c>
    </row>
    <row r="494" spans="1:12" ht="19" customHeight="1">
      <c r="A494" s="62"/>
      <c r="G494" s="48" t="e">
        <f>VLOOKUP(D494,단가!B:D,3,0)</f>
        <v>#N/A</v>
      </c>
      <c r="H494" s="48" t="e">
        <f t="shared" si="24"/>
        <v>#N/A</v>
      </c>
      <c r="I494" s="48" t="e">
        <f t="shared" si="25"/>
        <v>#N/A</v>
      </c>
      <c r="J494" s="49" t="e">
        <f t="shared" ref="J494:J570" si="26">H494+I494</f>
        <v>#N/A</v>
      </c>
    </row>
    <row r="495" spans="1:12" ht="19" customHeight="1">
      <c r="A495" s="62"/>
      <c r="G495" s="48" t="e">
        <f>VLOOKUP(D495,단가!B:D,3,0)</f>
        <v>#N/A</v>
      </c>
      <c r="H495" s="48" t="e">
        <f t="shared" ref="H495:H558" si="27">F495*G495</f>
        <v>#N/A</v>
      </c>
      <c r="I495" s="48" t="e">
        <f t="shared" ref="I495:I571" si="28">H495*0.1</f>
        <v>#N/A</v>
      </c>
      <c r="J495" s="49" t="e">
        <f t="shared" si="26"/>
        <v>#N/A</v>
      </c>
      <c r="K495" s="49"/>
    </row>
    <row r="496" spans="1:12" ht="19" customHeight="1">
      <c r="A496" s="62"/>
      <c r="G496" s="48" t="e">
        <f>VLOOKUP(D496,단가!B:D,3,0)</f>
        <v>#N/A</v>
      </c>
      <c r="H496" s="48" t="e">
        <f t="shared" si="27"/>
        <v>#N/A</v>
      </c>
      <c r="I496" s="48" t="e">
        <f t="shared" si="28"/>
        <v>#N/A</v>
      </c>
      <c r="J496" s="49" t="e">
        <f t="shared" si="26"/>
        <v>#N/A</v>
      </c>
    </row>
    <row r="497" spans="1:12" ht="19" customHeight="1">
      <c r="A497" s="62"/>
      <c r="G497" s="48" t="e">
        <f>VLOOKUP(D497,단가!B:D,3,0)</f>
        <v>#N/A</v>
      </c>
      <c r="H497" s="48" t="e">
        <f t="shared" si="27"/>
        <v>#N/A</v>
      </c>
      <c r="I497" s="48" t="e">
        <f t="shared" si="28"/>
        <v>#N/A</v>
      </c>
      <c r="J497" s="49" t="e">
        <f t="shared" si="26"/>
        <v>#N/A</v>
      </c>
    </row>
    <row r="498" spans="1:12" ht="19" customHeight="1">
      <c r="A498" s="62"/>
      <c r="G498" s="48" t="e">
        <f>VLOOKUP(D498,단가!B:D,3,0)</f>
        <v>#N/A</v>
      </c>
      <c r="H498" s="48" t="e">
        <f t="shared" si="27"/>
        <v>#N/A</v>
      </c>
      <c r="I498" s="48" t="e">
        <f t="shared" si="28"/>
        <v>#N/A</v>
      </c>
      <c r="J498" s="49" t="e">
        <f t="shared" si="26"/>
        <v>#N/A</v>
      </c>
    </row>
    <row r="499" spans="1:12" ht="19" customHeight="1">
      <c r="A499" s="62"/>
      <c r="G499" s="48" t="e">
        <f>VLOOKUP(D499,단가!B:D,3,0)</f>
        <v>#N/A</v>
      </c>
      <c r="H499" s="48" t="e">
        <f t="shared" si="27"/>
        <v>#N/A</v>
      </c>
      <c r="I499" s="48" t="e">
        <f t="shared" si="28"/>
        <v>#N/A</v>
      </c>
      <c r="J499" s="49" t="e">
        <f t="shared" si="26"/>
        <v>#N/A</v>
      </c>
    </row>
    <row r="500" spans="1:12" ht="19" customHeight="1">
      <c r="A500" s="62"/>
      <c r="G500" s="48" t="e">
        <f>VLOOKUP(D500,단가!B:D,3,0)</f>
        <v>#N/A</v>
      </c>
      <c r="H500" s="48" t="e">
        <f t="shared" si="27"/>
        <v>#N/A</v>
      </c>
      <c r="I500" s="48" t="e">
        <f t="shared" si="28"/>
        <v>#N/A</v>
      </c>
      <c r="J500" s="49" t="e">
        <f t="shared" si="26"/>
        <v>#N/A</v>
      </c>
    </row>
    <row r="501" spans="1:12" ht="19" customHeight="1">
      <c r="A501" s="62"/>
      <c r="G501" s="48" t="e">
        <f>VLOOKUP(D501,단가!B:D,3,0)</f>
        <v>#N/A</v>
      </c>
      <c r="H501" s="48" t="e">
        <f t="shared" si="27"/>
        <v>#N/A</v>
      </c>
      <c r="I501" s="48" t="e">
        <f t="shared" si="28"/>
        <v>#N/A</v>
      </c>
      <c r="J501" s="49" t="e">
        <f t="shared" si="26"/>
        <v>#N/A</v>
      </c>
      <c r="L501" s="56"/>
    </row>
    <row r="502" spans="1:12" ht="19" customHeight="1">
      <c r="A502" s="62"/>
      <c r="G502" s="48" t="e">
        <f>VLOOKUP(D502,단가!B:D,3,0)</f>
        <v>#N/A</v>
      </c>
      <c r="H502" s="48" t="e">
        <f t="shared" si="27"/>
        <v>#N/A</v>
      </c>
      <c r="I502" s="48" t="e">
        <f t="shared" si="28"/>
        <v>#N/A</v>
      </c>
      <c r="J502" s="49" t="e">
        <f t="shared" si="26"/>
        <v>#N/A</v>
      </c>
    </row>
    <row r="503" spans="1:12" ht="19" customHeight="1">
      <c r="A503" s="62"/>
      <c r="G503" s="48" t="e">
        <f>VLOOKUP(D503,단가!B:D,3,0)</f>
        <v>#N/A</v>
      </c>
      <c r="H503" s="48" t="e">
        <f t="shared" si="27"/>
        <v>#N/A</v>
      </c>
      <c r="I503" s="48" t="e">
        <f t="shared" si="28"/>
        <v>#N/A</v>
      </c>
      <c r="J503" s="49" t="e">
        <f t="shared" si="26"/>
        <v>#N/A</v>
      </c>
    </row>
    <row r="504" spans="1:12" ht="19" customHeight="1">
      <c r="A504" s="62"/>
      <c r="G504" s="48" t="e">
        <f>VLOOKUP(D504,단가!B:D,3,0)</f>
        <v>#N/A</v>
      </c>
      <c r="H504" s="48" t="e">
        <f t="shared" si="27"/>
        <v>#N/A</v>
      </c>
      <c r="I504" s="48" t="e">
        <f t="shared" si="28"/>
        <v>#N/A</v>
      </c>
      <c r="J504" s="49" t="e">
        <f t="shared" si="26"/>
        <v>#N/A</v>
      </c>
    </row>
    <row r="505" spans="1:12" ht="19" customHeight="1">
      <c r="A505" s="62"/>
      <c r="G505" s="48" t="e">
        <f>VLOOKUP(D505,단가!B:D,3,0)</f>
        <v>#N/A</v>
      </c>
      <c r="H505" s="48" t="e">
        <f t="shared" si="27"/>
        <v>#N/A</v>
      </c>
      <c r="I505" s="48" t="e">
        <f t="shared" si="28"/>
        <v>#N/A</v>
      </c>
      <c r="J505" s="49" t="e">
        <f t="shared" si="26"/>
        <v>#N/A</v>
      </c>
    </row>
    <row r="506" spans="1:12" ht="19" customHeight="1">
      <c r="A506" s="62"/>
      <c r="G506" s="48" t="e">
        <f>VLOOKUP(D506,단가!B:D,3,0)</f>
        <v>#N/A</v>
      </c>
      <c r="H506" s="48" t="e">
        <f t="shared" si="27"/>
        <v>#N/A</v>
      </c>
      <c r="I506" s="48" t="e">
        <f t="shared" si="28"/>
        <v>#N/A</v>
      </c>
      <c r="J506" s="49" t="e">
        <f t="shared" si="26"/>
        <v>#N/A</v>
      </c>
      <c r="L506" s="56"/>
    </row>
    <row r="507" spans="1:12" ht="19" customHeight="1">
      <c r="A507" s="62"/>
      <c r="G507" s="48" t="e">
        <f>VLOOKUP(D507,단가!B:D,3,0)</f>
        <v>#N/A</v>
      </c>
      <c r="H507" s="48" t="e">
        <f t="shared" si="27"/>
        <v>#N/A</v>
      </c>
      <c r="I507" s="48" t="e">
        <f t="shared" si="28"/>
        <v>#N/A</v>
      </c>
      <c r="J507" s="49" t="e">
        <f t="shared" si="26"/>
        <v>#N/A</v>
      </c>
    </row>
    <row r="508" spans="1:12" ht="19" customHeight="1">
      <c r="A508" s="62"/>
      <c r="G508" s="48" t="e">
        <f>VLOOKUP(D508,단가!B:D,3,0)</f>
        <v>#N/A</v>
      </c>
      <c r="H508" s="48" t="e">
        <f t="shared" si="27"/>
        <v>#N/A</v>
      </c>
      <c r="I508" s="48" t="e">
        <f t="shared" si="28"/>
        <v>#N/A</v>
      </c>
      <c r="J508" s="49" t="e">
        <f t="shared" si="26"/>
        <v>#N/A</v>
      </c>
    </row>
    <row r="509" spans="1:12" ht="19" customHeight="1">
      <c r="A509" s="62"/>
      <c r="G509" s="48" t="e">
        <f>VLOOKUP(D509,단가!B:D,3,0)</f>
        <v>#N/A</v>
      </c>
      <c r="H509" s="48" t="e">
        <f t="shared" si="27"/>
        <v>#N/A</v>
      </c>
      <c r="I509" s="48" t="e">
        <f t="shared" si="28"/>
        <v>#N/A</v>
      </c>
      <c r="J509" s="49" t="e">
        <f t="shared" si="26"/>
        <v>#N/A</v>
      </c>
    </row>
    <row r="510" spans="1:12" ht="19" customHeight="1">
      <c r="A510" s="62"/>
      <c r="G510" s="48" t="e">
        <f>VLOOKUP(D510,단가!B:D,3,0)</f>
        <v>#N/A</v>
      </c>
      <c r="H510" s="48" t="e">
        <f t="shared" si="27"/>
        <v>#N/A</v>
      </c>
      <c r="I510" s="48" t="e">
        <f t="shared" si="28"/>
        <v>#N/A</v>
      </c>
      <c r="J510" s="49" t="e">
        <f t="shared" si="26"/>
        <v>#N/A</v>
      </c>
    </row>
    <row r="511" spans="1:12" ht="19" customHeight="1">
      <c r="A511" s="62"/>
      <c r="G511" s="48" t="e">
        <f>VLOOKUP(D511,단가!B:D,3,0)</f>
        <v>#N/A</v>
      </c>
      <c r="H511" s="48" t="e">
        <f t="shared" si="27"/>
        <v>#N/A</v>
      </c>
      <c r="I511" s="48" t="e">
        <f t="shared" si="28"/>
        <v>#N/A</v>
      </c>
      <c r="J511" s="49" t="e">
        <f t="shared" si="26"/>
        <v>#N/A</v>
      </c>
    </row>
    <row r="512" spans="1:12" ht="19" customHeight="1">
      <c r="A512" s="62"/>
      <c r="G512" s="48" t="e">
        <f>VLOOKUP(D512,단가!B:D,3,0)</f>
        <v>#N/A</v>
      </c>
      <c r="H512" s="48" t="e">
        <f t="shared" si="27"/>
        <v>#N/A</v>
      </c>
      <c r="I512" s="48" t="e">
        <f t="shared" si="28"/>
        <v>#N/A</v>
      </c>
      <c r="J512" s="49" t="e">
        <f t="shared" si="26"/>
        <v>#N/A</v>
      </c>
    </row>
    <row r="513" spans="1:12" ht="19" customHeight="1">
      <c r="A513" s="62"/>
      <c r="G513" s="48" t="e">
        <f>VLOOKUP(D513,단가!B:D,3,0)</f>
        <v>#N/A</v>
      </c>
      <c r="H513" s="48" t="e">
        <f t="shared" si="27"/>
        <v>#N/A</v>
      </c>
      <c r="I513" s="48" t="e">
        <f t="shared" si="28"/>
        <v>#N/A</v>
      </c>
      <c r="J513" s="49" t="e">
        <f t="shared" si="26"/>
        <v>#N/A</v>
      </c>
    </row>
    <row r="514" spans="1:12" ht="19" customHeight="1">
      <c r="A514" s="62"/>
      <c r="G514" s="48" t="e">
        <f>VLOOKUP(D514,단가!B:D,3,0)</f>
        <v>#N/A</v>
      </c>
      <c r="H514" s="48" t="e">
        <f t="shared" si="27"/>
        <v>#N/A</v>
      </c>
      <c r="I514" s="48" t="e">
        <f t="shared" si="28"/>
        <v>#N/A</v>
      </c>
      <c r="J514" s="49" t="e">
        <f t="shared" si="26"/>
        <v>#N/A</v>
      </c>
    </row>
    <row r="515" spans="1:12" ht="19" customHeight="1">
      <c r="A515" s="62"/>
      <c r="G515" s="48" t="e">
        <f>VLOOKUP(D515,단가!B:D,3,0)</f>
        <v>#N/A</v>
      </c>
      <c r="H515" s="48" t="e">
        <f t="shared" si="27"/>
        <v>#N/A</v>
      </c>
      <c r="I515" s="48" t="e">
        <f t="shared" si="28"/>
        <v>#N/A</v>
      </c>
      <c r="J515" s="49" t="e">
        <f t="shared" si="26"/>
        <v>#N/A</v>
      </c>
    </row>
    <row r="516" spans="1:12" ht="19" customHeight="1">
      <c r="A516" s="62"/>
      <c r="G516" s="48" t="e">
        <f>VLOOKUP(D516,단가!B:D,3,0)</f>
        <v>#N/A</v>
      </c>
      <c r="H516" s="48" t="e">
        <f t="shared" si="27"/>
        <v>#N/A</v>
      </c>
      <c r="I516" s="48" t="e">
        <f t="shared" si="28"/>
        <v>#N/A</v>
      </c>
      <c r="J516" s="49" t="e">
        <f t="shared" si="26"/>
        <v>#N/A</v>
      </c>
    </row>
    <row r="517" spans="1:12" ht="19" customHeight="1">
      <c r="A517" s="62"/>
      <c r="G517" s="48" t="e">
        <f>VLOOKUP(D517,단가!B:D,3,0)</f>
        <v>#N/A</v>
      </c>
      <c r="H517" s="48" t="e">
        <f t="shared" si="27"/>
        <v>#N/A</v>
      </c>
      <c r="I517" s="48" t="e">
        <f t="shared" si="28"/>
        <v>#N/A</v>
      </c>
      <c r="J517" s="49" t="e">
        <f t="shared" si="26"/>
        <v>#N/A</v>
      </c>
    </row>
    <row r="518" spans="1:12" ht="19" customHeight="1">
      <c r="A518" s="62"/>
      <c r="G518" s="48" t="e">
        <f>VLOOKUP(D518,단가!B:D,3,0)</f>
        <v>#N/A</v>
      </c>
      <c r="H518" s="48" t="e">
        <f t="shared" si="27"/>
        <v>#N/A</v>
      </c>
      <c r="I518" s="48" t="e">
        <f t="shared" si="28"/>
        <v>#N/A</v>
      </c>
      <c r="J518" s="49" t="e">
        <f t="shared" si="26"/>
        <v>#N/A</v>
      </c>
    </row>
    <row r="519" spans="1:12" ht="19" customHeight="1">
      <c r="A519" s="62"/>
      <c r="G519" s="48" t="e">
        <f>VLOOKUP(D519,단가!B:D,3,0)</f>
        <v>#N/A</v>
      </c>
      <c r="H519" s="48" t="e">
        <f t="shared" si="27"/>
        <v>#N/A</v>
      </c>
      <c r="I519" s="48" t="e">
        <f t="shared" si="28"/>
        <v>#N/A</v>
      </c>
      <c r="J519" s="49" t="e">
        <f t="shared" si="26"/>
        <v>#N/A</v>
      </c>
      <c r="L519" s="56"/>
    </row>
    <row r="520" spans="1:12" ht="19" customHeight="1">
      <c r="A520" s="62"/>
      <c r="G520" s="48" t="e">
        <f>VLOOKUP(D520,단가!B:D,3,0)</f>
        <v>#N/A</v>
      </c>
      <c r="H520" s="48" t="e">
        <f t="shared" si="27"/>
        <v>#N/A</v>
      </c>
      <c r="I520" s="48" t="e">
        <f t="shared" si="28"/>
        <v>#N/A</v>
      </c>
      <c r="J520" s="49" t="e">
        <f t="shared" si="26"/>
        <v>#N/A</v>
      </c>
    </row>
    <row r="521" spans="1:12" ht="19" customHeight="1">
      <c r="A521" s="62"/>
      <c r="G521" s="48" t="e">
        <f>VLOOKUP(D521,단가!B:D,3,0)</f>
        <v>#N/A</v>
      </c>
      <c r="H521" s="48" t="e">
        <f t="shared" si="27"/>
        <v>#N/A</v>
      </c>
      <c r="I521" s="48" t="e">
        <f t="shared" si="28"/>
        <v>#N/A</v>
      </c>
      <c r="J521" s="49" t="e">
        <f t="shared" si="26"/>
        <v>#N/A</v>
      </c>
    </row>
    <row r="522" spans="1:12" ht="19" customHeight="1">
      <c r="A522" s="62"/>
      <c r="G522" s="48" t="e">
        <f>VLOOKUP(D522,단가!B:D,3,0)</f>
        <v>#N/A</v>
      </c>
      <c r="H522" s="48" t="e">
        <f t="shared" si="27"/>
        <v>#N/A</v>
      </c>
      <c r="I522" s="48" t="e">
        <f t="shared" si="28"/>
        <v>#N/A</v>
      </c>
      <c r="J522" s="49" t="e">
        <f t="shared" si="26"/>
        <v>#N/A</v>
      </c>
    </row>
    <row r="523" spans="1:12" ht="19" customHeight="1">
      <c r="A523" s="62"/>
      <c r="G523" s="48" t="e">
        <f>VLOOKUP(D523,단가!B:D,3,0)</f>
        <v>#N/A</v>
      </c>
      <c r="H523" s="48" t="e">
        <f t="shared" si="27"/>
        <v>#N/A</v>
      </c>
      <c r="I523" s="48" t="e">
        <f t="shared" si="28"/>
        <v>#N/A</v>
      </c>
      <c r="J523" s="49" t="e">
        <f t="shared" si="26"/>
        <v>#N/A</v>
      </c>
    </row>
    <row r="524" spans="1:12" ht="19" customHeight="1">
      <c r="A524" s="62"/>
      <c r="G524" s="48" t="e">
        <f>VLOOKUP(D524,단가!B:D,3,0)</f>
        <v>#N/A</v>
      </c>
      <c r="H524" s="48" t="e">
        <f t="shared" si="27"/>
        <v>#N/A</v>
      </c>
      <c r="I524" s="48" t="e">
        <f t="shared" si="28"/>
        <v>#N/A</v>
      </c>
      <c r="J524" s="49" t="e">
        <f t="shared" si="26"/>
        <v>#N/A</v>
      </c>
    </row>
    <row r="525" spans="1:12" ht="19" customHeight="1">
      <c r="A525" s="62"/>
      <c r="G525" s="48" t="e">
        <f>VLOOKUP(D525,단가!B:D,3,0)</f>
        <v>#N/A</v>
      </c>
      <c r="H525" s="48" t="e">
        <f t="shared" si="27"/>
        <v>#N/A</v>
      </c>
      <c r="I525" s="48" t="e">
        <f t="shared" si="28"/>
        <v>#N/A</v>
      </c>
      <c r="J525" s="49" t="e">
        <f t="shared" si="26"/>
        <v>#N/A</v>
      </c>
    </row>
    <row r="526" spans="1:12" ht="19" customHeight="1">
      <c r="A526" s="62"/>
      <c r="G526" s="48" t="e">
        <f>VLOOKUP(D526,단가!B:D,3,0)</f>
        <v>#N/A</v>
      </c>
      <c r="H526" s="48" t="e">
        <f t="shared" si="27"/>
        <v>#N/A</v>
      </c>
      <c r="I526" s="48" t="e">
        <f t="shared" si="28"/>
        <v>#N/A</v>
      </c>
      <c r="J526" s="49" t="e">
        <f t="shared" si="26"/>
        <v>#N/A</v>
      </c>
    </row>
    <row r="527" spans="1:12" ht="19" customHeight="1">
      <c r="A527" s="62"/>
      <c r="G527" s="48" t="e">
        <f>VLOOKUP(D527,단가!B:D,3,0)</f>
        <v>#N/A</v>
      </c>
      <c r="H527" s="48" t="e">
        <f t="shared" si="27"/>
        <v>#N/A</v>
      </c>
      <c r="I527" s="48" t="e">
        <f t="shared" si="28"/>
        <v>#N/A</v>
      </c>
      <c r="J527" s="49" t="e">
        <f t="shared" si="26"/>
        <v>#N/A</v>
      </c>
    </row>
    <row r="528" spans="1:12" ht="19" customHeight="1">
      <c r="A528" s="62"/>
      <c r="G528" s="48" t="e">
        <f>VLOOKUP(D528,단가!B:D,3,0)</f>
        <v>#N/A</v>
      </c>
      <c r="H528" s="48" t="e">
        <f t="shared" si="27"/>
        <v>#N/A</v>
      </c>
      <c r="I528" s="48" t="e">
        <f t="shared" si="28"/>
        <v>#N/A</v>
      </c>
      <c r="J528" s="49" t="e">
        <f t="shared" si="26"/>
        <v>#N/A</v>
      </c>
    </row>
    <row r="529" spans="1:10" ht="19" customHeight="1">
      <c r="A529" s="62"/>
      <c r="G529" s="48" t="e">
        <f>VLOOKUP(D529,단가!B:D,3,0)</f>
        <v>#N/A</v>
      </c>
      <c r="H529" s="48" t="e">
        <f t="shared" si="27"/>
        <v>#N/A</v>
      </c>
      <c r="I529" s="48" t="e">
        <f t="shared" si="28"/>
        <v>#N/A</v>
      </c>
      <c r="J529" s="49" t="e">
        <f t="shared" si="26"/>
        <v>#N/A</v>
      </c>
    </row>
    <row r="530" spans="1:10" ht="19" customHeight="1">
      <c r="A530" s="62"/>
      <c r="G530" s="48" t="e">
        <f>VLOOKUP(D530,단가!B:D,3,0)</f>
        <v>#N/A</v>
      </c>
      <c r="H530" s="48" t="e">
        <f t="shared" si="27"/>
        <v>#N/A</v>
      </c>
      <c r="I530" s="48" t="e">
        <f t="shared" si="28"/>
        <v>#N/A</v>
      </c>
      <c r="J530" s="49" t="e">
        <f t="shared" si="26"/>
        <v>#N/A</v>
      </c>
    </row>
    <row r="531" spans="1:10" ht="19" customHeight="1">
      <c r="A531" s="62"/>
      <c r="G531" s="48" t="e">
        <f>VLOOKUP(D531,단가!B:D,3,0)</f>
        <v>#N/A</v>
      </c>
      <c r="H531" s="48" t="e">
        <f t="shared" si="27"/>
        <v>#N/A</v>
      </c>
      <c r="I531" s="48" t="e">
        <f t="shared" si="28"/>
        <v>#N/A</v>
      </c>
      <c r="J531" s="49" t="e">
        <f t="shared" si="26"/>
        <v>#N/A</v>
      </c>
    </row>
    <row r="532" spans="1:10" ht="19" customHeight="1">
      <c r="A532" s="62"/>
      <c r="G532" s="48" t="e">
        <f>VLOOKUP(D532,단가!B:D,3,0)</f>
        <v>#N/A</v>
      </c>
      <c r="H532" s="48" t="e">
        <f t="shared" si="27"/>
        <v>#N/A</v>
      </c>
      <c r="I532" s="48" t="e">
        <f t="shared" si="28"/>
        <v>#N/A</v>
      </c>
      <c r="J532" s="49" t="e">
        <f t="shared" si="26"/>
        <v>#N/A</v>
      </c>
    </row>
    <row r="533" spans="1:10" ht="19" customHeight="1">
      <c r="A533" s="62"/>
      <c r="G533" s="48" t="e">
        <f>VLOOKUP(D533,단가!B:D,3,0)</f>
        <v>#N/A</v>
      </c>
      <c r="H533" s="48" t="e">
        <f t="shared" si="27"/>
        <v>#N/A</v>
      </c>
      <c r="I533" s="48" t="e">
        <f t="shared" si="28"/>
        <v>#N/A</v>
      </c>
      <c r="J533" s="49" t="e">
        <f t="shared" si="26"/>
        <v>#N/A</v>
      </c>
    </row>
    <row r="534" spans="1:10" ht="19" customHeight="1">
      <c r="A534" s="62"/>
      <c r="G534" s="48" t="e">
        <f>VLOOKUP(D534,단가!B:D,3,0)</f>
        <v>#N/A</v>
      </c>
      <c r="H534" s="48" t="e">
        <f t="shared" si="27"/>
        <v>#N/A</v>
      </c>
      <c r="I534" s="48" t="e">
        <f t="shared" si="28"/>
        <v>#N/A</v>
      </c>
      <c r="J534" s="49" t="e">
        <f t="shared" si="26"/>
        <v>#N/A</v>
      </c>
    </row>
    <row r="535" spans="1:10" ht="19" customHeight="1">
      <c r="A535" s="62"/>
      <c r="G535" s="48" t="e">
        <f>VLOOKUP(D535,단가!B:D,3,0)</f>
        <v>#N/A</v>
      </c>
      <c r="H535" s="48" t="e">
        <f t="shared" si="27"/>
        <v>#N/A</v>
      </c>
      <c r="I535" s="48" t="e">
        <f t="shared" si="28"/>
        <v>#N/A</v>
      </c>
      <c r="J535" s="49" t="e">
        <f t="shared" si="26"/>
        <v>#N/A</v>
      </c>
    </row>
    <row r="536" spans="1:10" ht="19" customHeight="1">
      <c r="A536" s="62"/>
      <c r="G536" s="48" t="e">
        <f>VLOOKUP(D536,단가!B:D,3,0)</f>
        <v>#N/A</v>
      </c>
      <c r="H536" s="48" t="e">
        <f t="shared" si="27"/>
        <v>#N/A</v>
      </c>
      <c r="I536" s="48" t="e">
        <f t="shared" si="28"/>
        <v>#N/A</v>
      </c>
      <c r="J536" s="49" t="e">
        <f t="shared" si="26"/>
        <v>#N/A</v>
      </c>
    </row>
    <row r="537" spans="1:10" ht="19" customHeight="1">
      <c r="A537" s="62"/>
      <c r="G537" s="48" t="e">
        <f>VLOOKUP(D537,단가!B:D,3,0)</f>
        <v>#N/A</v>
      </c>
      <c r="H537" s="48" t="e">
        <f t="shared" si="27"/>
        <v>#N/A</v>
      </c>
      <c r="I537" s="48" t="e">
        <f t="shared" si="28"/>
        <v>#N/A</v>
      </c>
      <c r="J537" s="49" t="e">
        <f t="shared" si="26"/>
        <v>#N/A</v>
      </c>
    </row>
    <row r="538" spans="1:10" ht="19" customHeight="1">
      <c r="A538" s="62"/>
      <c r="G538" s="48" t="e">
        <f>VLOOKUP(D538,단가!B:D,3,0)</f>
        <v>#N/A</v>
      </c>
      <c r="H538" s="48" t="e">
        <f t="shared" si="27"/>
        <v>#N/A</v>
      </c>
      <c r="J538" s="49" t="e">
        <f t="shared" si="26"/>
        <v>#N/A</v>
      </c>
    </row>
    <row r="539" spans="1:10" ht="19" customHeight="1">
      <c r="A539" s="62"/>
      <c r="G539" s="48" t="e">
        <f>VLOOKUP(D539,단가!B:D,3,0)</f>
        <v>#N/A</v>
      </c>
      <c r="H539" s="48" t="e">
        <f t="shared" si="27"/>
        <v>#N/A</v>
      </c>
      <c r="I539" s="48" t="e">
        <f t="shared" si="28"/>
        <v>#N/A</v>
      </c>
      <c r="J539" s="49" t="e">
        <f t="shared" si="26"/>
        <v>#N/A</v>
      </c>
    </row>
    <row r="540" spans="1:10" ht="19" customHeight="1">
      <c r="A540" s="62"/>
      <c r="G540" s="48" t="e">
        <f>VLOOKUP(D540,단가!B:D,3,0)</f>
        <v>#N/A</v>
      </c>
      <c r="H540" s="48" t="e">
        <f t="shared" si="27"/>
        <v>#N/A</v>
      </c>
      <c r="I540" s="48" t="e">
        <f t="shared" si="28"/>
        <v>#N/A</v>
      </c>
      <c r="J540" s="49" t="e">
        <f t="shared" si="26"/>
        <v>#N/A</v>
      </c>
    </row>
    <row r="541" spans="1:10" ht="19" customHeight="1">
      <c r="A541" s="62"/>
      <c r="G541" s="48" t="e">
        <f>VLOOKUP(D541,단가!B:D,3,0)</f>
        <v>#N/A</v>
      </c>
      <c r="H541" s="48" t="e">
        <f t="shared" si="27"/>
        <v>#N/A</v>
      </c>
      <c r="I541" s="48" t="e">
        <f t="shared" si="28"/>
        <v>#N/A</v>
      </c>
      <c r="J541" s="49" t="e">
        <f t="shared" si="26"/>
        <v>#N/A</v>
      </c>
    </row>
    <row r="542" spans="1:10" ht="19" customHeight="1">
      <c r="A542" s="62"/>
      <c r="G542" s="48" t="e">
        <f>VLOOKUP(D542,단가!B:D,3,0)</f>
        <v>#N/A</v>
      </c>
      <c r="H542" s="48" t="e">
        <f t="shared" si="27"/>
        <v>#N/A</v>
      </c>
      <c r="I542" s="48" t="e">
        <f t="shared" si="28"/>
        <v>#N/A</v>
      </c>
      <c r="J542" s="49" t="e">
        <f t="shared" si="26"/>
        <v>#N/A</v>
      </c>
    </row>
    <row r="543" spans="1:10" ht="19" customHeight="1">
      <c r="A543" s="62"/>
      <c r="G543" s="48" t="e">
        <f>VLOOKUP(D543,단가!B:D,3,0)</f>
        <v>#N/A</v>
      </c>
      <c r="H543" s="48" t="e">
        <f t="shared" si="27"/>
        <v>#N/A</v>
      </c>
      <c r="I543" s="48" t="e">
        <f t="shared" si="28"/>
        <v>#N/A</v>
      </c>
      <c r="J543" s="49" t="e">
        <f t="shared" si="26"/>
        <v>#N/A</v>
      </c>
    </row>
    <row r="544" spans="1:10" ht="19" customHeight="1">
      <c r="A544" s="62"/>
      <c r="G544" s="48" t="e">
        <f>VLOOKUP(D544,단가!B:D,3,0)</f>
        <v>#N/A</v>
      </c>
      <c r="H544" s="48" t="e">
        <f t="shared" si="27"/>
        <v>#N/A</v>
      </c>
      <c r="I544" s="48" t="e">
        <f t="shared" si="28"/>
        <v>#N/A</v>
      </c>
      <c r="J544" s="49" t="e">
        <f t="shared" si="26"/>
        <v>#N/A</v>
      </c>
    </row>
    <row r="545" spans="1:10" ht="19" customHeight="1">
      <c r="A545" s="62"/>
      <c r="G545" s="48" t="e">
        <f>VLOOKUP(D545,단가!B:D,3,0)</f>
        <v>#N/A</v>
      </c>
      <c r="H545" s="48" t="e">
        <f t="shared" si="27"/>
        <v>#N/A</v>
      </c>
      <c r="I545" s="48" t="e">
        <f t="shared" si="28"/>
        <v>#N/A</v>
      </c>
      <c r="J545" s="49" t="e">
        <f t="shared" si="26"/>
        <v>#N/A</v>
      </c>
    </row>
    <row r="546" spans="1:10" ht="19" customHeight="1">
      <c r="A546" s="62"/>
      <c r="G546" s="48" t="e">
        <f>VLOOKUP(D546,단가!B:D,3,0)</f>
        <v>#N/A</v>
      </c>
      <c r="H546" s="48" t="e">
        <f t="shared" si="27"/>
        <v>#N/A</v>
      </c>
      <c r="I546" s="48" t="e">
        <f t="shared" si="28"/>
        <v>#N/A</v>
      </c>
      <c r="J546" s="49" t="e">
        <f t="shared" si="26"/>
        <v>#N/A</v>
      </c>
    </row>
    <row r="547" spans="1:10" ht="19" customHeight="1">
      <c r="A547" s="62"/>
      <c r="G547" s="48" t="e">
        <f>VLOOKUP(D547,단가!B:D,3,0)</f>
        <v>#N/A</v>
      </c>
      <c r="H547" s="48" t="e">
        <f t="shared" si="27"/>
        <v>#N/A</v>
      </c>
      <c r="I547" s="48" t="e">
        <f t="shared" si="28"/>
        <v>#N/A</v>
      </c>
      <c r="J547" s="49" t="e">
        <f t="shared" si="26"/>
        <v>#N/A</v>
      </c>
    </row>
    <row r="548" spans="1:10" ht="19" customHeight="1">
      <c r="A548" s="62"/>
      <c r="G548" s="48" t="e">
        <f>VLOOKUP(D548,단가!B:D,3,0)</f>
        <v>#N/A</v>
      </c>
      <c r="H548" s="48" t="e">
        <f t="shared" si="27"/>
        <v>#N/A</v>
      </c>
      <c r="I548" s="48" t="e">
        <f t="shared" si="28"/>
        <v>#N/A</v>
      </c>
      <c r="J548" s="49" t="e">
        <f t="shared" si="26"/>
        <v>#N/A</v>
      </c>
    </row>
    <row r="549" spans="1:10" ht="19" customHeight="1">
      <c r="A549" s="62"/>
      <c r="G549" s="48" t="e">
        <f>VLOOKUP(D549,단가!B:D,3,0)</f>
        <v>#N/A</v>
      </c>
      <c r="H549" s="48" t="e">
        <f t="shared" si="27"/>
        <v>#N/A</v>
      </c>
      <c r="I549" s="48" t="e">
        <f t="shared" si="28"/>
        <v>#N/A</v>
      </c>
      <c r="J549" s="49" t="e">
        <f t="shared" si="26"/>
        <v>#N/A</v>
      </c>
    </row>
    <row r="550" spans="1:10" ht="19" customHeight="1">
      <c r="A550" s="62"/>
      <c r="G550" s="48" t="e">
        <f>VLOOKUP(D550,단가!B:D,3,0)</f>
        <v>#N/A</v>
      </c>
      <c r="H550" s="48" t="e">
        <f t="shared" si="27"/>
        <v>#N/A</v>
      </c>
      <c r="I550" s="48" t="e">
        <f t="shared" si="28"/>
        <v>#N/A</v>
      </c>
      <c r="J550" s="49" t="e">
        <f t="shared" si="26"/>
        <v>#N/A</v>
      </c>
    </row>
    <row r="551" spans="1:10" ht="19" customHeight="1">
      <c r="A551" s="62"/>
      <c r="G551" s="48" t="e">
        <f>VLOOKUP(D551,단가!B:D,3,0)</f>
        <v>#N/A</v>
      </c>
      <c r="H551" s="48" t="e">
        <f t="shared" si="27"/>
        <v>#N/A</v>
      </c>
      <c r="I551" s="48" t="e">
        <f t="shared" si="28"/>
        <v>#N/A</v>
      </c>
      <c r="J551" s="49" t="e">
        <f t="shared" si="26"/>
        <v>#N/A</v>
      </c>
    </row>
    <row r="552" spans="1:10" ht="19" customHeight="1">
      <c r="A552" s="62"/>
      <c r="G552" s="48" t="e">
        <f>VLOOKUP(D552,단가!B:D,3,0)</f>
        <v>#N/A</v>
      </c>
      <c r="H552" s="48" t="e">
        <f t="shared" si="27"/>
        <v>#N/A</v>
      </c>
      <c r="I552" s="48" t="e">
        <f t="shared" si="28"/>
        <v>#N/A</v>
      </c>
      <c r="J552" s="49" t="e">
        <f t="shared" si="26"/>
        <v>#N/A</v>
      </c>
    </row>
    <row r="553" spans="1:10" ht="19" customHeight="1">
      <c r="A553" s="62"/>
      <c r="G553" s="48" t="e">
        <f>VLOOKUP(D553,단가!B:D,3,0)</f>
        <v>#N/A</v>
      </c>
      <c r="H553" s="48" t="e">
        <f t="shared" si="27"/>
        <v>#N/A</v>
      </c>
      <c r="I553" s="48" t="e">
        <f t="shared" si="28"/>
        <v>#N/A</v>
      </c>
      <c r="J553" s="49" t="e">
        <f t="shared" si="26"/>
        <v>#N/A</v>
      </c>
    </row>
    <row r="554" spans="1:10" ht="19" customHeight="1">
      <c r="A554" s="62"/>
      <c r="G554" s="48" t="e">
        <f>VLOOKUP(D554,단가!B:D,3,0)</f>
        <v>#N/A</v>
      </c>
      <c r="H554" s="48" t="e">
        <f t="shared" si="27"/>
        <v>#N/A</v>
      </c>
      <c r="I554" s="48" t="e">
        <f t="shared" si="28"/>
        <v>#N/A</v>
      </c>
      <c r="J554" s="49" t="e">
        <f t="shared" si="26"/>
        <v>#N/A</v>
      </c>
    </row>
    <row r="555" spans="1:10" ht="19" customHeight="1">
      <c r="A555" s="62"/>
      <c r="G555" s="48" t="e">
        <f>VLOOKUP(D555,단가!B:D,3,0)</f>
        <v>#N/A</v>
      </c>
      <c r="H555" s="48" t="e">
        <f t="shared" si="27"/>
        <v>#N/A</v>
      </c>
      <c r="I555" s="48" t="e">
        <f t="shared" si="28"/>
        <v>#N/A</v>
      </c>
      <c r="J555" s="49" t="e">
        <f t="shared" si="26"/>
        <v>#N/A</v>
      </c>
    </row>
    <row r="556" spans="1:10" ht="19" customHeight="1">
      <c r="A556" s="62"/>
      <c r="G556" s="48" t="e">
        <f>VLOOKUP(D556,단가!B:D,3,0)</f>
        <v>#N/A</v>
      </c>
      <c r="H556" s="48" t="e">
        <f t="shared" si="27"/>
        <v>#N/A</v>
      </c>
      <c r="I556" s="48" t="e">
        <f t="shared" si="28"/>
        <v>#N/A</v>
      </c>
      <c r="J556" s="49" t="e">
        <f t="shared" si="26"/>
        <v>#N/A</v>
      </c>
    </row>
    <row r="557" spans="1:10" ht="19" customHeight="1">
      <c r="A557" s="62"/>
      <c r="G557" s="48" t="e">
        <f>VLOOKUP(D557,단가!B:D,3,0)</f>
        <v>#N/A</v>
      </c>
      <c r="H557" s="48" t="e">
        <f t="shared" si="27"/>
        <v>#N/A</v>
      </c>
      <c r="I557" s="48" t="e">
        <f t="shared" si="28"/>
        <v>#N/A</v>
      </c>
      <c r="J557" s="49" t="e">
        <f t="shared" si="26"/>
        <v>#N/A</v>
      </c>
    </row>
    <row r="558" spans="1:10" ht="19" customHeight="1">
      <c r="A558" s="62"/>
      <c r="G558" s="48" t="e">
        <f>VLOOKUP(D558,단가!B:D,3,0)</f>
        <v>#N/A</v>
      </c>
      <c r="H558" s="48" t="e">
        <f t="shared" si="27"/>
        <v>#N/A</v>
      </c>
      <c r="I558" s="48" t="e">
        <f t="shared" si="28"/>
        <v>#N/A</v>
      </c>
      <c r="J558" s="49" t="e">
        <f t="shared" si="26"/>
        <v>#N/A</v>
      </c>
    </row>
    <row r="559" spans="1:10" ht="19" customHeight="1">
      <c r="A559" s="62"/>
      <c r="G559" s="48" t="e">
        <f>VLOOKUP(D559,단가!B:D,3,0)</f>
        <v>#N/A</v>
      </c>
      <c r="H559" s="48" t="e">
        <f t="shared" ref="H559:H631" si="29">F559*G559</f>
        <v>#N/A</v>
      </c>
      <c r="I559" s="48" t="e">
        <f t="shared" si="28"/>
        <v>#N/A</v>
      </c>
      <c r="J559" s="49" t="e">
        <f t="shared" si="26"/>
        <v>#N/A</v>
      </c>
    </row>
    <row r="560" spans="1:10" ht="19" customHeight="1">
      <c r="A560" s="62"/>
      <c r="G560" s="48" t="e">
        <f>VLOOKUP(D560,단가!B:D,3,0)</f>
        <v>#N/A</v>
      </c>
      <c r="H560" s="48" t="e">
        <f t="shared" si="29"/>
        <v>#N/A</v>
      </c>
      <c r="I560" s="48" t="e">
        <f t="shared" si="28"/>
        <v>#N/A</v>
      </c>
      <c r="J560" s="49" t="e">
        <f t="shared" si="26"/>
        <v>#N/A</v>
      </c>
    </row>
    <row r="561" spans="1:12" ht="19" customHeight="1">
      <c r="A561" s="62"/>
      <c r="G561" s="48" t="e">
        <f>VLOOKUP(D561,단가!B:D,3,0)</f>
        <v>#N/A</v>
      </c>
      <c r="H561" s="48" t="e">
        <f t="shared" si="29"/>
        <v>#N/A</v>
      </c>
      <c r="I561" s="48" t="e">
        <f t="shared" si="28"/>
        <v>#N/A</v>
      </c>
      <c r="J561" s="49" t="e">
        <f t="shared" si="26"/>
        <v>#N/A</v>
      </c>
    </row>
    <row r="562" spans="1:12" ht="19" customHeight="1">
      <c r="A562" s="62"/>
      <c r="G562" s="48" t="e">
        <f>VLOOKUP(D562,단가!B:D,3,0)</f>
        <v>#N/A</v>
      </c>
      <c r="H562" s="48" t="e">
        <f t="shared" si="29"/>
        <v>#N/A</v>
      </c>
      <c r="I562" s="48" t="e">
        <f t="shared" si="28"/>
        <v>#N/A</v>
      </c>
      <c r="J562" s="49" t="e">
        <f t="shared" si="26"/>
        <v>#N/A</v>
      </c>
    </row>
    <row r="563" spans="1:12" ht="19" customHeight="1">
      <c r="A563" s="62"/>
      <c r="G563" s="48" t="e">
        <f>VLOOKUP(D563,단가!B:D,3,0)</f>
        <v>#N/A</v>
      </c>
      <c r="H563" s="48" t="e">
        <f t="shared" si="29"/>
        <v>#N/A</v>
      </c>
      <c r="I563" s="48" t="e">
        <f t="shared" si="28"/>
        <v>#N/A</v>
      </c>
      <c r="J563" s="49" t="e">
        <f t="shared" si="26"/>
        <v>#N/A</v>
      </c>
    </row>
    <row r="564" spans="1:12" ht="19" customHeight="1">
      <c r="A564" s="62"/>
      <c r="G564" s="48" t="e">
        <f>VLOOKUP(D564,단가!B:D,3,0)</f>
        <v>#N/A</v>
      </c>
      <c r="H564" s="48" t="e">
        <f t="shared" si="29"/>
        <v>#N/A</v>
      </c>
      <c r="I564" s="48" t="e">
        <f t="shared" si="28"/>
        <v>#N/A</v>
      </c>
      <c r="J564" s="49" t="e">
        <f t="shared" si="26"/>
        <v>#N/A</v>
      </c>
    </row>
    <row r="565" spans="1:12" ht="19" customHeight="1">
      <c r="A565" s="62"/>
      <c r="G565" s="48" t="e">
        <f>VLOOKUP(D565,단가!B:D,3,0)</f>
        <v>#N/A</v>
      </c>
      <c r="H565" s="48" t="e">
        <f t="shared" si="29"/>
        <v>#N/A</v>
      </c>
      <c r="I565" s="48" t="e">
        <f t="shared" si="28"/>
        <v>#N/A</v>
      </c>
      <c r="J565" s="49" t="e">
        <f t="shared" si="26"/>
        <v>#N/A</v>
      </c>
      <c r="L565" s="56"/>
    </row>
    <row r="566" spans="1:12" ht="19" customHeight="1">
      <c r="A566" s="62"/>
      <c r="G566" s="48" t="e">
        <f>VLOOKUP(D566,단가!B:D,3,0)</f>
        <v>#N/A</v>
      </c>
      <c r="H566" s="48" t="e">
        <f t="shared" si="29"/>
        <v>#N/A</v>
      </c>
      <c r="I566" s="48" t="e">
        <f t="shared" si="28"/>
        <v>#N/A</v>
      </c>
      <c r="J566" s="49" t="e">
        <f t="shared" si="26"/>
        <v>#N/A</v>
      </c>
    </row>
    <row r="567" spans="1:12" ht="19" customHeight="1">
      <c r="A567" s="62"/>
      <c r="G567" s="48" t="e">
        <f>VLOOKUP(D567,단가!B:D,3,0)</f>
        <v>#N/A</v>
      </c>
      <c r="H567" s="48" t="e">
        <f t="shared" si="29"/>
        <v>#N/A</v>
      </c>
      <c r="I567" s="48" t="e">
        <f t="shared" si="28"/>
        <v>#N/A</v>
      </c>
      <c r="J567" s="49" t="e">
        <f t="shared" si="26"/>
        <v>#N/A</v>
      </c>
    </row>
    <row r="568" spans="1:12" ht="19" customHeight="1">
      <c r="A568" s="62"/>
      <c r="G568" s="48" t="e">
        <f>VLOOKUP(D568,단가!B:D,3,0)</f>
        <v>#N/A</v>
      </c>
      <c r="H568" s="48" t="e">
        <f t="shared" si="29"/>
        <v>#N/A</v>
      </c>
      <c r="I568" s="48" t="e">
        <f t="shared" si="28"/>
        <v>#N/A</v>
      </c>
      <c r="J568" s="49" t="e">
        <f t="shared" si="26"/>
        <v>#N/A</v>
      </c>
    </row>
    <row r="569" spans="1:12" ht="19" customHeight="1">
      <c r="A569" s="62"/>
      <c r="G569" s="48" t="e">
        <f>VLOOKUP(D569,단가!B:D,3,0)</f>
        <v>#N/A</v>
      </c>
      <c r="H569" s="48" t="e">
        <f t="shared" si="29"/>
        <v>#N/A</v>
      </c>
      <c r="I569" s="48" t="e">
        <f t="shared" si="28"/>
        <v>#N/A</v>
      </c>
      <c r="J569" s="49" t="e">
        <f t="shared" si="26"/>
        <v>#N/A</v>
      </c>
    </row>
    <row r="570" spans="1:12" ht="19" customHeight="1">
      <c r="A570" s="62"/>
      <c r="G570" s="48" t="e">
        <f>VLOOKUP(D570,단가!B:D,3,0)</f>
        <v>#N/A</v>
      </c>
      <c r="H570" s="48" t="e">
        <f t="shared" si="29"/>
        <v>#N/A</v>
      </c>
      <c r="I570" s="48" t="e">
        <f t="shared" si="28"/>
        <v>#N/A</v>
      </c>
      <c r="J570" s="49" t="e">
        <f t="shared" si="26"/>
        <v>#N/A</v>
      </c>
    </row>
    <row r="571" spans="1:12" ht="19" customHeight="1">
      <c r="A571" s="62"/>
      <c r="G571" s="48">
        <v>3500</v>
      </c>
      <c r="H571" s="48">
        <f t="shared" si="29"/>
        <v>0</v>
      </c>
      <c r="I571" s="48">
        <f t="shared" si="28"/>
        <v>0</v>
      </c>
      <c r="J571" s="49">
        <f t="shared" ref="J571:J641" si="30">H571+I571</f>
        <v>0</v>
      </c>
    </row>
    <row r="572" spans="1:12" ht="19" customHeight="1">
      <c r="A572" s="62"/>
      <c r="G572" s="48" t="e">
        <f>VLOOKUP(D572,단가!B:D,3,0)</f>
        <v>#N/A</v>
      </c>
      <c r="H572" s="48" t="e">
        <f t="shared" si="29"/>
        <v>#N/A</v>
      </c>
      <c r="I572" s="48" t="e">
        <f t="shared" ref="I572:I641" si="31">H572*0.1</f>
        <v>#N/A</v>
      </c>
      <c r="J572" s="49" t="e">
        <f t="shared" si="30"/>
        <v>#N/A</v>
      </c>
    </row>
    <row r="573" spans="1:12" ht="19" customHeight="1">
      <c r="A573" s="62"/>
      <c r="G573" s="48" t="e">
        <f>VLOOKUP(D573,단가!B:D,3,0)</f>
        <v>#N/A</v>
      </c>
      <c r="H573" s="48" t="e">
        <f t="shared" si="29"/>
        <v>#N/A</v>
      </c>
      <c r="I573" s="48" t="e">
        <f t="shared" si="31"/>
        <v>#N/A</v>
      </c>
      <c r="J573" s="49" t="e">
        <f t="shared" si="30"/>
        <v>#N/A</v>
      </c>
    </row>
    <row r="574" spans="1:12" ht="19" customHeight="1">
      <c r="A574" s="62"/>
      <c r="G574" s="48" t="e">
        <f>VLOOKUP(D574,단가!B:D,3,0)</f>
        <v>#N/A</v>
      </c>
      <c r="H574" s="48" t="e">
        <f t="shared" si="29"/>
        <v>#N/A</v>
      </c>
      <c r="J574" s="49" t="e">
        <f t="shared" si="30"/>
        <v>#N/A</v>
      </c>
      <c r="L574" s="56"/>
    </row>
    <row r="575" spans="1:12" ht="19" customHeight="1">
      <c r="A575" s="62"/>
      <c r="G575" s="48" t="e">
        <f>VLOOKUP(D575,단가!B:D,3,0)</f>
        <v>#N/A</v>
      </c>
      <c r="H575" s="48" t="e">
        <f t="shared" si="29"/>
        <v>#N/A</v>
      </c>
      <c r="I575" s="48" t="e">
        <f t="shared" si="31"/>
        <v>#N/A</v>
      </c>
      <c r="J575" s="49" t="e">
        <f t="shared" si="30"/>
        <v>#N/A</v>
      </c>
      <c r="L575" s="56"/>
    </row>
    <row r="576" spans="1:12" ht="19" customHeight="1">
      <c r="A576" s="62"/>
      <c r="G576" s="48" t="e">
        <f>VLOOKUP(D576,단가!B:D,3,0)</f>
        <v>#N/A</v>
      </c>
      <c r="H576" s="48" t="e">
        <f t="shared" si="29"/>
        <v>#N/A</v>
      </c>
      <c r="I576" s="48" t="e">
        <f t="shared" si="31"/>
        <v>#N/A</v>
      </c>
      <c r="J576" s="49" t="e">
        <f t="shared" si="30"/>
        <v>#N/A</v>
      </c>
    </row>
    <row r="577" spans="1:10" ht="19" customHeight="1">
      <c r="A577" s="62"/>
      <c r="G577" s="48" t="e">
        <f>VLOOKUP(D577,단가!B:D,3,0)</f>
        <v>#N/A</v>
      </c>
      <c r="H577" s="48" t="e">
        <f t="shared" si="29"/>
        <v>#N/A</v>
      </c>
      <c r="I577" s="48" t="e">
        <f t="shared" si="31"/>
        <v>#N/A</v>
      </c>
      <c r="J577" s="49" t="e">
        <f t="shared" si="30"/>
        <v>#N/A</v>
      </c>
    </row>
    <row r="578" spans="1:10" ht="19" customHeight="1">
      <c r="A578" s="62"/>
      <c r="G578" s="48" t="e">
        <f>VLOOKUP(D578,단가!B:D,3,0)</f>
        <v>#N/A</v>
      </c>
      <c r="H578" s="48" t="e">
        <f t="shared" si="29"/>
        <v>#N/A</v>
      </c>
      <c r="I578" s="48" t="e">
        <f t="shared" si="31"/>
        <v>#N/A</v>
      </c>
      <c r="J578" s="49" t="e">
        <f t="shared" si="30"/>
        <v>#N/A</v>
      </c>
    </row>
    <row r="579" spans="1:10" ht="19" customHeight="1">
      <c r="A579" s="62"/>
      <c r="G579" s="48" t="e">
        <f>VLOOKUP(D579,단가!B:D,3,0)</f>
        <v>#N/A</v>
      </c>
      <c r="H579" s="48" t="e">
        <f t="shared" si="29"/>
        <v>#N/A</v>
      </c>
      <c r="I579" s="48" t="e">
        <f t="shared" si="31"/>
        <v>#N/A</v>
      </c>
      <c r="J579" s="49" t="e">
        <f t="shared" si="30"/>
        <v>#N/A</v>
      </c>
    </row>
    <row r="580" spans="1:10" ht="19" customHeight="1">
      <c r="A580" s="62"/>
      <c r="G580" s="48" t="e">
        <f>VLOOKUP(D580,단가!B:D,3,0)</f>
        <v>#N/A</v>
      </c>
      <c r="H580" s="48" t="e">
        <f t="shared" si="29"/>
        <v>#N/A</v>
      </c>
      <c r="I580" s="48" t="e">
        <f t="shared" si="31"/>
        <v>#N/A</v>
      </c>
      <c r="J580" s="49" t="e">
        <f t="shared" si="30"/>
        <v>#N/A</v>
      </c>
    </row>
    <row r="581" spans="1:10" ht="19" customHeight="1">
      <c r="A581" s="62"/>
      <c r="G581" s="48" t="e">
        <f>VLOOKUP(D581,단가!B:D,3,0)</f>
        <v>#N/A</v>
      </c>
      <c r="H581" s="48" t="e">
        <f t="shared" si="29"/>
        <v>#N/A</v>
      </c>
      <c r="I581" s="48" t="e">
        <f t="shared" si="31"/>
        <v>#N/A</v>
      </c>
      <c r="J581" s="49" t="e">
        <f t="shared" si="30"/>
        <v>#N/A</v>
      </c>
    </row>
    <row r="582" spans="1:10" ht="19" customHeight="1">
      <c r="A582" s="62"/>
      <c r="G582" s="48" t="e">
        <f>VLOOKUP(D582,단가!B:D,3,0)</f>
        <v>#N/A</v>
      </c>
      <c r="H582" s="48" t="e">
        <f t="shared" si="29"/>
        <v>#N/A</v>
      </c>
      <c r="I582" s="48" t="e">
        <f t="shared" si="31"/>
        <v>#N/A</v>
      </c>
      <c r="J582" s="49" t="e">
        <f t="shared" si="30"/>
        <v>#N/A</v>
      </c>
    </row>
    <row r="583" spans="1:10" ht="19" customHeight="1">
      <c r="A583" s="62"/>
      <c r="F583" s="79"/>
      <c r="G583" s="79" t="e">
        <f>VLOOKUP(D583,단가!B:D,3,0)</f>
        <v>#N/A</v>
      </c>
      <c r="H583" s="79" t="e">
        <f t="shared" si="29"/>
        <v>#N/A</v>
      </c>
      <c r="I583" s="79" t="e">
        <f t="shared" si="31"/>
        <v>#N/A</v>
      </c>
      <c r="J583" s="49" t="e">
        <f t="shared" si="30"/>
        <v>#N/A</v>
      </c>
    </row>
    <row r="584" spans="1:10" ht="19" customHeight="1">
      <c r="A584" s="62"/>
      <c r="F584" s="79"/>
      <c r="G584" s="79" t="e">
        <f>VLOOKUP(D584,단가!B:D,3,0)</f>
        <v>#N/A</v>
      </c>
      <c r="H584" s="79" t="e">
        <f t="shared" si="29"/>
        <v>#N/A</v>
      </c>
      <c r="I584" s="79" t="e">
        <f t="shared" si="31"/>
        <v>#N/A</v>
      </c>
      <c r="J584" s="49" t="e">
        <f t="shared" si="30"/>
        <v>#N/A</v>
      </c>
    </row>
    <row r="585" spans="1:10" ht="19" customHeight="1">
      <c r="A585" s="62"/>
      <c r="F585" s="79"/>
      <c r="G585" s="79" t="e">
        <f>VLOOKUP(D585,단가!B:D,3,0)</f>
        <v>#N/A</v>
      </c>
      <c r="H585" s="79" t="e">
        <f t="shared" si="29"/>
        <v>#N/A</v>
      </c>
      <c r="I585" s="79" t="e">
        <f t="shared" si="31"/>
        <v>#N/A</v>
      </c>
      <c r="J585" s="49" t="e">
        <f t="shared" si="30"/>
        <v>#N/A</v>
      </c>
    </row>
    <row r="586" spans="1:10" ht="19" customHeight="1">
      <c r="A586" s="62"/>
      <c r="F586" s="79"/>
      <c r="G586" s="79" t="e">
        <f>VLOOKUP(D586,단가!B:D,3,0)</f>
        <v>#N/A</v>
      </c>
      <c r="H586" s="79" t="e">
        <f t="shared" si="29"/>
        <v>#N/A</v>
      </c>
      <c r="I586" s="79" t="e">
        <f t="shared" si="31"/>
        <v>#N/A</v>
      </c>
      <c r="J586" s="49" t="e">
        <f t="shared" si="30"/>
        <v>#N/A</v>
      </c>
    </row>
    <row r="587" spans="1:10" ht="19" customHeight="1">
      <c r="A587" s="62"/>
      <c r="F587" s="79"/>
      <c r="G587" s="79" t="e">
        <f>VLOOKUP(D587,단가!B:D,3,0)</f>
        <v>#N/A</v>
      </c>
      <c r="H587" s="79" t="e">
        <f t="shared" si="29"/>
        <v>#N/A</v>
      </c>
      <c r="I587" s="79" t="e">
        <f t="shared" si="31"/>
        <v>#N/A</v>
      </c>
      <c r="J587" s="49" t="e">
        <f t="shared" si="30"/>
        <v>#N/A</v>
      </c>
    </row>
    <row r="588" spans="1:10" ht="19" customHeight="1">
      <c r="A588" s="62"/>
      <c r="F588" s="79"/>
      <c r="G588" s="79" t="e">
        <f>VLOOKUP(D588,단가!B:D,3,0)</f>
        <v>#N/A</v>
      </c>
      <c r="H588" s="79" t="e">
        <f t="shared" si="29"/>
        <v>#N/A</v>
      </c>
      <c r="I588" s="79" t="e">
        <f t="shared" si="31"/>
        <v>#N/A</v>
      </c>
      <c r="J588" s="49" t="e">
        <f t="shared" si="30"/>
        <v>#N/A</v>
      </c>
    </row>
    <row r="589" spans="1:10" ht="19" customHeight="1">
      <c r="A589" s="62"/>
      <c r="F589" s="79"/>
      <c r="G589" s="79" t="e">
        <f>VLOOKUP(D589,단가!B:D,3,0)</f>
        <v>#N/A</v>
      </c>
      <c r="H589" s="79" t="e">
        <f t="shared" si="29"/>
        <v>#N/A</v>
      </c>
      <c r="I589" s="79" t="e">
        <f t="shared" si="31"/>
        <v>#N/A</v>
      </c>
      <c r="J589" s="49" t="e">
        <f t="shared" si="30"/>
        <v>#N/A</v>
      </c>
    </row>
    <row r="590" spans="1:10" ht="19" customHeight="1">
      <c r="A590" s="62"/>
      <c r="F590" s="79"/>
      <c r="G590" s="79" t="e">
        <f>VLOOKUP(D590,단가!B:D,3,0)</f>
        <v>#N/A</v>
      </c>
      <c r="H590" s="79" t="e">
        <f t="shared" si="29"/>
        <v>#N/A</v>
      </c>
      <c r="I590" s="79" t="e">
        <f t="shared" si="31"/>
        <v>#N/A</v>
      </c>
      <c r="J590" s="49" t="e">
        <f t="shared" si="30"/>
        <v>#N/A</v>
      </c>
    </row>
    <row r="591" spans="1:10" ht="19" customHeight="1">
      <c r="A591" s="62"/>
      <c r="F591" s="79"/>
      <c r="G591" s="79" t="e">
        <f>VLOOKUP(D591,단가!B:D,3,0)</f>
        <v>#N/A</v>
      </c>
      <c r="H591" s="79" t="e">
        <f t="shared" si="29"/>
        <v>#N/A</v>
      </c>
      <c r="I591" s="79" t="e">
        <f t="shared" si="31"/>
        <v>#N/A</v>
      </c>
      <c r="J591" s="49" t="e">
        <f t="shared" si="30"/>
        <v>#N/A</v>
      </c>
    </row>
    <row r="592" spans="1:10" ht="19" customHeight="1">
      <c r="A592" s="62"/>
      <c r="F592" s="79"/>
      <c r="G592" s="79" t="e">
        <f>VLOOKUP(D592,단가!B:D,3,0)</f>
        <v>#N/A</v>
      </c>
      <c r="H592" s="79" t="e">
        <f t="shared" si="29"/>
        <v>#N/A</v>
      </c>
      <c r="I592" s="79" t="e">
        <f t="shared" si="31"/>
        <v>#N/A</v>
      </c>
      <c r="J592" s="49" t="e">
        <f t="shared" si="30"/>
        <v>#N/A</v>
      </c>
    </row>
    <row r="593" spans="1:10" ht="19" customHeight="1">
      <c r="A593" s="62"/>
      <c r="F593" s="79"/>
      <c r="G593" s="79" t="e">
        <f>VLOOKUP(D593,단가!B:D,3,0)</f>
        <v>#N/A</v>
      </c>
      <c r="H593" s="79" t="e">
        <f t="shared" si="29"/>
        <v>#N/A</v>
      </c>
      <c r="I593" s="79" t="e">
        <f t="shared" si="31"/>
        <v>#N/A</v>
      </c>
      <c r="J593" s="49" t="e">
        <f t="shared" si="30"/>
        <v>#N/A</v>
      </c>
    </row>
    <row r="594" spans="1:10" ht="19" customHeight="1">
      <c r="A594" s="62"/>
      <c r="F594" s="79"/>
      <c r="G594" s="79" t="e">
        <f>VLOOKUP(D594,단가!B:D,3,0)</f>
        <v>#N/A</v>
      </c>
      <c r="H594" s="79" t="e">
        <f t="shared" si="29"/>
        <v>#N/A</v>
      </c>
      <c r="I594" s="79" t="e">
        <f t="shared" si="31"/>
        <v>#N/A</v>
      </c>
      <c r="J594" s="49" t="e">
        <f t="shared" si="30"/>
        <v>#N/A</v>
      </c>
    </row>
    <row r="595" spans="1:10" ht="19" customHeight="1">
      <c r="A595" s="62"/>
      <c r="F595" s="79"/>
      <c r="G595" s="79" t="e">
        <f>VLOOKUP(D595,단가!B:D,3,0)</f>
        <v>#N/A</v>
      </c>
      <c r="H595" s="79" t="e">
        <f t="shared" si="29"/>
        <v>#N/A</v>
      </c>
      <c r="I595" s="79" t="e">
        <f t="shared" si="31"/>
        <v>#N/A</v>
      </c>
      <c r="J595" s="49" t="e">
        <f t="shared" si="30"/>
        <v>#N/A</v>
      </c>
    </row>
    <row r="596" spans="1:10" ht="19" customHeight="1">
      <c r="A596" s="62"/>
      <c r="F596" s="79"/>
      <c r="G596" s="79" t="e">
        <f>VLOOKUP(D596,단가!B:D,3,0)</f>
        <v>#N/A</v>
      </c>
      <c r="H596" s="79" t="e">
        <f t="shared" si="29"/>
        <v>#N/A</v>
      </c>
      <c r="I596" s="79" t="e">
        <f t="shared" si="31"/>
        <v>#N/A</v>
      </c>
      <c r="J596" s="49" t="e">
        <f t="shared" si="30"/>
        <v>#N/A</v>
      </c>
    </row>
    <row r="597" spans="1:10" ht="19" customHeight="1">
      <c r="A597" s="62"/>
      <c r="F597" s="79"/>
      <c r="G597" s="79" t="e">
        <f>VLOOKUP(D597,단가!B:D,3,0)</f>
        <v>#N/A</v>
      </c>
      <c r="H597" s="79" t="e">
        <f t="shared" si="29"/>
        <v>#N/A</v>
      </c>
      <c r="I597" s="79" t="e">
        <f t="shared" si="31"/>
        <v>#N/A</v>
      </c>
      <c r="J597" s="49" t="e">
        <f t="shared" si="30"/>
        <v>#N/A</v>
      </c>
    </row>
    <row r="598" spans="1:10" ht="19" customHeight="1">
      <c r="A598" s="62"/>
      <c r="F598" s="79"/>
      <c r="G598" s="79" t="e">
        <f>VLOOKUP(D598,단가!B:D,3,0)</f>
        <v>#N/A</v>
      </c>
      <c r="H598" s="79" t="e">
        <f t="shared" si="29"/>
        <v>#N/A</v>
      </c>
      <c r="I598" s="79" t="e">
        <f t="shared" si="31"/>
        <v>#N/A</v>
      </c>
      <c r="J598" s="49" t="e">
        <f t="shared" si="30"/>
        <v>#N/A</v>
      </c>
    </row>
    <row r="599" spans="1:10" ht="19" customHeight="1">
      <c r="A599" s="62"/>
      <c r="G599" s="48" t="e">
        <f>VLOOKUP(D599,단가!B:D,3,0)</f>
        <v>#N/A</v>
      </c>
      <c r="H599" s="48" t="e">
        <f t="shared" si="29"/>
        <v>#N/A</v>
      </c>
      <c r="I599" s="48" t="e">
        <f t="shared" si="31"/>
        <v>#N/A</v>
      </c>
      <c r="J599" s="49" t="e">
        <f t="shared" si="30"/>
        <v>#N/A</v>
      </c>
    </row>
    <row r="600" spans="1:10" ht="19" customHeight="1">
      <c r="A600" s="62"/>
      <c r="C600" s="70"/>
      <c r="G600" s="48">
        <v>30000</v>
      </c>
      <c r="H600" s="48">
        <f t="shared" si="29"/>
        <v>0</v>
      </c>
      <c r="I600" s="48">
        <f t="shared" si="31"/>
        <v>0</v>
      </c>
      <c r="J600" s="49">
        <f t="shared" si="30"/>
        <v>0</v>
      </c>
    </row>
    <row r="601" spans="1:10" ht="19" customHeight="1">
      <c r="A601" s="62"/>
      <c r="F601" s="79"/>
      <c r="G601" s="79" t="e">
        <f>VLOOKUP(D601,단가!B:D,3,0)</f>
        <v>#N/A</v>
      </c>
      <c r="H601" s="79" t="e">
        <f t="shared" si="29"/>
        <v>#N/A</v>
      </c>
      <c r="I601" s="79" t="e">
        <f t="shared" si="31"/>
        <v>#N/A</v>
      </c>
      <c r="J601" s="49" t="e">
        <f t="shared" si="30"/>
        <v>#N/A</v>
      </c>
    </row>
    <row r="602" spans="1:10" ht="19" customHeight="1">
      <c r="A602" s="62"/>
      <c r="G602" s="48" t="e">
        <f>VLOOKUP(D602,단가!B:D,3,0)</f>
        <v>#N/A</v>
      </c>
      <c r="H602" s="48" t="e">
        <f t="shared" si="29"/>
        <v>#N/A</v>
      </c>
      <c r="I602" s="48" t="e">
        <f t="shared" si="31"/>
        <v>#N/A</v>
      </c>
      <c r="J602" s="49" t="e">
        <f t="shared" si="30"/>
        <v>#N/A</v>
      </c>
    </row>
    <row r="603" spans="1:10" ht="19" customHeight="1">
      <c r="A603" s="62"/>
      <c r="G603" s="48" t="e">
        <f>VLOOKUP(D603,단가!B:D,3,0)</f>
        <v>#N/A</v>
      </c>
      <c r="H603" s="48" t="e">
        <f t="shared" si="29"/>
        <v>#N/A</v>
      </c>
      <c r="I603" s="48" t="e">
        <f t="shared" si="31"/>
        <v>#N/A</v>
      </c>
      <c r="J603" s="49" t="e">
        <f t="shared" si="30"/>
        <v>#N/A</v>
      </c>
    </row>
    <row r="604" spans="1:10" ht="19" customHeight="1">
      <c r="A604" s="62"/>
      <c r="G604" s="48" t="e">
        <f>VLOOKUP(D604,단가!B:D,3,0)</f>
        <v>#N/A</v>
      </c>
      <c r="H604" s="48" t="e">
        <f t="shared" si="29"/>
        <v>#N/A</v>
      </c>
      <c r="I604" s="48" t="e">
        <f t="shared" si="31"/>
        <v>#N/A</v>
      </c>
      <c r="J604" s="49" t="e">
        <f t="shared" si="30"/>
        <v>#N/A</v>
      </c>
    </row>
    <row r="605" spans="1:10" ht="19" customHeight="1">
      <c r="A605" s="62"/>
      <c r="G605" s="48" t="e">
        <f>VLOOKUP(D605,단가!B:D,3,0)</f>
        <v>#N/A</v>
      </c>
      <c r="H605" s="48" t="e">
        <f t="shared" si="29"/>
        <v>#N/A</v>
      </c>
      <c r="I605" s="48" t="e">
        <f t="shared" si="31"/>
        <v>#N/A</v>
      </c>
      <c r="J605" s="49" t="e">
        <f t="shared" si="30"/>
        <v>#N/A</v>
      </c>
    </row>
    <row r="606" spans="1:10" ht="19" customHeight="1">
      <c r="A606" s="62"/>
      <c r="G606" s="48" t="e">
        <f>VLOOKUP(D606,단가!B:D,3,0)</f>
        <v>#N/A</v>
      </c>
      <c r="H606" s="48" t="e">
        <f t="shared" si="29"/>
        <v>#N/A</v>
      </c>
      <c r="I606" s="48" t="e">
        <f t="shared" si="31"/>
        <v>#N/A</v>
      </c>
      <c r="J606" s="49" t="e">
        <f t="shared" si="30"/>
        <v>#N/A</v>
      </c>
    </row>
    <row r="607" spans="1:10" ht="19" customHeight="1">
      <c r="A607" s="62"/>
      <c r="G607" s="48" t="e">
        <f>VLOOKUP(D607,단가!B:D,3,0)</f>
        <v>#N/A</v>
      </c>
      <c r="H607" s="48" t="e">
        <f t="shared" si="29"/>
        <v>#N/A</v>
      </c>
      <c r="J607" s="49" t="e">
        <f t="shared" si="30"/>
        <v>#N/A</v>
      </c>
    </row>
    <row r="608" spans="1:10" ht="19" customHeight="1">
      <c r="A608" s="62"/>
      <c r="G608" s="48" t="e">
        <f>VLOOKUP(D608,단가!B:D,3,0)</f>
        <v>#N/A</v>
      </c>
      <c r="H608" s="48" t="e">
        <f t="shared" si="29"/>
        <v>#N/A</v>
      </c>
      <c r="I608" s="48" t="e">
        <f t="shared" si="31"/>
        <v>#N/A</v>
      </c>
      <c r="J608" s="49" t="e">
        <f t="shared" si="30"/>
        <v>#N/A</v>
      </c>
    </row>
    <row r="609" spans="1:10" ht="19" customHeight="1">
      <c r="A609" s="62"/>
      <c r="G609" s="48" t="e">
        <f>VLOOKUP(D609,단가!B:D,3,0)</f>
        <v>#N/A</v>
      </c>
      <c r="H609" s="48" t="e">
        <f t="shared" si="29"/>
        <v>#N/A</v>
      </c>
      <c r="I609" s="48" t="e">
        <f t="shared" si="31"/>
        <v>#N/A</v>
      </c>
      <c r="J609" s="49" t="e">
        <f t="shared" si="30"/>
        <v>#N/A</v>
      </c>
    </row>
    <row r="610" spans="1:10" ht="19" customHeight="1">
      <c r="A610" s="62"/>
      <c r="G610" s="48" t="e">
        <f>VLOOKUP(D610,단가!B:D,3,0)</f>
        <v>#N/A</v>
      </c>
      <c r="H610" s="48" t="e">
        <f t="shared" si="29"/>
        <v>#N/A</v>
      </c>
      <c r="I610" s="48" t="e">
        <f t="shared" si="31"/>
        <v>#N/A</v>
      </c>
      <c r="J610" s="49" t="e">
        <f t="shared" si="30"/>
        <v>#N/A</v>
      </c>
    </row>
    <row r="611" spans="1:10" ht="19" customHeight="1">
      <c r="A611" s="62"/>
      <c r="G611" s="48" t="e">
        <f>VLOOKUP(D611,단가!B:D,3,0)</f>
        <v>#N/A</v>
      </c>
      <c r="H611" s="48" t="e">
        <f t="shared" si="29"/>
        <v>#N/A</v>
      </c>
      <c r="I611" s="48" t="e">
        <f t="shared" si="31"/>
        <v>#N/A</v>
      </c>
      <c r="J611" s="49" t="e">
        <f t="shared" si="30"/>
        <v>#N/A</v>
      </c>
    </row>
    <row r="612" spans="1:10" ht="19" customHeight="1">
      <c r="A612" s="62"/>
      <c r="G612" s="48" t="e">
        <f>VLOOKUP(D612,단가!B:D,3,0)</f>
        <v>#N/A</v>
      </c>
      <c r="H612" s="48" t="e">
        <f t="shared" si="29"/>
        <v>#N/A</v>
      </c>
      <c r="I612" s="48" t="e">
        <f t="shared" si="31"/>
        <v>#N/A</v>
      </c>
      <c r="J612" s="49" t="e">
        <f t="shared" si="30"/>
        <v>#N/A</v>
      </c>
    </row>
    <row r="613" spans="1:10" ht="19" customHeight="1">
      <c r="A613" s="62"/>
      <c r="G613" s="48" t="e">
        <f>VLOOKUP(D613,단가!B:D,3,0)</f>
        <v>#N/A</v>
      </c>
      <c r="H613" s="48" t="e">
        <f t="shared" si="29"/>
        <v>#N/A</v>
      </c>
      <c r="I613" s="48" t="e">
        <f t="shared" si="31"/>
        <v>#N/A</v>
      </c>
      <c r="J613" s="49" t="e">
        <f t="shared" si="30"/>
        <v>#N/A</v>
      </c>
    </row>
    <row r="614" spans="1:10" ht="19" customHeight="1">
      <c r="A614" s="62"/>
      <c r="G614" s="48" t="e">
        <f>VLOOKUP(D614,단가!B:D,3,0)</f>
        <v>#N/A</v>
      </c>
      <c r="H614" s="48" t="e">
        <f t="shared" si="29"/>
        <v>#N/A</v>
      </c>
      <c r="I614" s="48" t="e">
        <f t="shared" si="31"/>
        <v>#N/A</v>
      </c>
      <c r="J614" s="49" t="e">
        <f t="shared" si="30"/>
        <v>#N/A</v>
      </c>
    </row>
    <row r="615" spans="1:10" ht="19" customHeight="1">
      <c r="A615" s="62"/>
      <c r="G615" s="48" t="e">
        <f>VLOOKUP(D615,단가!B:D,3,0)</f>
        <v>#N/A</v>
      </c>
      <c r="H615" s="48" t="e">
        <f t="shared" si="29"/>
        <v>#N/A</v>
      </c>
      <c r="I615" s="48" t="e">
        <f t="shared" si="31"/>
        <v>#N/A</v>
      </c>
      <c r="J615" s="49" t="e">
        <f t="shared" si="30"/>
        <v>#N/A</v>
      </c>
    </row>
    <row r="616" spans="1:10" ht="19" customHeight="1">
      <c r="A616" s="62"/>
      <c r="G616" s="48" t="e">
        <f>VLOOKUP(D616,단가!B:D,3,0)</f>
        <v>#N/A</v>
      </c>
      <c r="H616" s="48" t="e">
        <f t="shared" si="29"/>
        <v>#N/A</v>
      </c>
      <c r="I616" s="48" t="e">
        <f t="shared" si="31"/>
        <v>#N/A</v>
      </c>
      <c r="J616" s="49" t="e">
        <f t="shared" si="30"/>
        <v>#N/A</v>
      </c>
    </row>
    <row r="617" spans="1:10" ht="19" customHeight="1">
      <c r="A617" s="62"/>
      <c r="G617" s="48" t="e">
        <f>VLOOKUP(D617,단가!B:D,3,0)</f>
        <v>#N/A</v>
      </c>
      <c r="H617" s="48" t="e">
        <f t="shared" si="29"/>
        <v>#N/A</v>
      </c>
      <c r="I617" s="48" t="e">
        <f t="shared" si="31"/>
        <v>#N/A</v>
      </c>
      <c r="J617" s="49" t="e">
        <f t="shared" si="30"/>
        <v>#N/A</v>
      </c>
    </row>
    <row r="618" spans="1:10" ht="19" customHeight="1">
      <c r="A618" s="62"/>
      <c r="G618" s="48" t="e">
        <f>VLOOKUP(D618,단가!B:D,3,0)</f>
        <v>#N/A</v>
      </c>
      <c r="H618" s="48" t="e">
        <f t="shared" si="29"/>
        <v>#N/A</v>
      </c>
      <c r="I618" s="48" t="e">
        <f t="shared" si="31"/>
        <v>#N/A</v>
      </c>
      <c r="J618" s="49" t="e">
        <f t="shared" si="30"/>
        <v>#N/A</v>
      </c>
    </row>
    <row r="619" spans="1:10" ht="19" customHeight="1">
      <c r="A619" s="62"/>
      <c r="G619" s="48" t="e">
        <f>VLOOKUP(D619,단가!B:D,3,0)</f>
        <v>#N/A</v>
      </c>
      <c r="H619" s="48" t="e">
        <f t="shared" si="29"/>
        <v>#N/A</v>
      </c>
      <c r="I619" s="48" t="e">
        <f t="shared" si="31"/>
        <v>#N/A</v>
      </c>
      <c r="J619" s="49" t="e">
        <f t="shared" si="30"/>
        <v>#N/A</v>
      </c>
    </row>
    <row r="620" spans="1:10" ht="19" customHeight="1">
      <c r="A620" s="62"/>
      <c r="G620" s="48" t="e">
        <f>VLOOKUP(D620,단가!B:D,3,0)</f>
        <v>#N/A</v>
      </c>
      <c r="H620" s="48" t="e">
        <f t="shared" si="29"/>
        <v>#N/A</v>
      </c>
      <c r="I620" s="48" t="e">
        <f t="shared" si="31"/>
        <v>#N/A</v>
      </c>
      <c r="J620" s="49" t="e">
        <f t="shared" si="30"/>
        <v>#N/A</v>
      </c>
    </row>
    <row r="621" spans="1:10" ht="19" customHeight="1">
      <c r="A621" s="62"/>
      <c r="G621" s="48" t="e">
        <f>VLOOKUP(D621,단가!B:D,3,0)</f>
        <v>#N/A</v>
      </c>
      <c r="H621" s="48" t="e">
        <f t="shared" si="29"/>
        <v>#N/A</v>
      </c>
      <c r="I621" s="48" t="e">
        <f t="shared" si="31"/>
        <v>#N/A</v>
      </c>
      <c r="J621" s="49" t="e">
        <f t="shared" si="30"/>
        <v>#N/A</v>
      </c>
    </row>
    <row r="622" spans="1:10" ht="19" customHeight="1">
      <c r="A622" s="62"/>
      <c r="G622" s="48" t="e">
        <f>VLOOKUP(D622,단가!B:D,3,0)</f>
        <v>#N/A</v>
      </c>
      <c r="H622" s="48" t="e">
        <f t="shared" si="29"/>
        <v>#N/A</v>
      </c>
      <c r="I622" s="48" t="e">
        <f t="shared" si="31"/>
        <v>#N/A</v>
      </c>
      <c r="J622" s="49" t="e">
        <f t="shared" si="30"/>
        <v>#N/A</v>
      </c>
    </row>
    <row r="623" spans="1:10" ht="19" customHeight="1">
      <c r="A623" s="62"/>
      <c r="G623" s="48" t="e">
        <f>VLOOKUP(D623,단가!B:D,3,0)</f>
        <v>#N/A</v>
      </c>
      <c r="H623" s="48" t="e">
        <f t="shared" si="29"/>
        <v>#N/A</v>
      </c>
      <c r="I623" s="48" t="e">
        <f t="shared" si="31"/>
        <v>#N/A</v>
      </c>
      <c r="J623" s="49" t="e">
        <f t="shared" si="30"/>
        <v>#N/A</v>
      </c>
    </row>
    <row r="624" spans="1:10" ht="19" customHeight="1">
      <c r="A624" s="62"/>
      <c r="G624" s="48" t="e">
        <f>VLOOKUP(D624,단가!B:D,3,0)</f>
        <v>#N/A</v>
      </c>
      <c r="H624" s="48" t="e">
        <f t="shared" si="29"/>
        <v>#N/A</v>
      </c>
      <c r="I624" s="48" t="e">
        <f t="shared" si="31"/>
        <v>#N/A</v>
      </c>
      <c r="J624" s="49" t="e">
        <f t="shared" si="30"/>
        <v>#N/A</v>
      </c>
    </row>
    <row r="625" spans="1:11" ht="19" customHeight="1">
      <c r="A625" s="62"/>
      <c r="G625" s="48" t="e">
        <f>VLOOKUP(D625,단가!B:D,3,0)</f>
        <v>#N/A</v>
      </c>
      <c r="H625" s="48" t="e">
        <f t="shared" si="29"/>
        <v>#N/A</v>
      </c>
      <c r="I625" s="48" t="e">
        <f t="shared" si="31"/>
        <v>#N/A</v>
      </c>
      <c r="J625" s="49" t="e">
        <f t="shared" si="30"/>
        <v>#N/A</v>
      </c>
    </row>
    <row r="626" spans="1:11" ht="19" customHeight="1">
      <c r="A626" s="62"/>
      <c r="G626" s="48" t="e">
        <f>VLOOKUP(D626,단가!B:D,3,0)</f>
        <v>#N/A</v>
      </c>
      <c r="H626" s="48" t="e">
        <f t="shared" si="29"/>
        <v>#N/A</v>
      </c>
      <c r="I626" s="48" t="e">
        <f t="shared" si="31"/>
        <v>#N/A</v>
      </c>
      <c r="J626" s="49" t="e">
        <f t="shared" si="30"/>
        <v>#N/A</v>
      </c>
    </row>
    <row r="627" spans="1:11" ht="19" customHeight="1">
      <c r="A627" s="62"/>
      <c r="G627" s="48" t="e">
        <f>VLOOKUP(D627,단가!B:D,3,0)</f>
        <v>#N/A</v>
      </c>
      <c r="H627" s="48" t="e">
        <f t="shared" si="29"/>
        <v>#N/A</v>
      </c>
      <c r="I627" s="48" t="e">
        <f t="shared" si="31"/>
        <v>#N/A</v>
      </c>
      <c r="J627" s="49" t="e">
        <f t="shared" si="30"/>
        <v>#N/A</v>
      </c>
    </row>
    <row r="628" spans="1:11" ht="19" customHeight="1">
      <c r="A628" s="62"/>
      <c r="G628" s="48" t="e">
        <f>VLOOKUP(D628,단가!B:D,3,0)</f>
        <v>#N/A</v>
      </c>
      <c r="H628" s="48" t="e">
        <f t="shared" si="29"/>
        <v>#N/A</v>
      </c>
      <c r="I628" s="48" t="e">
        <f t="shared" si="31"/>
        <v>#N/A</v>
      </c>
      <c r="J628" s="49" t="e">
        <f t="shared" si="30"/>
        <v>#N/A</v>
      </c>
    </row>
    <row r="629" spans="1:11" ht="19" customHeight="1">
      <c r="A629" s="62"/>
      <c r="G629" s="48" t="e">
        <f>VLOOKUP(D629,단가!B:D,3,0)</f>
        <v>#N/A</v>
      </c>
      <c r="H629" s="48" t="e">
        <f t="shared" si="29"/>
        <v>#N/A</v>
      </c>
      <c r="I629" s="48" t="e">
        <f t="shared" si="31"/>
        <v>#N/A</v>
      </c>
      <c r="J629" s="49" t="e">
        <f t="shared" si="30"/>
        <v>#N/A</v>
      </c>
      <c r="K629" s="48"/>
    </row>
    <row r="630" spans="1:11" ht="19" customHeight="1">
      <c r="A630" s="62"/>
      <c r="G630" s="48" t="e">
        <f>VLOOKUP(D630,단가!B:D,3,0)</f>
        <v>#N/A</v>
      </c>
      <c r="H630" s="48" t="e">
        <f t="shared" si="29"/>
        <v>#N/A</v>
      </c>
      <c r="I630" s="48" t="e">
        <f t="shared" si="31"/>
        <v>#N/A</v>
      </c>
      <c r="J630" s="49" t="e">
        <f t="shared" si="30"/>
        <v>#N/A</v>
      </c>
    </row>
    <row r="631" spans="1:11" ht="19" customHeight="1">
      <c r="A631" s="62"/>
      <c r="G631" s="48" t="e">
        <f>VLOOKUP(D631,단가!B:D,3,0)</f>
        <v>#N/A</v>
      </c>
      <c r="H631" s="48" t="e">
        <f t="shared" si="29"/>
        <v>#N/A</v>
      </c>
      <c r="I631" s="48" t="e">
        <f t="shared" si="31"/>
        <v>#N/A</v>
      </c>
      <c r="J631" s="49" t="e">
        <f t="shared" si="30"/>
        <v>#N/A</v>
      </c>
    </row>
    <row r="632" spans="1:11" ht="19" customHeight="1">
      <c r="A632" s="62"/>
      <c r="G632" s="48" t="e">
        <f>VLOOKUP(D632,단가!B:D,3,0)</f>
        <v>#N/A</v>
      </c>
      <c r="H632" s="48" t="e">
        <f t="shared" ref="H632:H705" si="32">F632*G632</f>
        <v>#N/A</v>
      </c>
      <c r="I632" s="48" t="e">
        <f t="shared" si="31"/>
        <v>#N/A</v>
      </c>
      <c r="J632" s="49" t="e">
        <f t="shared" si="30"/>
        <v>#N/A</v>
      </c>
    </row>
    <row r="633" spans="1:11" ht="19" customHeight="1">
      <c r="A633" s="62"/>
      <c r="G633" s="48" t="e">
        <f>VLOOKUP(D633,단가!B:D,3,0)</f>
        <v>#N/A</v>
      </c>
      <c r="H633" s="48" t="e">
        <f t="shared" si="32"/>
        <v>#N/A</v>
      </c>
      <c r="I633" s="48" t="e">
        <f t="shared" si="31"/>
        <v>#N/A</v>
      </c>
      <c r="J633" s="49" t="e">
        <f t="shared" si="30"/>
        <v>#N/A</v>
      </c>
    </row>
    <row r="634" spans="1:11" ht="19" customHeight="1">
      <c r="A634" s="62"/>
      <c r="G634" s="48" t="e">
        <f>VLOOKUP(D634,단가!B:D,3,0)</f>
        <v>#N/A</v>
      </c>
      <c r="H634" s="48" t="e">
        <f t="shared" si="32"/>
        <v>#N/A</v>
      </c>
      <c r="I634" s="48" t="e">
        <f t="shared" si="31"/>
        <v>#N/A</v>
      </c>
      <c r="J634" s="49" t="e">
        <f t="shared" si="30"/>
        <v>#N/A</v>
      </c>
    </row>
    <row r="635" spans="1:11" ht="19" customHeight="1">
      <c r="A635" s="62"/>
      <c r="G635" s="48" t="e">
        <f>VLOOKUP(D635,단가!B:D,3,0)</f>
        <v>#N/A</v>
      </c>
      <c r="H635" s="48" t="e">
        <f t="shared" si="32"/>
        <v>#N/A</v>
      </c>
      <c r="I635" s="48" t="e">
        <f t="shared" si="31"/>
        <v>#N/A</v>
      </c>
      <c r="J635" s="49" t="e">
        <f t="shared" si="30"/>
        <v>#N/A</v>
      </c>
    </row>
    <row r="636" spans="1:11" ht="19" customHeight="1">
      <c r="A636" s="88"/>
      <c r="G636" s="48" t="e">
        <f>VLOOKUP(D636,단가!B:D,3,0)</f>
        <v>#N/A</v>
      </c>
      <c r="H636" s="48" t="e">
        <f t="shared" si="32"/>
        <v>#N/A</v>
      </c>
      <c r="I636" s="48" t="e">
        <f t="shared" si="31"/>
        <v>#N/A</v>
      </c>
      <c r="J636" s="49" t="e">
        <f t="shared" si="30"/>
        <v>#N/A</v>
      </c>
    </row>
    <row r="637" spans="1:11" ht="19" customHeight="1">
      <c r="A637" s="62"/>
      <c r="G637" s="48" t="e">
        <f>VLOOKUP(D637,단가!B:D,3,0)</f>
        <v>#N/A</v>
      </c>
      <c r="H637" s="48" t="e">
        <f t="shared" si="32"/>
        <v>#N/A</v>
      </c>
      <c r="I637" s="48" t="e">
        <f t="shared" si="31"/>
        <v>#N/A</v>
      </c>
      <c r="J637" s="49" t="e">
        <f t="shared" si="30"/>
        <v>#N/A</v>
      </c>
    </row>
    <row r="638" spans="1:11" ht="19" customHeight="1">
      <c r="A638" s="62"/>
      <c r="G638" s="48" t="e">
        <f>VLOOKUP(D638,단가!B:D,3,0)</f>
        <v>#N/A</v>
      </c>
      <c r="H638" s="48" t="e">
        <f t="shared" si="32"/>
        <v>#N/A</v>
      </c>
      <c r="I638" s="48" t="e">
        <f t="shared" si="31"/>
        <v>#N/A</v>
      </c>
      <c r="J638" s="49" t="e">
        <f t="shared" si="30"/>
        <v>#N/A</v>
      </c>
    </row>
    <row r="639" spans="1:11" ht="19" customHeight="1">
      <c r="A639" s="62"/>
      <c r="G639" s="48" t="e">
        <f>VLOOKUP(D639,단가!B:D,3,0)</f>
        <v>#N/A</v>
      </c>
      <c r="H639" s="48" t="e">
        <f t="shared" si="32"/>
        <v>#N/A</v>
      </c>
      <c r="I639" s="48" t="e">
        <f t="shared" si="31"/>
        <v>#N/A</v>
      </c>
      <c r="J639" s="49" t="e">
        <f t="shared" si="30"/>
        <v>#N/A</v>
      </c>
    </row>
    <row r="640" spans="1:11" ht="19" customHeight="1">
      <c r="A640" s="62"/>
      <c r="G640" s="48" t="e">
        <f>VLOOKUP(D640,단가!B:D,3,0)</f>
        <v>#N/A</v>
      </c>
      <c r="H640" s="48" t="e">
        <f t="shared" si="32"/>
        <v>#N/A</v>
      </c>
      <c r="I640" s="48" t="e">
        <f t="shared" si="31"/>
        <v>#N/A</v>
      </c>
      <c r="J640" s="49" t="e">
        <f t="shared" si="30"/>
        <v>#N/A</v>
      </c>
    </row>
    <row r="641" spans="1:10" ht="19" customHeight="1">
      <c r="A641" s="62"/>
      <c r="G641" s="48" t="e">
        <f>VLOOKUP(D641,단가!B:D,3,0)</f>
        <v>#N/A</v>
      </c>
      <c r="H641" s="48" t="e">
        <f t="shared" si="32"/>
        <v>#N/A</v>
      </c>
      <c r="I641" s="48" t="e">
        <f t="shared" si="31"/>
        <v>#N/A</v>
      </c>
      <c r="J641" s="49" t="e">
        <f t="shared" si="30"/>
        <v>#N/A</v>
      </c>
    </row>
    <row r="642" spans="1:10" ht="19" customHeight="1">
      <c r="A642" s="62"/>
      <c r="G642" s="48" t="e">
        <f>VLOOKUP(D642,단가!B:D,3,0)</f>
        <v>#N/A</v>
      </c>
      <c r="H642" s="48" t="e">
        <f t="shared" si="32"/>
        <v>#N/A</v>
      </c>
      <c r="I642" s="48" t="e">
        <f t="shared" ref="I642:I727" si="33">H642*0.1</f>
        <v>#N/A</v>
      </c>
      <c r="J642" s="49" t="e">
        <f t="shared" ref="J642:J727" si="34">H642+I642</f>
        <v>#N/A</v>
      </c>
    </row>
    <row r="643" spans="1:10" ht="19" customHeight="1">
      <c r="A643" s="62"/>
      <c r="G643" s="48" t="e">
        <f>VLOOKUP(D643,단가!B:D,3,0)</f>
        <v>#N/A</v>
      </c>
      <c r="H643" s="48" t="e">
        <f t="shared" si="32"/>
        <v>#N/A</v>
      </c>
      <c r="I643" s="48" t="e">
        <f t="shared" si="33"/>
        <v>#N/A</v>
      </c>
      <c r="J643" s="49" t="e">
        <f t="shared" si="34"/>
        <v>#N/A</v>
      </c>
    </row>
    <row r="644" spans="1:10" ht="19" customHeight="1">
      <c r="A644" s="62"/>
      <c r="G644" s="48" t="e">
        <f>VLOOKUP(D644,단가!B:D,3,0)</f>
        <v>#N/A</v>
      </c>
      <c r="H644" s="48" t="e">
        <f t="shared" si="32"/>
        <v>#N/A</v>
      </c>
      <c r="I644" s="48" t="e">
        <f t="shared" si="33"/>
        <v>#N/A</v>
      </c>
      <c r="J644" s="49" t="e">
        <f t="shared" si="34"/>
        <v>#N/A</v>
      </c>
    </row>
    <row r="645" spans="1:10" ht="19" customHeight="1">
      <c r="A645" s="62"/>
      <c r="G645" s="48" t="e">
        <f>VLOOKUP(D645,단가!B:D,3,0)</f>
        <v>#N/A</v>
      </c>
      <c r="H645" s="48" t="e">
        <f t="shared" si="32"/>
        <v>#N/A</v>
      </c>
      <c r="I645" s="48" t="e">
        <f t="shared" si="33"/>
        <v>#N/A</v>
      </c>
      <c r="J645" s="49" t="e">
        <f t="shared" si="34"/>
        <v>#N/A</v>
      </c>
    </row>
    <row r="646" spans="1:10" ht="19" customHeight="1">
      <c r="A646" s="62"/>
      <c r="G646" s="48" t="e">
        <f>VLOOKUP(D646,단가!B:D,3,0)</f>
        <v>#N/A</v>
      </c>
      <c r="H646" s="48" t="e">
        <f t="shared" si="32"/>
        <v>#N/A</v>
      </c>
      <c r="I646" s="48" t="e">
        <f t="shared" si="33"/>
        <v>#N/A</v>
      </c>
      <c r="J646" s="49" t="e">
        <f t="shared" si="34"/>
        <v>#N/A</v>
      </c>
    </row>
    <row r="647" spans="1:10" ht="19" customHeight="1">
      <c r="A647" s="62"/>
      <c r="G647" s="48" t="e">
        <f>VLOOKUP(D647,단가!B:D,3,0)</f>
        <v>#N/A</v>
      </c>
      <c r="H647" s="48" t="e">
        <f t="shared" si="32"/>
        <v>#N/A</v>
      </c>
      <c r="J647" s="49" t="e">
        <f t="shared" si="34"/>
        <v>#N/A</v>
      </c>
    </row>
    <row r="648" spans="1:10" ht="19" customHeight="1">
      <c r="A648" s="62"/>
      <c r="G648" s="91" t="e">
        <f>VLOOKUP(D648,단가!B:D,3,0)</f>
        <v>#N/A</v>
      </c>
      <c r="H648" s="91" t="e">
        <f t="shared" si="32"/>
        <v>#N/A</v>
      </c>
      <c r="I648" s="91" t="e">
        <f t="shared" ref="I648:I658" si="35">H648*0.1</f>
        <v>#N/A</v>
      </c>
      <c r="J648" s="92" t="e">
        <f t="shared" si="34"/>
        <v>#N/A</v>
      </c>
    </row>
    <row r="649" spans="1:10" ht="19" customHeight="1">
      <c r="A649" s="62"/>
      <c r="G649" s="91" t="e">
        <f>VLOOKUP(D649,단가!B:D,3,0)</f>
        <v>#N/A</v>
      </c>
      <c r="H649" s="91" t="e">
        <f t="shared" si="32"/>
        <v>#N/A</v>
      </c>
      <c r="I649" s="91" t="e">
        <f t="shared" si="35"/>
        <v>#N/A</v>
      </c>
      <c r="J649" s="92" t="e">
        <f t="shared" si="34"/>
        <v>#N/A</v>
      </c>
    </row>
    <row r="650" spans="1:10" ht="19" customHeight="1">
      <c r="A650" s="62"/>
      <c r="G650" s="91" t="e">
        <f>VLOOKUP(D650,단가!B:D,3,0)</f>
        <v>#N/A</v>
      </c>
      <c r="H650" s="91" t="e">
        <f t="shared" si="32"/>
        <v>#N/A</v>
      </c>
      <c r="I650" s="91" t="e">
        <f t="shared" si="35"/>
        <v>#N/A</v>
      </c>
      <c r="J650" s="92" t="e">
        <f t="shared" si="34"/>
        <v>#N/A</v>
      </c>
    </row>
    <row r="651" spans="1:10" ht="19" customHeight="1">
      <c r="A651" s="62"/>
      <c r="G651" s="91" t="e">
        <f>VLOOKUP(D651,단가!B:D,3,0)</f>
        <v>#N/A</v>
      </c>
      <c r="H651" s="91" t="e">
        <f t="shared" si="32"/>
        <v>#N/A</v>
      </c>
      <c r="I651" s="91" t="e">
        <f t="shared" si="35"/>
        <v>#N/A</v>
      </c>
      <c r="J651" s="92" t="e">
        <f t="shared" si="34"/>
        <v>#N/A</v>
      </c>
    </row>
    <row r="652" spans="1:10" ht="19" customHeight="1">
      <c r="A652" s="62"/>
      <c r="G652" s="91" t="e">
        <f>VLOOKUP(D652,단가!B:D,3,0)</f>
        <v>#N/A</v>
      </c>
      <c r="H652" s="91" t="e">
        <f t="shared" si="32"/>
        <v>#N/A</v>
      </c>
      <c r="I652" s="91" t="e">
        <f t="shared" si="35"/>
        <v>#N/A</v>
      </c>
      <c r="J652" s="92" t="e">
        <f t="shared" si="34"/>
        <v>#N/A</v>
      </c>
    </row>
    <row r="653" spans="1:10" ht="19" customHeight="1">
      <c r="A653" s="62"/>
      <c r="G653" s="91" t="e">
        <f>VLOOKUP(D653,단가!B:D,3,0)</f>
        <v>#N/A</v>
      </c>
      <c r="H653" s="91" t="e">
        <f t="shared" si="32"/>
        <v>#N/A</v>
      </c>
      <c r="I653" s="91" t="e">
        <f t="shared" si="35"/>
        <v>#N/A</v>
      </c>
      <c r="J653" s="92" t="e">
        <f t="shared" si="34"/>
        <v>#N/A</v>
      </c>
    </row>
    <row r="654" spans="1:10" ht="19" customHeight="1">
      <c r="A654" s="62"/>
      <c r="G654" s="91" t="e">
        <f>VLOOKUP(D654,단가!B:D,3,0)</f>
        <v>#N/A</v>
      </c>
      <c r="H654" s="91" t="e">
        <f t="shared" si="32"/>
        <v>#N/A</v>
      </c>
      <c r="I654" s="91" t="e">
        <f t="shared" si="35"/>
        <v>#N/A</v>
      </c>
      <c r="J654" s="92" t="e">
        <f t="shared" si="34"/>
        <v>#N/A</v>
      </c>
    </row>
    <row r="655" spans="1:10" ht="19" customHeight="1">
      <c r="A655" s="62"/>
      <c r="G655" s="91" t="e">
        <f>VLOOKUP(D655,단가!B:D,3,0)</f>
        <v>#N/A</v>
      </c>
      <c r="H655" s="91" t="e">
        <f t="shared" si="32"/>
        <v>#N/A</v>
      </c>
      <c r="I655" s="91" t="e">
        <f t="shared" si="35"/>
        <v>#N/A</v>
      </c>
      <c r="J655" s="92" t="e">
        <f t="shared" si="34"/>
        <v>#N/A</v>
      </c>
    </row>
    <row r="656" spans="1:10" ht="19" customHeight="1">
      <c r="A656" s="62"/>
      <c r="G656" s="91" t="e">
        <f>VLOOKUP(D656,단가!B:D,3,0)</f>
        <v>#N/A</v>
      </c>
      <c r="H656" s="91" t="e">
        <f t="shared" si="32"/>
        <v>#N/A</v>
      </c>
      <c r="I656" s="91" t="e">
        <f t="shared" si="35"/>
        <v>#N/A</v>
      </c>
      <c r="J656" s="92" t="e">
        <f t="shared" si="34"/>
        <v>#N/A</v>
      </c>
    </row>
    <row r="657" spans="1:12" ht="19" customHeight="1">
      <c r="A657" s="62"/>
      <c r="G657" s="91" t="e">
        <f>VLOOKUP(D657,단가!B:D,3,0)</f>
        <v>#N/A</v>
      </c>
      <c r="H657" s="91" t="e">
        <f t="shared" si="32"/>
        <v>#N/A</v>
      </c>
      <c r="I657" s="91" t="e">
        <f t="shared" si="35"/>
        <v>#N/A</v>
      </c>
      <c r="J657" s="92" t="e">
        <f t="shared" si="34"/>
        <v>#N/A</v>
      </c>
    </row>
    <row r="658" spans="1:12" ht="19" customHeight="1">
      <c r="A658" s="62"/>
      <c r="G658" s="91" t="e">
        <f>VLOOKUP(D658,단가!B:D,3,0)</f>
        <v>#N/A</v>
      </c>
      <c r="H658" s="91" t="e">
        <f t="shared" si="32"/>
        <v>#N/A</v>
      </c>
      <c r="I658" s="91" t="e">
        <f t="shared" si="35"/>
        <v>#N/A</v>
      </c>
      <c r="J658" s="92" t="e">
        <f t="shared" si="34"/>
        <v>#N/A</v>
      </c>
    </row>
    <row r="659" spans="1:12" ht="19" customHeight="1">
      <c r="A659" s="89"/>
      <c r="B659" s="90"/>
      <c r="C659" s="90"/>
      <c r="D659" s="90"/>
      <c r="E659" s="90"/>
      <c r="F659" s="91"/>
      <c r="G659" s="91" t="e">
        <f>VLOOKUP(D659,단가!B:D,3,0)</f>
        <v>#N/A</v>
      </c>
      <c r="H659" s="91" t="e">
        <f t="shared" si="32"/>
        <v>#N/A</v>
      </c>
      <c r="I659" s="91" t="e">
        <f t="shared" si="33"/>
        <v>#N/A</v>
      </c>
      <c r="J659" s="92" t="e">
        <f t="shared" si="34"/>
        <v>#N/A</v>
      </c>
    </row>
    <row r="660" spans="1:12" ht="19" customHeight="1">
      <c r="A660" s="89"/>
      <c r="B660" s="90"/>
      <c r="C660" s="90"/>
      <c r="D660" s="90"/>
      <c r="E660" s="90"/>
      <c r="F660" s="91"/>
      <c r="G660" s="91" t="e">
        <f>VLOOKUP(D660,단가!B:D,3,0)</f>
        <v>#N/A</v>
      </c>
      <c r="H660" s="91" t="e">
        <f t="shared" si="32"/>
        <v>#N/A</v>
      </c>
      <c r="I660" s="91" t="e">
        <f t="shared" si="33"/>
        <v>#N/A</v>
      </c>
      <c r="J660" s="92" t="e">
        <f t="shared" si="34"/>
        <v>#N/A</v>
      </c>
    </row>
    <row r="661" spans="1:12" ht="19" customHeight="1">
      <c r="A661" s="89"/>
      <c r="B661" s="90"/>
      <c r="C661" s="90"/>
      <c r="D661" s="90"/>
      <c r="E661" s="90"/>
      <c r="F661" s="91"/>
      <c r="G661" s="91" t="e">
        <f>VLOOKUP(D661,단가!B:D,3,0)</f>
        <v>#N/A</v>
      </c>
      <c r="H661" s="91" t="e">
        <f t="shared" si="32"/>
        <v>#N/A</v>
      </c>
      <c r="I661" s="91" t="e">
        <f t="shared" si="33"/>
        <v>#N/A</v>
      </c>
      <c r="J661" s="92" t="e">
        <f t="shared" si="34"/>
        <v>#N/A</v>
      </c>
    </row>
    <row r="662" spans="1:12" ht="19" customHeight="1">
      <c r="A662" s="89"/>
      <c r="B662" s="90"/>
      <c r="C662" s="90"/>
      <c r="D662" s="90"/>
      <c r="E662" s="90"/>
      <c r="F662" s="91"/>
      <c r="G662" s="91" t="e">
        <f>VLOOKUP(D662,단가!B:D,3,0)</f>
        <v>#N/A</v>
      </c>
      <c r="H662" s="91" t="e">
        <f t="shared" si="32"/>
        <v>#N/A</v>
      </c>
      <c r="I662" s="91" t="e">
        <f t="shared" si="33"/>
        <v>#N/A</v>
      </c>
      <c r="J662" s="92" t="e">
        <f t="shared" si="34"/>
        <v>#N/A</v>
      </c>
    </row>
    <row r="663" spans="1:12" ht="19" customHeight="1">
      <c r="A663" s="89"/>
      <c r="B663" s="90"/>
      <c r="C663" s="90"/>
      <c r="D663" s="90"/>
      <c r="E663" s="90"/>
      <c r="F663" s="91"/>
      <c r="G663" s="91" t="e">
        <f>VLOOKUP(D663,단가!B:D,3,0)</f>
        <v>#N/A</v>
      </c>
      <c r="H663" s="91" t="e">
        <f t="shared" si="32"/>
        <v>#N/A</v>
      </c>
      <c r="I663" s="91" t="e">
        <f t="shared" si="33"/>
        <v>#N/A</v>
      </c>
      <c r="J663" s="92" t="e">
        <f t="shared" si="34"/>
        <v>#N/A</v>
      </c>
    </row>
    <row r="664" spans="1:12" ht="19" customHeight="1">
      <c r="A664" s="89"/>
      <c r="B664" s="90"/>
      <c r="C664" s="90"/>
      <c r="D664" s="90"/>
      <c r="E664" s="90"/>
      <c r="F664" s="91"/>
      <c r="G664" s="91" t="e">
        <f>VLOOKUP(D664,단가!B:D,3,0)</f>
        <v>#N/A</v>
      </c>
      <c r="H664" s="91" t="e">
        <f t="shared" si="32"/>
        <v>#N/A</v>
      </c>
      <c r="I664" s="91" t="e">
        <f t="shared" si="33"/>
        <v>#N/A</v>
      </c>
      <c r="J664" s="92" t="e">
        <f t="shared" si="34"/>
        <v>#N/A</v>
      </c>
    </row>
    <row r="665" spans="1:12" ht="19" customHeight="1">
      <c r="A665" s="62"/>
      <c r="E665" s="90"/>
      <c r="G665" s="48" t="e">
        <f>VLOOKUP(D665,단가!B:D,3,0)</f>
        <v>#N/A</v>
      </c>
      <c r="H665" s="48" t="e">
        <f t="shared" si="32"/>
        <v>#N/A</v>
      </c>
      <c r="I665" s="48" t="e">
        <f t="shared" si="33"/>
        <v>#N/A</v>
      </c>
      <c r="J665" s="49" t="e">
        <f t="shared" si="34"/>
        <v>#N/A</v>
      </c>
    </row>
    <row r="666" spans="1:12" ht="19" customHeight="1">
      <c r="A666" s="62"/>
      <c r="E666" s="90"/>
      <c r="G666" s="48" t="e">
        <f>VLOOKUP(D666,단가!B:D,3,0)</f>
        <v>#N/A</v>
      </c>
      <c r="H666" s="48" t="e">
        <f t="shared" si="32"/>
        <v>#N/A</v>
      </c>
      <c r="I666" s="48" t="e">
        <f t="shared" si="33"/>
        <v>#N/A</v>
      </c>
      <c r="J666" s="49" t="e">
        <f t="shared" si="34"/>
        <v>#N/A</v>
      </c>
    </row>
    <row r="667" spans="1:12" ht="19" customHeight="1">
      <c r="A667" s="62"/>
      <c r="E667" s="90"/>
      <c r="G667" s="48" t="e">
        <f>VLOOKUP(D667,단가!B:D,3,0)</f>
        <v>#N/A</v>
      </c>
      <c r="H667" s="48" t="e">
        <f t="shared" si="32"/>
        <v>#N/A</v>
      </c>
      <c r="I667" s="48" t="e">
        <f t="shared" si="33"/>
        <v>#N/A</v>
      </c>
      <c r="J667" s="49" t="e">
        <f t="shared" si="34"/>
        <v>#N/A</v>
      </c>
    </row>
    <row r="668" spans="1:12" ht="19" customHeight="1">
      <c r="A668" s="62"/>
      <c r="E668" s="90"/>
      <c r="G668" s="48" t="e">
        <f>VLOOKUP(D668,단가!B:D,3,0)</f>
        <v>#N/A</v>
      </c>
      <c r="H668" s="48" t="e">
        <f t="shared" si="32"/>
        <v>#N/A</v>
      </c>
      <c r="I668" s="48" t="e">
        <f t="shared" si="33"/>
        <v>#N/A</v>
      </c>
      <c r="J668" s="49" t="e">
        <f t="shared" si="34"/>
        <v>#N/A</v>
      </c>
      <c r="L668" s="56"/>
    </row>
    <row r="669" spans="1:12" ht="19" customHeight="1">
      <c r="A669" s="62"/>
      <c r="D669" s="90"/>
      <c r="E669" s="90"/>
      <c r="G669" s="48" t="e">
        <f>VLOOKUP(D669,단가!B:D,3,0)</f>
        <v>#N/A</v>
      </c>
      <c r="H669" s="48" t="e">
        <f t="shared" si="32"/>
        <v>#N/A</v>
      </c>
      <c r="I669" s="48" t="e">
        <f t="shared" si="33"/>
        <v>#N/A</v>
      </c>
      <c r="J669" s="49" t="e">
        <f t="shared" si="34"/>
        <v>#N/A</v>
      </c>
    </row>
    <row r="670" spans="1:12" ht="19" customHeight="1">
      <c r="A670" s="62"/>
      <c r="E670" s="90"/>
      <c r="G670" s="48" t="e">
        <f>VLOOKUP(D670,단가!B:D,3,0)</f>
        <v>#N/A</v>
      </c>
      <c r="H670" s="48" t="e">
        <f t="shared" si="32"/>
        <v>#N/A</v>
      </c>
      <c r="I670" s="48" t="e">
        <f t="shared" si="33"/>
        <v>#N/A</v>
      </c>
      <c r="J670" s="49" t="e">
        <f t="shared" si="34"/>
        <v>#N/A</v>
      </c>
    </row>
    <row r="671" spans="1:12" ht="19" customHeight="1">
      <c r="A671" s="62"/>
      <c r="E671" s="90"/>
      <c r="G671" s="48" t="e">
        <f>VLOOKUP(D671,단가!B:D,3,0)</f>
        <v>#N/A</v>
      </c>
      <c r="H671" s="48" t="e">
        <f t="shared" si="32"/>
        <v>#N/A</v>
      </c>
      <c r="I671" s="48" t="e">
        <f t="shared" si="33"/>
        <v>#N/A</v>
      </c>
      <c r="J671" s="49" t="e">
        <f t="shared" si="34"/>
        <v>#N/A</v>
      </c>
    </row>
    <row r="672" spans="1:12" ht="19" customHeight="1">
      <c r="A672" s="62"/>
      <c r="E672" s="90"/>
      <c r="G672" s="48" t="e">
        <f>VLOOKUP(D672,단가!B:D,3,0)</f>
        <v>#N/A</v>
      </c>
      <c r="H672" s="48" t="e">
        <f t="shared" si="32"/>
        <v>#N/A</v>
      </c>
      <c r="I672" s="48" t="e">
        <f t="shared" si="33"/>
        <v>#N/A</v>
      </c>
      <c r="J672" s="49" t="e">
        <f t="shared" si="34"/>
        <v>#N/A</v>
      </c>
    </row>
    <row r="673" spans="1:12" ht="19" customHeight="1">
      <c r="A673" s="62"/>
      <c r="E673" s="90"/>
      <c r="G673" s="48" t="e">
        <f>VLOOKUP(D673,단가!B:D,3,0)</f>
        <v>#N/A</v>
      </c>
      <c r="H673" s="48" t="e">
        <f t="shared" si="32"/>
        <v>#N/A</v>
      </c>
      <c r="I673" s="48" t="e">
        <f t="shared" si="33"/>
        <v>#N/A</v>
      </c>
      <c r="J673" s="49" t="e">
        <f t="shared" si="34"/>
        <v>#N/A</v>
      </c>
    </row>
    <row r="674" spans="1:12" ht="19" customHeight="1">
      <c r="A674" s="62"/>
      <c r="E674" s="90"/>
      <c r="G674" s="48" t="e">
        <f>VLOOKUP(D674,단가!B:D,3,0)</f>
        <v>#N/A</v>
      </c>
      <c r="H674" s="48" t="e">
        <f t="shared" si="32"/>
        <v>#N/A</v>
      </c>
      <c r="I674" s="48" t="e">
        <f t="shared" si="33"/>
        <v>#N/A</v>
      </c>
      <c r="J674" s="49" t="e">
        <f t="shared" si="34"/>
        <v>#N/A</v>
      </c>
    </row>
    <row r="675" spans="1:12" ht="19" customHeight="1">
      <c r="A675" s="62"/>
      <c r="G675" s="48" t="e">
        <f>VLOOKUP(D675,단가!B:D,3,0)</f>
        <v>#N/A</v>
      </c>
      <c r="H675" s="48" t="e">
        <f t="shared" si="32"/>
        <v>#N/A</v>
      </c>
      <c r="I675" s="48" t="e">
        <f t="shared" si="33"/>
        <v>#N/A</v>
      </c>
      <c r="J675" s="49" t="e">
        <f t="shared" si="34"/>
        <v>#N/A</v>
      </c>
    </row>
    <row r="676" spans="1:12" ht="19" customHeight="1">
      <c r="A676" s="62"/>
      <c r="D676" s="90"/>
      <c r="E676" s="90"/>
      <c r="G676" s="48" t="e">
        <f>VLOOKUP(D676,단가!B:D,3,0)</f>
        <v>#N/A</v>
      </c>
      <c r="H676" s="48" t="e">
        <f t="shared" si="32"/>
        <v>#N/A</v>
      </c>
      <c r="J676" s="49" t="e">
        <f t="shared" si="34"/>
        <v>#N/A</v>
      </c>
    </row>
    <row r="677" spans="1:12" ht="19" customHeight="1">
      <c r="A677" s="62"/>
      <c r="D677" s="90"/>
      <c r="E677" s="90"/>
      <c r="G677" s="48">
        <v>30000</v>
      </c>
      <c r="H677" s="48">
        <f t="shared" si="32"/>
        <v>0</v>
      </c>
      <c r="I677" s="48">
        <f t="shared" si="33"/>
        <v>0</v>
      </c>
      <c r="J677" s="49">
        <f t="shared" si="34"/>
        <v>0</v>
      </c>
    </row>
    <row r="678" spans="1:12" ht="19" customHeight="1">
      <c r="A678" s="62"/>
      <c r="D678" s="90"/>
      <c r="E678" s="90"/>
      <c r="G678" s="48" t="e">
        <f>VLOOKUP(D678,단가!B:D,3,0)</f>
        <v>#N/A</v>
      </c>
      <c r="H678" s="48" t="e">
        <f t="shared" si="32"/>
        <v>#N/A</v>
      </c>
      <c r="I678" s="48" t="e">
        <f t="shared" si="33"/>
        <v>#N/A</v>
      </c>
      <c r="J678" s="49" t="e">
        <f t="shared" si="34"/>
        <v>#N/A</v>
      </c>
    </row>
    <row r="679" spans="1:12" ht="19" customHeight="1">
      <c r="A679" s="62"/>
      <c r="E679" s="90"/>
      <c r="G679" s="48" t="e">
        <f>VLOOKUP(D679,단가!B:D,3,0)</f>
        <v>#N/A</v>
      </c>
      <c r="H679" s="48" t="e">
        <f t="shared" si="32"/>
        <v>#N/A</v>
      </c>
      <c r="I679" s="48" t="e">
        <f t="shared" si="33"/>
        <v>#N/A</v>
      </c>
      <c r="J679" s="49" t="e">
        <f t="shared" si="34"/>
        <v>#N/A</v>
      </c>
    </row>
    <row r="680" spans="1:12" ht="19" customHeight="1">
      <c r="A680" s="62"/>
      <c r="E680" s="90"/>
      <c r="G680" s="48" t="e">
        <f>VLOOKUP(D680,단가!B:D,3,0)</f>
        <v>#N/A</v>
      </c>
      <c r="H680" s="48" t="e">
        <f t="shared" si="32"/>
        <v>#N/A</v>
      </c>
      <c r="I680" s="48" t="e">
        <f t="shared" si="33"/>
        <v>#N/A</v>
      </c>
      <c r="J680" s="49" t="e">
        <f t="shared" si="34"/>
        <v>#N/A</v>
      </c>
    </row>
    <row r="681" spans="1:12" ht="19" customHeight="1">
      <c r="A681" s="62"/>
      <c r="E681" s="90"/>
      <c r="G681" s="48" t="e">
        <f>VLOOKUP(D681,단가!B:D,3,0)</f>
        <v>#N/A</v>
      </c>
      <c r="H681" s="48" t="e">
        <f t="shared" si="32"/>
        <v>#N/A</v>
      </c>
      <c r="I681" s="48" t="e">
        <f t="shared" si="33"/>
        <v>#N/A</v>
      </c>
      <c r="J681" s="49" t="e">
        <f t="shared" si="34"/>
        <v>#N/A</v>
      </c>
    </row>
    <row r="682" spans="1:12" ht="19" customHeight="1">
      <c r="A682" s="62"/>
      <c r="E682" s="90"/>
      <c r="G682" s="48" t="e">
        <f>VLOOKUP(D682,단가!B:D,3,0)</f>
        <v>#N/A</v>
      </c>
      <c r="H682" s="48" t="e">
        <f t="shared" si="32"/>
        <v>#N/A</v>
      </c>
      <c r="I682" s="48" t="e">
        <f t="shared" si="33"/>
        <v>#N/A</v>
      </c>
      <c r="J682" s="49" t="e">
        <f t="shared" si="34"/>
        <v>#N/A</v>
      </c>
    </row>
    <row r="683" spans="1:12" ht="19" customHeight="1">
      <c r="A683" s="62"/>
      <c r="E683" s="90"/>
      <c r="G683" s="48" t="e">
        <f>VLOOKUP(D683,단가!B:D,3,0)</f>
        <v>#N/A</v>
      </c>
      <c r="H683" s="48" t="e">
        <f t="shared" si="32"/>
        <v>#N/A</v>
      </c>
      <c r="I683" s="48" t="e">
        <f t="shared" si="33"/>
        <v>#N/A</v>
      </c>
      <c r="J683" s="49" t="e">
        <f t="shared" si="34"/>
        <v>#N/A</v>
      </c>
    </row>
    <row r="684" spans="1:12" ht="19" customHeight="1">
      <c r="A684" s="62"/>
      <c r="E684" s="90"/>
      <c r="G684" s="48" t="e">
        <f>VLOOKUP(D684,단가!B:D,3,0)</f>
        <v>#N/A</v>
      </c>
      <c r="H684" s="48" t="e">
        <f t="shared" si="32"/>
        <v>#N/A</v>
      </c>
      <c r="I684" s="48" t="e">
        <f t="shared" si="33"/>
        <v>#N/A</v>
      </c>
      <c r="J684" s="49" t="e">
        <f t="shared" si="34"/>
        <v>#N/A</v>
      </c>
    </row>
    <row r="685" spans="1:12" ht="19" customHeight="1">
      <c r="A685" s="62"/>
      <c r="E685" s="90"/>
      <c r="G685" s="48" t="e">
        <f>VLOOKUP(D685,단가!B:D,3,0)</f>
        <v>#N/A</v>
      </c>
      <c r="H685" s="48" t="e">
        <f t="shared" si="32"/>
        <v>#N/A</v>
      </c>
      <c r="I685" s="48" t="e">
        <f t="shared" si="33"/>
        <v>#N/A</v>
      </c>
      <c r="J685" s="49" t="e">
        <f t="shared" si="34"/>
        <v>#N/A</v>
      </c>
    </row>
    <row r="686" spans="1:12" ht="19" customHeight="1">
      <c r="A686" s="62"/>
      <c r="E686" s="90"/>
      <c r="G686" s="48" t="e">
        <f>VLOOKUP(D686,단가!B:D,3,0)</f>
        <v>#N/A</v>
      </c>
      <c r="H686" s="48" t="e">
        <f t="shared" si="32"/>
        <v>#N/A</v>
      </c>
      <c r="I686" s="48" t="e">
        <f t="shared" si="33"/>
        <v>#N/A</v>
      </c>
      <c r="J686" s="49" t="e">
        <f t="shared" si="34"/>
        <v>#N/A</v>
      </c>
      <c r="L686" s="56"/>
    </row>
    <row r="687" spans="1:12" ht="19" customHeight="1">
      <c r="A687" s="62"/>
      <c r="E687" s="90"/>
      <c r="G687" s="48" t="e">
        <f>VLOOKUP(D687,단가!B:D,3,0)</f>
        <v>#N/A</v>
      </c>
      <c r="H687" s="48" t="e">
        <f t="shared" si="32"/>
        <v>#N/A</v>
      </c>
      <c r="I687" s="48" t="e">
        <f t="shared" si="33"/>
        <v>#N/A</v>
      </c>
      <c r="J687" s="49" t="e">
        <f t="shared" si="34"/>
        <v>#N/A</v>
      </c>
    </row>
    <row r="688" spans="1:12" ht="19" customHeight="1">
      <c r="A688" s="62"/>
      <c r="D688" s="90"/>
      <c r="E688" s="90"/>
      <c r="G688" s="48" t="e">
        <f>VLOOKUP(D688,단가!B:D,3,0)</f>
        <v>#N/A</v>
      </c>
      <c r="H688" s="48" t="e">
        <f t="shared" si="32"/>
        <v>#N/A</v>
      </c>
      <c r="I688" s="48" t="e">
        <f t="shared" si="33"/>
        <v>#N/A</v>
      </c>
      <c r="J688" s="49" t="e">
        <f t="shared" si="34"/>
        <v>#N/A</v>
      </c>
      <c r="L688" s="56"/>
    </row>
    <row r="689" spans="1:12" ht="19" customHeight="1">
      <c r="A689" s="62"/>
      <c r="G689" s="48" t="e">
        <f>VLOOKUP(D689,단가!B:D,3,0)</f>
        <v>#N/A</v>
      </c>
      <c r="H689" s="48" t="e">
        <f t="shared" si="32"/>
        <v>#N/A</v>
      </c>
      <c r="I689" s="48" t="e">
        <f t="shared" si="33"/>
        <v>#N/A</v>
      </c>
      <c r="J689" s="49" t="e">
        <f t="shared" si="34"/>
        <v>#N/A</v>
      </c>
    </row>
    <row r="690" spans="1:12" ht="19" customHeight="1">
      <c r="A690" s="62"/>
      <c r="G690" s="48" t="e">
        <f>VLOOKUP(D690,단가!B:D,3,0)</f>
        <v>#N/A</v>
      </c>
      <c r="H690" s="48" t="e">
        <f t="shared" si="32"/>
        <v>#N/A</v>
      </c>
      <c r="I690" s="48" t="e">
        <f t="shared" si="33"/>
        <v>#N/A</v>
      </c>
      <c r="J690" s="49" t="e">
        <f t="shared" si="34"/>
        <v>#N/A</v>
      </c>
    </row>
    <row r="691" spans="1:12" ht="19" customHeight="1">
      <c r="A691" s="62"/>
      <c r="E691" s="90"/>
      <c r="G691" s="48" t="e">
        <f>VLOOKUP(D691,단가!B:D,3,0)</f>
        <v>#N/A</v>
      </c>
      <c r="H691" s="48" t="e">
        <f t="shared" si="32"/>
        <v>#N/A</v>
      </c>
      <c r="I691" s="48" t="e">
        <f t="shared" si="33"/>
        <v>#N/A</v>
      </c>
      <c r="J691" s="49" t="e">
        <f t="shared" si="34"/>
        <v>#N/A</v>
      </c>
    </row>
    <row r="692" spans="1:12" ht="19" customHeight="1">
      <c r="E692" s="90"/>
      <c r="G692" s="48" t="e">
        <f>VLOOKUP(D692,단가!B:D,3,0)</f>
        <v>#N/A</v>
      </c>
      <c r="H692" s="48" t="e">
        <f t="shared" si="32"/>
        <v>#N/A</v>
      </c>
      <c r="I692" s="48" t="e">
        <f t="shared" si="33"/>
        <v>#N/A</v>
      </c>
      <c r="J692" s="49" t="e">
        <f t="shared" si="34"/>
        <v>#N/A</v>
      </c>
    </row>
    <row r="693" spans="1:12" ht="19" customHeight="1">
      <c r="E693" s="90"/>
      <c r="G693" s="48" t="e">
        <f>VLOOKUP(D693,단가!B:D,3,0)</f>
        <v>#N/A</v>
      </c>
      <c r="H693" s="48" t="e">
        <f t="shared" si="32"/>
        <v>#N/A</v>
      </c>
      <c r="I693" s="48" t="e">
        <f t="shared" si="33"/>
        <v>#N/A</v>
      </c>
      <c r="J693" s="49" t="e">
        <f t="shared" si="34"/>
        <v>#N/A</v>
      </c>
    </row>
    <row r="694" spans="1:12" ht="19" customHeight="1">
      <c r="E694" s="90"/>
      <c r="G694" s="48" t="e">
        <f>VLOOKUP(D694,단가!B:D,3,0)</f>
        <v>#N/A</v>
      </c>
      <c r="H694" s="48" t="e">
        <f t="shared" si="32"/>
        <v>#N/A</v>
      </c>
      <c r="I694" s="48" t="e">
        <f t="shared" si="33"/>
        <v>#N/A</v>
      </c>
      <c r="J694" s="49" t="e">
        <f t="shared" si="34"/>
        <v>#N/A</v>
      </c>
    </row>
    <row r="695" spans="1:12" ht="19" customHeight="1">
      <c r="E695" s="90"/>
      <c r="G695" s="48" t="e">
        <f>VLOOKUP(D695,단가!B:D,3,0)</f>
        <v>#N/A</v>
      </c>
      <c r="H695" s="48" t="e">
        <f t="shared" si="32"/>
        <v>#N/A</v>
      </c>
      <c r="I695" s="48" t="e">
        <f t="shared" si="33"/>
        <v>#N/A</v>
      </c>
      <c r="J695" s="49" t="e">
        <f t="shared" si="34"/>
        <v>#N/A</v>
      </c>
    </row>
    <row r="696" spans="1:12" ht="19" customHeight="1">
      <c r="E696" s="90"/>
      <c r="G696" s="48" t="e">
        <f>VLOOKUP(D696,단가!B:D,3,0)</f>
        <v>#N/A</v>
      </c>
      <c r="H696" s="48" t="e">
        <f t="shared" si="32"/>
        <v>#N/A</v>
      </c>
      <c r="I696" s="48" t="e">
        <f t="shared" si="33"/>
        <v>#N/A</v>
      </c>
      <c r="J696" s="49" t="e">
        <f t="shared" si="34"/>
        <v>#N/A</v>
      </c>
    </row>
    <row r="697" spans="1:12" ht="19" customHeight="1">
      <c r="E697" s="90"/>
      <c r="G697" s="48" t="e">
        <f>VLOOKUP(D697,단가!B:D,3,0)</f>
        <v>#N/A</v>
      </c>
      <c r="H697" s="48" t="e">
        <f t="shared" si="32"/>
        <v>#N/A</v>
      </c>
      <c r="I697" s="48" t="e">
        <f t="shared" si="33"/>
        <v>#N/A</v>
      </c>
      <c r="J697" s="49" t="e">
        <f t="shared" si="34"/>
        <v>#N/A</v>
      </c>
    </row>
    <row r="698" spans="1:12" ht="19" customHeight="1">
      <c r="E698" s="90"/>
      <c r="G698" s="48" t="e">
        <f>VLOOKUP(D698,단가!B:D,3,0)</f>
        <v>#N/A</v>
      </c>
      <c r="H698" s="48" t="e">
        <f t="shared" si="32"/>
        <v>#N/A</v>
      </c>
      <c r="I698" s="48" t="e">
        <f t="shared" si="33"/>
        <v>#N/A</v>
      </c>
      <c r="J698" s="49" t="e">
        <f t="shared" si="34"/>
        <v>#N/A</v>
      </c>
    </row>
    <row r="699" spans="1:12" ht="19" customHeight="1">
      <c r="E699" s="90"/>
      <c r="G699" s="48" t="e">
        <f>VLOOKUP(D699,단가!B:D,3,0)</f>
        <v>#N/A</v>
      </c>
      <c r="H699" s="48" t="e">
        <f t="shared" si="32"/>
        <v>#N/A</v>
      </c>
      <c r="I699" s="48" t="e">
        <f t="shared" si="33"/>
        <v>#N/A</v>
      </c>
      <c r="J699" s="49" t="e">
        <f t="shared" si="34"/>
        <v>#N/A</v>
      </c>
      <c r="L699" s="56"/>
    </row>
    <row r="700" spans="1:12" ht="19" customHeight="1">
      <c r="A700" s="62"/>
      <c r="D700" s="90"/>
      <c r="E700" s="90"/>
      <c r="G700" s="48" t="e">
        <f>VLOOKUP(D700,단가!B:D,3,0)</f>
        <v>#N/A</v>
      </c>
      <c r="H700" s="48" t="e">
        <f t="shared" si="32"/>
        <v>#N/A</v>
      </c>
      <c r="J700" s="49" t="e">
        <f t="shared" si="34"/>
        <v>#N/A</v>
      </c>
    </row>
    <row r="701" spans="1:12" ht="19" customHeight="1">
      <c r="A701" s="62"/>
      <c r="G701" s="48" t="e">
        <f>VLOOKUP(D701,단가!B:D,3,0)</f>
        <v>#N/A</v>
      </c>
      <c r="H701" s="48" t="e">
        <f t="shared" si="32"/>
        <v>#N/A</v>
      </c>
      <c r="I701" s="48" t="e">
        <f t="shared" si="33"/>
        <v>#N/A</v>
      </c>
      <c r="J701" s="49" t="e">
        <f t="shared" si="34"/>
        <v>#N/A</v>
      </c>
    </row>
    <row r="702" spans="1:12" ht="19" customHeight="1">
      <c r="A702" s="62"/>
      <c r="D702" s="90"/>
      <c r="E702" s="90"/>
      <c r="G702" s="48" t="e">
        <f>VLOOKUP(D702,단가!B:D,3,0)</f>
        <v>#N/A</v>
      </c>
      <c r="H702" s="48" t="e">
        <f t="shared" si="32"/>
        <v>#N/A</v>
      </c>
      <c r="I702" s="48" t="e">
        <f t="shared" si="33"/>
        <v>#N/A</v>
      </c>
      <c r="J702" s="49" t="e">
        <f t="shared" si="34"/>
        <v>#N/A</v>
      </c>
    </row>
    <row r="703" spans="1:12" ht="19" customHeight="1">
      <c r="A703" s="62"/>
      <c r="D703" s="90"/>
      <c r="E703" s="90"/>
      <c r="G703" s="48" t="e">
        <f>VLOOKUP(D703,단가!B:D,3,0)</f>
        <v>#N/A</v>
      </c>
      <c r="H703" s="48" t="e">
        <f t="shared" si="32"/>
        <v>#N/A</v>
      </c>
      <c r="I703" s="48" t="e">
        <f t="shared" si="33"/>
        <v>#N/A</v>
      </c>
      <c r="J703" s="49" t="e">
        <f t="shared" si="34"/>
        <v>#N/A</v>
      </c>
    </row>
    <row r="704" spans="1:12" ht="19" customHeight="1">
      <c r="A704" s="62"/>
      <c r="D704" s="90"/>
      <c r="E704" s="90"/>
      <c r="G704" s="48" t="e">
        <f>VLOOKUP(D704,단가!B:D,3,0)</f>
        <v>#N/A</v>
      </c>
      <c r="H704" s="48" t="e">
        <f t="shared" si="32"/>
        <v>#N/A</v>
      </c>
      <c r="I704" s="48" t="e">
        <f t="shared" si="33"/>
        <v>#N/A</v>
      </c>
      <c r="J704" s="49" t="e">
        <f t="shared" si="34"/>
        <v>#N/A</v>
      </c>
    </row>
    <row r="705" spans="1:10" ht="19" customHeight="1">
      <c r="A705" s="62"/>
      <c r="D705" s="90"/>
      <c r="E705" s="90"/>
      <c r="G705" s="48" t="e">
        <f>VLOOKUP(D705,단가!B:D,3,0)</f>
        <v>#N/A</v>
      </c>
      <c r="H705" s="48" t="e">
        <f t="shared" si="32"/>
        <v>#N/A</v>
      </c>
      <c r="I705" s="48" t="e">
        <f t="shared" si="33"/>
        <v>#N/A</v>
      </c>
      <c r="J705" s="49" t="e">
        <f t="shared" si="34"/>
        <v>#N/A</v>
      </c>
    </row>
    <row r="706" spans="1:10" ht="19" customHeight="1">
      <c r="A706" s="62"/>
      <c r="D706" s="90"/>
      <c r="E706" s="90"/>
      <c r="G706" s="48" t="e">
        <f>VLOOKUP(D706,단가!B:D,3,0)</f>
        <v>#N/A</v>
      </c>
      <c r="H706" s="48" t="e">
        <f t="shared" ref="H706:H769" si="36">F706*G706</f>
        <v>#N/A</v>
      </c>
      <c r="I706" s="48" t="e">
        <f t="shared" si="33"/>
        <v>#N/A</v>
      </c>
      <c r="J706" s="49" t="e">
        <f t="shared" si="34"/>
        <v>#N/A</v>
      </c>
    </row>
    <row r="707" spans="1:10" ht="19" customHeight="1">
      <c r="A707" s="62"/>
      <c r="D707" s="90"/>
      <c r="E707" s="90"/>
      <c r="G707" s="48" t="e">
        <f>VLOOKUP(D707,단가!B:D,3,0)</f>
        <v>#N/A</v>
      </c>
      <c r="H707" s="48" t="e">
        <f t="shared" si="36"/>
        <v>#N/A</v>
      </c>
      <c r="I707" s="48" t="e">
        <f t="shared" si="33"/>
        <v>#N/A</v>
      </c>
      <c r="J707" s="49" t="e">
        <f t="shared" si="34"/>
        <v>#N/A</v>
      </c>
    </row>
    <row r="708" spans="1:10" ht="19" customHeight="1">
      <c r="A708" s="62"/>
      <c r="D708" s="90"/>
      <c r="E708" s="90"/>
      <c r="G708" s="48" t="e">
        <f>VLOOKUP(D708,단가!B:D,3,0)</f>
        <v>#N/A</v>
      </c>
      <c r="H708" s="48" t="e">
        <f t="shared" si="36"/>
        <v>#N/A</v>
      </c>
      <c r="I708" s="48" t="e">
        <f t="shared" si="33"/>
        <v>#N/A</v>
      </c>
      <c r="J708" s="49" t="e">
        <f t="shared" si="34"/>
        <v>#N/A</v>
      </c>
    </row>
    <row r="709" spans="1:10" ht="19" customHeight="1">
      <c r="A709" s="62"/>
      <c r="D709" s="90"/>
      <c r="E709" s="90"/>
      <c r="G709" s="48" t="e">
        <f>VLOOKUP(D709,단가!B:D,3,0)</f>
        <v>#N/A</v>
      </c>
      <c r="H709" s="48" t="e">
        <f t="shared" si="36"/>
        <v>#N/A</v>
      </c>
      <c r="I709" s="48" t="e">
        <f t="shared" si="33"/>
        <v>#N/A</v>
      </c>
      <c r="J709" s="49" t="e">
        <f t="shared" si="34"/>
        <v>#N/A</v>
      </c>
    </row>
    <row r="710" spans="1:10" ht="19" customHeight="1">
      <c r="A710" s="62"/>
      <c r="D710" s="90"/>
      <c r="E710" s="90"/>
      <c r="G710" s="48" t="e">
        <f>VLOOKUP(D710,단가!B:D,3,0)</f>
        <v>#N/A</v>
      </c>
      <c r="H710" s="48" t="e">
        <f t="shared" si="36"/>
        <v>#N/A</v>
      </c>
      <c r="I710" s="48" t="e">
        <f t="shared" si="33"/>
        <v>#N/A</v>
      </c>
      <c r="J710" s="49" t="e">
        <f t="shared" si="34"/>
        <v>#N/A</v>
      </c>
    </row>
    <row r="711" spans="1:10" ht="19" customHeight="1">
      <c r="A711" s="62"/>
      <c r="D711" s="90"/>
      <c r="E711" s="90"/>
      <c r="G711" s="48" t="e">
        <f>VLOOKUP(D711,단가!B:D,3,0)</f>
        <v>#N/A</v>
      </c>
      <c r="H711" s="48" t="e">
        <f t="shared" si="36"/>
        <v>#N/A</v>
      </c>
      <c r="I711" s="48" t="e">
        <f t="shared" si="33"/>
        <v>#N/A</v>
      </c>
      <c r="J711" s="49" t="e">
        <f t="shared" si="34"/>
        <v>#N/A</v>
      </c>
    </row>
    <row r="712" spans="1:10" ht="19" customHeight="1">
      <c r="A712" s="62"/>
      <c r="D712" s="90"/>
      <c r="E712" s="90"/>
      <c r="G712" s="48" t="e">
        <f>VLOOKUP(D712,단가!B:D,3,0)</f>
        <v>#N/A</v>
      </c>
      <c r="H712" s="48" t="e">
        <f t="shared" si="36"/>
        <v>#N/A</v>
      </c>
      <c r="I712" s="48" t="e">
        <f t="shared" si="33"/>
        <v>#N/A</v>
      </c>
      <c r="J712" s="49" t="e">
        <f t="shared" si="34"/>
        <v>#N/A</v>
      </c>
    </row>
    <row r="713" spans="1:10" ht="19" customHeight="1">
      <c r="A713" s="62"/>
      <c r="D713" s="90"/>
      <c r="E713" s="90"/>
      <c r="G713" s="48" t="e">
        <f>VLOOKUP(D713,단가!B:D,3,0)</f>
        <v>#N/A</v>
      </c>
      <c r="H713" s="48" t="e">
        <f t="shared" si="36"/>
        <v>#N/A</v>
      </c>
      <c r="I713" s="48" t="e">
        <f t="shared" si="33"/>
        <v>#N/A</v>
      </c>
      <c r="J713" s="49" t="e">
        <f t="shared" si="34"/>
        <v>#N/A</v>
      </c>
    </row>
    <row r="714" spans="1:10" ht="19" customHeight="1">
      <c r="A714" s="62"/>
      <c r="D714" s="90"/>
      <c r="E714" s="90"/>
      <c r="G714" s="48" t="e">
        <f>VLOOKUP(D714,단가!B:D,3,0)</f>
        <v>#N/A</v>
      </c>
      <c r="H714" s="48" t="e">
        <f t="shared" si="36"/>
        <v>#N/A</v>
      </c>
      <c r="I714" s="48" t="e">
        <f t="shared" si="33"/>
        <v>#N/A</v>
      </c>
      <c r="J714" s="49" t="e">
        <f t="shared" si="34"/>
        <v>#N/A</v>
      </c>
    </row>
    <row r="715" spans="1:10" ht="19" customHeight="1">
      <c r="A715" s="62"/>
      <c r="E715" s="90"/>
      <c r="G715" s="48" t="e">
        <f>VLOOKUP(D715,단가!B:D,3,0)</f>
        <v>#N/A</v>
      </c>
      <c r="H715" s="48" t="e">
        <f t="shared" si="36"/>
        <v>#N/A</v>
      </c>
      <c r="I715" s="48" t="e">
        <f t="shared" si="33"/>
        <v>#N/A</v>
      </c>
      <c r="J715" s="49" t="e">
        <f t="shared" si="34"/>
        <v>#N/A</v>
      </c>
    </row>
    <row r="716" spans="1:10" ht="19" customHeight="1">
      <c r="A716" s="62"/>
      <c r="E716" s="90"/>
      <c r="G716" s="48" t="e">
        <f>VLOOKUP(D716,단가!B:D,3,0)</f>
        <v>#N/A</v>
      </c>
      <c r="H716" s="48" t="e">
        <f t="shared" si="36"/>
        <v>#N/A</v>
      </c>
      <c r="I716" s="48" t="e">
        <f t="shared" si="33"/>
        <v>#N/A</v>
      </c>
      <c r="J716" s="49" t="e">
        <f t="shared" si="34"/>
        <v>#N/A</v>
      </c>
    </row>
    <row r="717" spans="1:10" ht="19" customHeight="1">
      <c r="A717" s="62"/>
      <c r="E717" s="90"/>
      <c r="G717" s="48" t="e">
        <f>VLOOKUP(D717,단가!B:D,3,0)</f>
        <v>#N/A</v>
      </c>
      <c r="H717" s="48" t="e">
        <f t="shared" si="36"/>
        <v>#N/A</v>
      </c>
      <c r="I717" s="48" t="e">
        <f t="shared" si="33"/>
        <v>#N/A</v>
      </c>
      <c r="J717" s="49" t="e">
        <f t="shared" si="34"/>
        <v>#N/A</v>
      </c>
    </row>
    <row r="718" spans="1:10" ht="19" customHeight="1">
      <c r="A718" s="62"/>
      <c r="E718" s="90"/>
      <c r="G718" s="48" t="e">
        <f>VLOOKUP(D718,단가!B:D,3,0)</f>
        <v>#N/A</v>
      </c>
      <c r="H718" s="48" t="e">
        <f t="shared" si="36"/>
        <v>#N/A</v>
      </c>
      <c r="I718" s="48" t="e">
        <f t="shared" si="33"/>
        <v>#N/A</v>
      </c>
      <c r="J718" s="49" t="e">
        <f t="shared" si="34"/>
        <v>#N/A</v>
      </c>
    </row>
    <row r="719" spans="1:10" ht="19" customHeight="1">
      <c r="A719" s="62"/>
      <c r="E719" s="90"/>
      <c r="G719" s="48" t="e">
        <f>VLOOKUP(D719,단가!B:D,3,0)</f>
        <v>#N/A</v>
      </c>
      <c r="H719" s="48" t="e">
        <f t="shared" si="36"/>
        <v>#N/A</v>
      </c>
      <c r="I719" s="48" t="e">
        <f t="shared" si="33"/>
        <v>#N/A</v>
      </c>
      <c r="J719" s="49" t="e">
        <f t="shared" si="34"/>
        <v>#N/A</v>
      </c>
    </row>
    <row r="720" spans="1:10" ht="19" customHeight="1">
      <c r="A720" s="62"/>
      <c r="E720" s="90"/>
      <c r="G720" s="48" t="e">
        <f>VLOOKUP(D720,단가!B:D,3,0)</f>
        <v>#N/A</v>
      </c>
      <c r="H720" s="48" t="e">
        <f t="shared" si="36"/>
        <v>#N/A</v>
      </c>
      <c r="I720" s="48" t="e">
        <f t="shared" si="33"/>
        <v>#N/A</v>
      </c>
      <c r="J720" s="49" t="e">
        <f t="shared" si="34"/>
        <v>#N/A</v>
      </c>
    </row>
    <row r="721" spans="1:10" ht="19" customHeight="1">
      <c r="A721" s="62"/>
      <c r="D721" s="90"/>
      <c r="E721" s="90"/>
      <c r="G721" s="48" t="e">
        <f>VLOOKUP(D721,단가!B:D,3,0)</f>
        <v>#N/A</v>
      </c>
      <c r="H721" s="48" t="e">
        <f t="shared" si="36"/>
        <v>#N/A</v>
      </c>
      <c r="I721" s="48" t="e">
        <f t="shared" si="33"/>
        <v>#N/A</v>
      </c>
      <c r="J721" s="49" t="e">
        <f t="shared" si="34"/>
        <v>#N/A</v>
      </c>
    </row>
    <row r="722" spans="1:10" ht="18.5" customHeight="1">
      <c r="A722" s="62"/>
      <c r="D722" s="90"/>
      <c r="E722" s="90"/>
      <c r="G722" s="48" t="e">
        <f>VLOOKUP(D722,단가!B:D,3,0)</f>
        <v>#N/A</v>
      </c>
      <c r="H722" s="48" t="e">
        <f t="shared" si="36"/>
        <v>#N/A</v>
      </c>
      <c r="I722" s="48" t="e">
        <f t="shared" si="33"/>
        <v>#N/A</v>
      </c>
      <c r="J722" s="49" t="e">
        <f t="shared" si="34"/>
        <v>#N/A</v>
      </c>
    </row>
    <row r="723" spans="1:10" ht="19" customHeight="1">
      <c r="A723" s="62"/>
      <c r="E723" s="90"/>
      <c r="G723" s="48" t="e">
        <f>VLOOKUP(D723,단가!B:D,3,0)</f>
        <v>#N/A</v>
      </c>
      <c r="H723" s="48" t="e">
        <f t="shared" si="36"/>
        <v>#N/A</v>
      </c>
      <c r="I723" s="48" t="e">
        <f t="shared" si="33"/>
        <v>#N/A</v>
      </c>
      <c r="J723" s="49" t="e">
        <f t="shared" si="34"/>
        <v>#N/A</v>
      </c>
    </row>
    <row r="724" spans="1:10" ht="19" customHeight="1">
      <c r="A724" s="62"/>
      <c r="E724" s="90"/>
      <c r="G724" s="48" t="e">
        <f>VLOOKUP(D724,단가!B:D,3,0)</f>
        <v>#N/A</v>
      </c>
      <c r="H724" s="48" t="e">
        <f t="shared" si="36"/>
        <v>#N/A</v>
      </c>
      <c r="I724" s="48" t="e">
        <f t="shared" si="33"/>
        <v>#N/A</v>
      </c>
      <c r="J724" s="49" t="e">
        <f t="shared" si="34"/>
        <v>#N/A</v>
      </c>
    </row>
    <row r="725" spans="1:10" ht="19" customHeight="1">
      <c r="A725" s="62"/>
      <c r="E725" s="90"/>
      <c r="G725" s="48" t="e">
        <f>VLOOKUP(D725,단가!B:D,3,0)</f>
        <v>#N/A</v>
      </c>
      <c r="H725" s="48" t="e">
        <f t="shared" si="36"/>
        <v>#N/A</v>
      </c>
      <c r="I725" s="48" t="e">
        <f t="shared" si="33"/>
        <v>#N/A</v>
      </c>
      <c r="J725" s="49" t="e">
        <f t="shared" si="34"/>
        <v>#N/A</v>
      </c>
    </row>
    <row r="726" spans="1:10" ht="19" customHeight="1">
      <c r="A726" s="62"/>
      <c r="E726" s="90"/>
      <c r="G726" s="48" t="e">
        <f>VLOOKUP(D726,단가!B:D,3,0)</f>
        <v>#N/A</v>
      </c>
      <c r="H726" s="48" t="e">
        <f t="shared" si="36"/>
        <v>#N/A</v>
      </c>
      <c r="I726" s="48" t="e">
        <f t="shared" si="33"/>
        <v>#N/A</v>
      </c>
      <c r="J726" s="49" t="e">
        <f t="shared" si="34"/>
        <v>#N/A</v>
      </c>
    </row>
    <row r="727" spans="1:10" ht="19" customHeight="1">
      <c r="A727" s="62"/>
      <c r="E727" s="90"/>
      <c r="G727" s="48" t="e">
        <f>VLOOKUP(D727,단가!B:D,3,0)</f>
        <v>#N/A</v>
      </c>
      <c r="H727" s="48" t="e">
        <f t="shared" si="36"/>
        <v>#N/A</v>
      </c>
      <c r="I727" s="48" t="e">
        <f t="shared" si="33"/>
        <v>#N/A</v>
      </c>
      <c r="J727" s="49" t="e">
        <f t="shared" si="34"/>
        <v>#N/A</v>
      </c>
    </row>
    <row r="728" spans="1:10" ht="19" customHeight="1">
      <c r="A728" s="62"/>
      <c r="E728" s="90"/>
      <c r="G728" s="48" t="e">
        <f>VLOOKUP(D728,단가!B:D,3,0)</f>
        <v>#N/A</v>
      </c>
      <c r="H728" s="48" t="e">
        <f t="shared" si="36"/>
        <v>#N/A</v>
      </c>
      <c r="I728" s="48" t="e">
        <f t="shared" ref="I728:I791" si="37">H728*0.1</f>
        <v>#N/A</v>
      </c>
      <c r="J728" s="49" t="e">
        <f t="shared" ref="J728:J791" si="38">H728+I728</f>
        <v>#N/A</v>
      </c>
    </row>
    <row r="729" spans="1:10" ht="19" customHeight="1">
      <c r="A729" s="62"/>
      <c r="D729" s="90"/>
      <c r="E729" s="90"/>
      <c r="G729" s="48" t="e">
        <f>VLOOKUP(D729,단가!B:D,3,0)</f>
        <v>#N/A</v>
      </c>
      <c r="H729" s="48" t="e">
        <f t="shared" si="36"/>
        <v>#N/A</v>
      </c>
      <c r="I729" s="48" t="e">
        <f t="shared" si="37"/>
        <v>#N/A</v>
      </c>
      <c r="J729" s="49" t="e">
        <f t="shared" si="38"/>
        <v>#N/A</v>
      </c>
    </row>
    <row r="730" spans="1:10" ht="19" customHeight="1">
      <c r="A730" s="62"/>
      <c r="E730" s="90"/>
      <c r="G730" s="48" t="e">
        <f>VLOOKUP(D730,단가!B:D,3,0)</f>
        <v>#N/A</v>
      </c>
      <c r="H730" s="48" t="e">
        <f t="shared" si="36"/>
        <v>#N/A</v>
      </c>
      <c r="I730" s="48" t="e">
        <f t="shared" si="37"/>
        <v>#N/A</v>
      </c>
      <c r="J730" s="49" t="e">
        <f t="shared" si="38"/>
        <v>#N/A</v>
      </c>
    </row>
    <row r="731" spans="1:10" ht="19" customHeight="1">
      <c r="A731" s="62"/>
      <c r="E731" s="90"/>
      <c r="G731" s="48" t="e">
        <f>VLOOKUP(D731,단가!B:D,3,0)</f>
        <v>#N/A</v>
      </c>
      <c r="H731" s="48" t="e">
        <f t="shared" si="36"/>
        <v>#N/A</v>
      </c>
      <c r="I731" s="48" t="e">
        <f t="shared" si="37"/>
        <v>#N/A</v>
      </c>
      <c r="J731" s="49" t="e">
        <f t="shared" si="38"/>
        <v>#N/A</v>
      </c>
    </row>
    <row r="732" spans="1:10" ht="19" customHeight="1">
      <c r="A732" s="62"/>
      <c r="E732" s="90"/>
      <c r="G732" s="48" t="e">
        <f>VLOOKUP(D732,단가!B:D,3,0)</f>
        <v>#N/A</v>
      </c>
      <c r="H732" s="48" t="e">
        <f t="shared" si="36"/>
        <v>#N/A</v>
      </c>
      <c r="I732" s="48" t="e">
        <f t="shared" si="37"/>
        <v>#N/A</v>
      </c>
      <c r="J732" s="49" t="e">
        <f t="shared" si="38"/>
        <v>#N/A</v>
      </c>
    </row>
    <row r="733" spans="1:10" ht="19" customHeight="1">
      <c r="A733" s="62"/>
      <c r="E733" s="90"/>
      <c r="G733" s="48" t="e">
        <f>VLOOKUP(D733,단가!B:D,3,0)</f>
        <v>#N/A</v>
      </c>
      <c r="H733" s="48" t="e">
        <f t="shared" si="36"/>
        <v>#N/A</v>
      </c>
      <c r="I733" s="48" t="e">
        <f t="shared" si="37"/>
        <v>#N/A</v>
      </c>
      <c r="J733" s="49" t="e">
        <f t="shared" si="38"/>
        <v>#N/A</v>
      </c>
    </row>
    <row r="734" spans="1:10" ht="19" customHeight="1">
      <c r="A734" s="62"/>
      <c r="E734" s="90"/>
      <c r="G734" s="48" t="e">
        <f>VLOOKUP(D734,단가!B:D,3,0)</f>
        <v>#N/A</v>
      </c>
      <c r="H734" s="48" t="e">
        <f t="shared" si="36"/>
        <v>#N/A</v>
      </c>
      <c r="I734" s="48" t="e">
        <f t="shared" si="37"/>
        <v>#N/A</v>
      </c>
      <c r="J734" s="49" t="e">
        <f t="shared" si="38"/>
        <v>#N/A</v>
      </c>
    </row>
    <row r="735" spans="1:10" ht="19" customHeight="1">
      <c r="A735" s="62"/>
      <c r="E735" s="90"/>
      <c r="G735" s="48" t="e">
        <f>VLOOKUP(D735,단가!B:D,3,0)</f>
        <v>#N/A</v>
      </c>
      <c r="H735" s="48" t="e">
        <f t="shared" si="36"/>
        <v>#N/A</v>
      </c>
      <c r="I735" s="48" t="e">
        <f t="shared" si="37"/>
        <v>#N/A</v>
      </c>
      <c r="J735" s="49" t="e">
        <f t="shared" si="38"/>
        <v>#N/A</v>
      </c>
    </row>
    <row r="736" spans="1:10" ht="19" customHeight="1">
      <c r="A736" s="62"/>
      <c r="E736" s="90"/>
      <c r="G736" s="48" t="e">
        <f>VLOOKUP(D736,단가!B:D,3,0)</f>
        <v>#N/A</v>
      </c>
      <c r="H736" s="48" t="e">
        <f t="shared" si="36"/>
        <v>#N/A</v>
      </c>
      <c r="I736" s="48" t="e">
        <f t="shared" si="37"/>
        <v>#N/A</v>
      </c>
      <c r="J736" s="49" t="e">
        <f t="shared" si="38"/>
        <v>#N/A</v>
      </c>
    </row>
    <row r="737" spans="1:10" ht="19" customHeight="1">
      <c r="A737" s="62"/>
      <c r="E737" s="90"/>
      <c r="G737" s="48" t="e">
        <f>VLOOKUP(D737,단가!B:D,3,0)</f>
        <v>#N/A</v>
      </c>
      <c r="H737" s="48" t="e">
        <f t="shared" si="36"/>
        <v>#N/A</v>
      </c>
      <c r="I737" s="48" t="e">
        <f t="shared" si="37"/>
        <v>#N/A</v>
      </c>
      <c r="J737" s="49" t="e">
        <f t="shared" si="38"/>
        <v>#N/A</v>
      </c>
    </row>
    <row r="738" spans="1:10" ht="19" customHeight="1">
      <c r="A738" s="62"/>
      <c r="E738" s="90"/>
      <c r="G738" s="48" t="e">
        <f>VLOOKUP(D738,단가!B:D,3,0)</f>
        <v>#N/A</v>
      </c>
      <c r="H738" s="48" t="e">
        <f t="shared" si="36"/>
        <v>#N/A</v>
      </c>
      <c r="I738" s="48" t="e">
        <f t="shared" si="37"/>
        <v>#N/A</v>
      </c>
      <c r="J738" s="49" t="e">
        <f t="shared" si="38"/>
        <v>#N/A</v>
      </c>
    </row>
    <row r="739" spans="1:10" ht="19" customHeight="1">
      <c r="A739" s="62"/>
      <c r="E739" s="90"/>
      <c r="G739" s="48" t="e">
        <f>VLOOKUP(D739,단가!B:D,3,0)</f>
        <v>#N/A</v>
      </c>
      <c r="H739" s="48" t="e">
        <f t="shared" si="36"/>
        <v>#N/A</v>
      </c>
      <c r="I739" s="48" t="e">
        <f t="shared" si="37"/>
        <v>#N/A</v>
      </c>
      <c r="J739" s="49" t="e">
        <f t="shared" si="38"/>
        <v>#N/A</v>
      </c>
    </row>
    <row r="740" spans="1:10" ht="19" customHeight="1">
      <c r="A740" s="62"/>
      <c r="D740" s="90"/>
      <c r="E740" s="90"/>
      <c r="G740" s="48" t="e">
        <f>VLOOKUP(D740,단가!B:D,3,0)</f>
        <v>#N/A</v>
      </c>
      <c r="H740" s="48" t="e">
        <f t="shared" si="36"/>
        <v>#N/A</v>
      </c>
      <c r="J740" s="49" t="e">
        <f t="shared" si="38"/>
        <v>#N/A</v>
      </c>
    </row>
    <row r="741" spans="1:10" ht="19" customHeight="1">
      <c r="A741" s="62"/>
      <c r="G741" s="48" t="e">
        <f>VLOOKUP(D741,단가!B:D,3,0)</f>
        <v>#N/A</v>
      </c>
      <c r="H741" s="48" t="e">
        <f t="shared" si="36"/>
        <v>#N/A</v>
      </c>
      <c r="I741" s="48" t="e">
        <f t="shared" si="37"/>
        <v>#N/A</v>
      </c>
      <c r="J741" s="49" t="e">
        <f t="shared" si="38"/>
        <v>#N/A</v>
      </c>
    </row>
    <row r="742" spans="1:10" ht="19" customHeight="1">
      <c r="A742" s="62"/>
      <c r="D742" s="90"/>
      <c r="E742" s="90"/>
      <c r="G742" s="48" t="e">
        <f>VLOOKUP(D742,단가!B:D,3,0)</f>
        <v>#N/A</v>
      </c>
      <c r="H742" s="48" t="e">
        <f t="shared" si="36"/>
        <v>#N/A</v>
      </c>
      <c r="I742" s="48" t="e">
        <f t="shared" si="37"/>
        <v>#N/A</v>
      </c>
      <c r="J742" s="49" t="e">
        <f t="shared" si="38"/>
        <v>#N/A</v>
      </c>
    </row>
    <row r="743" spans="1:10" ht="19" customHeight="1">
      <c r="A743" s="62"/>
      <c r="G743" s="48" t="e">
        <f>VLOOKUP(D743,단가!B:D,3,0)</f>
        <v>#N/A</v>
      </c>
      <c r="H743" s="48" t="e">
        <f t="shared" si="36"/>
        <v>#N/A</v>
      </c>
      <c r="I743" s="48" t="e">
        <f t="shared" si="37"/>
        <v>#N/A</v>
      </c>
      <c r="J743" s="49" t="e">
        <f t="shared" si="38"/>
        <v>#N/A</v>
      </c>
    </row>
    <row r="744" spans="1:10" ht="19" customHeight="1">
      <c r="A744" s="62"/>
      <c r="G744" s="48" t="e">
        <f>VLOOKUP(D744,단가!B:D,3,0)</f>
        <v>#N/A</v>
      </c>
      <c r="H744" s="48" t="e">
        <f t="shared" si="36"/>
        <v>#N/A</v>
      </c>
      <c r="I744" s="48" t="e">
        <f t="shared" si="37"/>
        <v>#N/A</v>
      </c>
      <c r="J744" s="49" t="e">
        <f t="shared" si="38"/>
        <v>#N/A</v>
      </c>
    </row>
    <row r="745" spans="1:10" ht="19" customHeight="1">
      <c r="A745" s="62"/>
      <c r="G745" s="48" t="e">
        <f>VLOOKUP(D745,단가!B:D,3,0)</f>
        <v>#N/A</v>
      </c>
      <c r="H745" s="48" t="e">
        <f t="shared" si="36"/>
        <v>#N/A</v>
      </c>
      <c r="I745" s="48" t="e">
        <f t="shared" si="37"/>
        <v>#N/A</v>
      </c>
      <c r="J745" s="49" t="e">
        <f t="shared" si="38"/>
        <v>#N/A</v>
      </c>
    </row>
    <row r="746" spans="1:10" ht="19" customHeight="1">
      <c r="A746" s="62"/>
      <c r="G746" s="48" t="e">
        <f>VLOOKUP(D746,단가!B:D,3,0)</f>
        <v>#N/A</v>
      </c>
      <c r="H746" s="48" t="e">
        <f t="shared" si="36"/>
        <v>#N/A</v>
      </c>
      <c r="I746" s="48" t="e">
        <f t="shared" si="37"/>
        <v>#N/A</v>
      </c>
      <c r="J746" s="49" t="e">
        <f t="shared" si="38"/>
        <v>#N/A</v>
      </c>
    </row>
    <row r="747" spans="1:10" ht="19" customHeight="1">
      <c r="A747" s="62"/>
      <c r="G747" s="48" t="e">
        <f>VLOOKUP(D747,단가!B:D,3,0)</f>
        <v>#N/A</v>
      </c>
      <c r="H747" s="48" t="e">
        <f t="shared" si="36"/>
        <v>#N/A</v>
      </c>
      <c r="I747" s="48" t="e">
        <f t="shared" si="37"/>
        <v>#N/A</v>
      </c>
      <c r="J747" s="49" t="e">
        <f t="shared" si="38"/>
        <v>#N/A</v>
      </c>
    </row>
    <row r="748" spans="1:10" ht="19" customHeight="1">
      <c r="A748" s="62"/>
      <c r="G748" s="48" t="e">
        <f>VLOOKUP(D748,단가!B:D,3,0)</f>
        <v>#N/A</v>
      </c>
      <c r="H748" s="48" t="e">
        <f t="shared" si="36"/>
        <v>#N/A</v>
      </c>
      <c r="I748" s="48" t="e">
        <f t="shared" si="37"/>
        <v>#N/A</v>
      </c>
      <c r="J748" s="49" t="e">
        <f t="shared" si="38"/>
        <v>#N/A</v>
      </c>
    </row>
    <row r="749" spans="1:10" ht="19" customHeight="1">
      <c r="A749" s="62"/>
      <c r="G749" s="48" t="e">
        <f>VLOOKUP(D749,단가!B:D,3,0)</f>
        <v>#N/A</v>
      </c>
      <c r="H749" s="48" t="e">
        <f t="shared" si="36"/>
        <v>#N/A</v>
      </c>
      <c r="I749" s="48" t="e">
        <f t="shared" si="37"/>
        <v>#N/A</v>
      </c>
      <c r="J749" s="49" t="e">
        <f t="shared" si="38"/>
        <v>#N/A</v>
      </c>
    </row>
    <row r="750" spans="1:10" ht="19" customHeight="1">
      <c r="A750" s="62"/>
      <c r="G750" s="48" t="e">
        <f>VLOOKUP(D750,단가!B:D,3,0)</f>
        <v>#N/A</v>
      </c>
      <c r="H750" s="48" t="e">
        <f t="shared" si="36"/>
        <v>#N/A</v>
      </c>
      <c r="I750" s="48" t="e">
        <f t="shared" si="37"/>
        <v>#N/A</v>
      </c>
      <c r="J750" s="49" t="e">
        <f t="shared" si="38"/>
        <v>#N/A</v>
      </c>
    </row>
    <row r="751" spans="1:10" ht="19" customHeight="1">
      <c r="A751" s="62"/>
      <c r="G751" s="48" t="e">
        <f>VLOOKUP(D751,단가!B:D,3,0)</f>
        <v>#N/A</v>
      </c>
      <c r="H751" s="48" t="e">
        <f t="shared" si="36"/>
        <v>#N/A</v>
      </c>
      <c r="I751" s="48" t="e">
        <f t="shared" si="37"/>
        <v>#N/A</v>
      </c>
      <c r="J751" s="49" t="e">
        <f t="shared" si="38"/>
        <v>#N/A</v>
      </c>
    </row>
    <row r="752" spans="1:10" ht="19" customHeight="1">
      <c r="A752" s="62"/>
      <c r="G752" s="48" t="e">
        <f>VLOOKUP(D752,단가!B:D,3,0)</f>
        <v>#N/A</v>
      </c>
      <c r="H752" s="48" t="e">
        <f t="shared" si="36"/>
        <v>#N/A</v>
      </c>
      <c r="I752" s="48" t="e">
        <f t="shared" si="37"/>
        <v>#N/A</v>
      </c>
      <c r="J752" s="49" t="e">
        <f t="shared" si="38"/>
        <v>#N/A</v>
      </c>
    </row>
    <row r="753" spans="1:10" ht="19" customHeight="1">
      <c r="A753" s="62"/>
      <c r="G753" s="48" t="e">
        <f>VLOOKUP(D753,단가!B:D,3,0)</f>
        <v>#N/A</v>
      </c>
      <c r="H753" s="48" t="e">
        <f t="shared" si="36"/>
        <v>#N/A</v>
      </c>
      <c r="I753" s="48" t="e">
        <f t="shared" si="37"/>
        <v>#N/A</v>
      </c>
      <c r="J753" s="49" t="e">
        <f t="shared" si="38"/>
        <v>#N/A</v>
      </c>
    </row>
    <row r="754" spans="1:10" ht="19" customHeight="1">
      <c r="A754" s="62"/>
      <c r="G754" s="48" t="e">
        <f>VLOOKUP(D754,단가!B:D,3,0)</f>
        <v>#N/A</v>
      </c>
      <c r="H754" s="48" t="e">
        <f t="shared" si="36"/>
        <v>#N/A</v>
      </c>
      <c r="I754" s="48" t="e">
        <f t="shared" si="37"/>
        <v>#N/A</v>
      </c>
      <c r="J754" s="49" t="e">
        <f t="shared" si="38"/>
        <v>#N/A</v>
      </c>
    </row>
    <row r="755" spans="1:10" ht="19" customHeight="1">
      <c r="A755" s="62"/>
      <c r="F755" s="79"/>
      <c r="G755" s="79" t="e">
        <f>VLOOKUP(D755,단가!B:D,3,0)</f>
        <v>#N/A</v>
      </c>
      <c r="H755" s="79" t="e">
        <f t="shared" si="36"/>
        <v>#N/A</v>
      </c>
      <c r="I755" s="79" t="e">
        <f t="shared" si="37"/>
        <v>#N/A</v>
      </c>
      <c r="J755" s="49" t="e">
        <f t="shared" si="38"/>
        <v>#N/A</v>
      </c>
    </row>
    <row r="756" spans="1:10" ht="19" customHeight="1">
      <c r="A756" s="62"/>
      <c r="F756" s="79"/>
      <c r="G756" s="79" t="e">
        <f>VLOOKUP(D756,단가!B:D,3,0)</f>
        <v>#N/A</v>
      </c>
      <c r="H756" s="79" t="e">
        <f t="shared" si="36"/>
        <v>#N/A</v>
      </c>
      <c r="I756" s="79" t="e">
        <f t="shared" si="37"/>
        <v>#N/A</v>
      </c>
      <c r="J756" s="49" t="e">
        <f t="shared" si="38"/>
        <v>#N/A</v>
      </c>
    </row>
    <row r="757" spans="1:10" ht="19" customHeight="1">
      <c r="A757" s="62"/>
      <c r="F757" s="79"/>
      <c r="G757" s="79" t="e">
        <f>VLOOKUP(D757,단가!B:D,3,0)</f>
        <v>#N/A</v>
      </c>
      <c r="H757" s="79" t="e">
        <f t="shared" si="36"/>
        <v>#N/A</v>
      </c>
      <c r="I757" s="79" t="e">
        <f t="shared" si="37"/>
        <v>#N/A</v>
      </c>
      <c r="J757" s="49" t="e">
        <f t="shared" si="38"/>
        <v>#N/A</v>
      </c>
    </row>
    <row r="758" spans="1:10" ht="19" customHeight="1">
      <c r="A758" s="62"/>
      <c r="F758" s="79"/>
      <c r="G758" s="79" t="e">
        <f>VLOOKUP(D758,단가!B:D,3,0)</f>
        <v>#N/A</v>
      </c>
      <c r="H758" s="79" t="e">
        <f t="shared" si="36"/>
        <v>#N/A</v>
      </c>
      <c r="I758" s="79" t="e">
        <f t="shared" si="37"/>
        <v>#N/A</v>
      </c>
      <c r="J758" s="49" t="e">
        <f t="shared" si="38"/>
        <v>#N/A</v>
      </c>
    </row>
    <row r="759" spans="1:10" ht="19" customHeight="1">
      <c r="A759" s="62"/>
      <c r="F759" s="79"/>
      <c r="G759" s="79" t="e">
        <f>VLOOKUP(D759,단가!B:D,3,0)</f>
        <v>#N/A</v>
      </c>
      <c r="H759" s="79" t="e">
        <f t="shared" si="36"/>
        <v>#N/A</v>
      </c>
      <c r="I759" s="79" t="e">
        <f t="shared" si="37"/>
        <v>#N/A</v>
      </c>
      <c r="J759" s="49" t="e">
        <f t="shared" si="38"/>
        <v>#N/A</v>
      </c>
    </row>
    <row r="760" spans="1:10" ht="19" customHeight="1">
      <c r="A760" s="62"/>
      <c r="G760" s="48" t="e">
        <f>VLOOKUP(D760,단가!B:D,3,0)</f>
        <v>#N/A</v>
      </c>
      <c r="H760" s="48" t="e">
        <f t="shared" si="36"/>
        <v>#N/A</v>
      </c>
      <c r="I760" s="48" t="e">
        <f t="shared" si="37"/>
        <v>#N/A</v>
      </c>
      <c r="J760" s="49" t="e">
        <f t="shared" si="38"/>
        <v>#N/A</v>
      </c>
    </row>
    <row r="761" spans="1:10" ht="19" customHeight="1">
      <c r="A761" s="62"/>
      <c r="G761" s="48" t="e">
        <f>VLOOKUP(D761,단가!B:D,3,0)</f>
        <v>#N/A</v>
      </c>
      <c r="H761" s="48" t="e">
        <f t="shared" si="36"/>
        <v>#N/A</v>
      </c>
      <c r="I761" s="48" t="e">
        <f t="shared" si="37"/>
        <v>#N/A</v>
      </c>
      <c r="J761" s="49" t="e">
        <f t="shared" si="38"/>
        <v>#N/A</v>
      </c>
    </row>
    <row r="762" spans="1:10" ht="19" customHeight="1">
      <c r="A762" s="62"/>
      <c r="D762" s="90"/>
      <c r="G762" s="48" t="e">
        <f>VLOOKUP(D762,단가!B:D,3,0)</f>
        <v>#N/A</v>
      </c>
      <c r="H762" s="48" t="e">
        <f t="shared" si="36"/>
        <v>#N/A</v>
      </c>
      <c r="J762" s="49" t="e">
        <f t="shared" si="38"/>
        <v>#N/A</v>
      </c>
    </row>
    <row r="763" spans="1:10" ht="19" customHeight="1">
      <c r="A763" s="62"/>
      <c r="D763" s="90"/>
      <c r="G763" s="48" t="e">
        <f>VLOOKUP(D763,단가!B:D,3,0)</f>
        <v>#N/A</v>
      </c>
      <c r="H763" s="48" t="e">
        <f t="shared" si="36"/>
        <v>#N/A</v>
      </c>
      <c r="I763" s="48" t="e">
        <f t="shared" si="37"/>
        <v>#N/A</v>
      </c>
      <c r="J763" s="49" t="e">
        <f t="shared" si="38"/>
        <v>#N/A</v>
      </c>
    </row>
    <row r="764" spans="1:10" ht="19" customHeight="1">
      <c r="A764" s="62"/>
      <c r="G764" s="48" t="e">
        <f>VLOOKUP(D764,단가!B:D,3,0)</f>
        <v>#N/A</v>
      </c>
      <c r="H764" s="48" t="e">
        <f t="shared" si="36"/>
        <v>#N/A</v>
      </c>
      <c r="I764" s="48" t="e">
        <f t="shared" si="37"/>
        <v>#N/A</v>
      </c>
      <c r="J764" s="49" t="e">
        <f t="shared" si="38"/>
        <v>#N/A</v>
      </c>
    </row>
    <row r="765" spans="1:10" ht="19" customHeight="1">
      <c r="A765" s="62"/>
      <c r="G765" s="48" t="e">
        <f>VLOOKUP(D765,단가!B:D,3,0)</f>
        <v>#N/A</v>
      </c>
      <c r="H765" s="48" t="e">
        <f t="shared" si="36"/>
        <v>#N/A</v>
      </c>
      <c r="I765" s="48" t="e">
        <f t="shared" si="37"/>
        <v>#N/A</v>
      </c>
      <c r="J765" s="49" t="e">
        <f t="shared" si="38"/>
        <v>#N/A</v>
      </c>
    </row>
    <row r="766" spans="1:10" ht="19" customHeight="1">
      <c r="A766" s="62"/>
      <c r="G766" s="48" t="e">
        <f>VLOOKUP(D766,단가!B:D,3,0)</f>
        <v>#N/A</v>
      </c>
      <c r="H766" s="48" t="e">
        <f t="shared" si="36"/>
        <v>#N/A</v>
      </c>
      <c r="I766" s="48" t="e">
        <f t="shared" si="37"/>
        <v>#N/A</v>
      </c>
      <c r="J766" s="49" t="e">
        <f t="shared" si="38"/>
        <v>#N/A</v>
      </c>
    </row>
    <row r="767" spans="1:10" ht="19" customHeight="1">
      <c r="A767" s="62"/>
      <c r="G767" s="48" t="e">
        <f>VLOOKUP(D767,단가!B:D,3,0)</f>
        <v>#N/A</v>
      </c>
      <c r="H767" s="48" t="e">
        <f t="shared" si="36"/>
        <v>#N/A</v>
      </c>
      <c r="I767" s="48" t="e">
        <f t="shared" si="37"/>
        <v>#N/A</v>
      </c>
      <c r="J767" s="49" t="e">
        <f t="shared" si="38"/>
        <v>#N/A</v>
      </c>
    </row>
    <row r="768" spans="1:10" ht="19" customHeight="1">
      <c r="A768" s="62"/>
      <c r="G768" s="48" t="e">
        <f>VLOOKUP(D768,단가!B:D,3,0)</f>
        <v>#N/A</v>
      </c>
      <c r="H768" s="48" t="e">
        <f t="shared" si="36"/>
        <v>#N/A</v>
      </c>
      <c r="I768" s="48" t="e">
        <f t="shared" si="37"/>
        <v>#N/A</v>
      </c>
      <c r="J768" s="49" t="e">
        <f t="shared" si="38"/>
        <v>#N/A</v>
      </c>
    </row>
    <row r="769" spans="1:10" ht="19" customHeight="1">
      <c r="A769" s="62"/>
      <c r="G769" s="48" t="e">
        <f>VLOOKUP(D769,단가!B:D,3,0)</f>
        <v>#N/A</v>
      </c>
      <c r="H769" s="48" t="e">
        <f t="shared" si="36"/>
        <v>#N/A</v>
      </c>
      <c r="I769" s="48" t="e">
        <f t="shared" si="37"/>
        <v>#N/A</v>
      </c>
      <c r="J769" s="49" t="e">
        <f t="shared" si="38"/>
        <v>#N/A</v>
      </c>
    </row>
    <row r="770" spans="1:10" ht="19" customHeight="1">
      <c r="A770" s="62"/>
      <c r="G770" s="48" t="e">
        <f>VLOOKUP(D770,단가!B:D,3,0)</f>
        <v>#N/A</v>
      </c>
      <c r="H770" s="48" t="e">
        <f t="shared" ref="H770:H830" si="39">F770*G770</f>
        <v>#N/A</v>
      </c>
      <c r="I770" s="48" t="e">
        <f t="shared" si="37"/>
        <v>#N/A</v>
      </c>
      <c r="J770" s="49" t="e">
        <f t="shared" si="38"/>
        <v>#N/A</v>
      </c>
    </row>
    <row r="771" spans="1:10" ht="19" customHeight="1">
      <c r="A771" s="62"/>
      <c r="G771" s="48" t="e">
        <f>VLOOKUP(D771,단가!B:D,3,0)</f>
        <v>#N/A</v>
      </c>
      <c r="H771" s="48" t="e">
        <f t="shared" si="39"/>
        <v>#N/A</v>
      </c>
      <c r="I771" s="48" t="e">
        <f t="shared" si="37"/>
        <v>#N/A</v>
      </c>
      <c r="J771" s="49" t="e">
        <f t="shared" si="38"/>
        <v>#N/A</v>
      </c>
    </row>
    <row r="772" spans="1:10" ht="19" customHeight="1">
      <c r="A772" s="62"/>
      <c r="G772" s="48" t="e">
        <f>VLOOKUP(D772,단가!B:D,3,0)</f>
        <v>#N/A</v>
      </c>
      <c r="H772" s="48" t="e">
        <f t="shared" si="39"/>
        <v>#N/A</v>
      </c>
      <c r="I772" s="48" t="e">
        <f t="shared" si="37"/>
        <v>#N/A</v>
      </c>
      <c r="J772" s="49" t="e">
        <f t="shared" si="38"/>
        <v>#N/A</v>
      </c>
    </row>
    <row r="773" spans="1:10" ht="19" customHeight="1">
      <c r="A773" s="62"/>
      <c r="G773" s="48" t="e">
        <f>VLOOKUP(D773,단가!B:D,3,0)</f>
        <v>#N/A</v>
      </c>
      <c r="H773" s="48" t="e">
        <f t="shared" si="39"/>
        <v>#N/A</v>
      </c>
      <c r="I773" s="48" t="e">
        <f t="shared" si="37"/>
        <v>#N/A</v>
      </c>
      <c r="J773" s="49" t="e">
        <f t="shared" si="38"/>
        <v>#N/A</v>
      </c>
    </row>
    <row r="774" spans="1:10" ht="19" customHeight="1">
      <c r="A774" s="62"/>
      <c r="G774" s="48" t="e">
        <f>VLOOKUP(D774,단가!B:D,3,0)</f>
        <v>#N/A</v>
      </c>
      <c r="H774" s="48" t="e">
        <f t="shared" si="39"/>
        <v>#N/A</v>
      </c>
      <c r="I774" s="48" t="e">
        <f t="shared" si="37"/>
        <v>#N/A</v>
      </c>
      <c r="J774" s="49" t="e">
        <f t="shared" si="38"/>
        <v>#N/A</v>
      </c>
    </row>
    <row r="775" spans="1:10" ht="19" customHeight="1">
      <c r="A775" s="62"/>
      <c r="G775" s="48" t="e">
        <f>VLOOKUP(D775,단가!B:D,3,0)</f>
        <v>#N/A</v>
      </c>
      <c r="H775" s="48" t="e">
        <f t="shared" si="39"/>
        <v>#N/A</v>
      </c>
      <c r="I775" s="48" t="e">
        <f t="shared" si="37"/>
        <v>#N/A</v>
      </c>
      <c r="J775" s="49" t="e">
        <f t="shared" si="38"/>
        <v>#N/A</v>
      </c>
    </row>
    <row r="776" spans="1:10" ht="19" customHeight="1">
      <c r="A776" s="62"/>
      <c r="G776" s="48" t="e">
        <f>VLOOKUP(D776,단가!B:D,3,0)</f>
        <v>#N/A</v>
      </c>
      <c r="H776" s="48" t="e">
        <f t="shared" si="39"/>
        <v>#N/A</v>
      </c>
      <c r="I776" s="48" t="e">
        <f t="shared" si="37"/>
        <v>#N/A</v>
      </c>
      <c r="J776" s="49" t="e">
        <f t="shared" si="38"/>
        <v>#N/A</v>
      </c>
    </row>
    <row r="777" spans="1:10" ht="19" customHeight="1">
      <c r="A777" s="62"/>
      <c r="G777" s="48" t="e">
        <f>VLOOKUP(D777,단가!B:D,3,0)</f>
        <v>#N/A</v>
      </c>
      <c r="H777" s="48" t="e">
        <f t="shared" si="39"/>
        <v>#N/A</v>
      </c>
      <c r="I777" s="48" t="e">
        <f t="shared" si="37"/>
        <v>#N/A</v>
      </c>
      <c r="J777" s="49" t="e">
        <f t="shared" si="38"/>
        <v>#N/A</v>
      </c>
    </row>
    <row r="778" spans="1:10" ht="19" customHeight="1">
      <c r="A778" s="62"/>
      <c r="G778" s="48" t="e">
        <f>VLOOKUP(D778,단가!B:D,3,0)</f>
        <v>#N/A</v>
      </c>
      <c r="H778" s="48" t="e">
        <f t="shared" si="39"/>
        <v>#N/A</v>
      </c>
      <c r="I778" s="48" t="e">
        <f t="shared" si="37"/>
        <v>#N/A</v>
      </c>
      <c r="J778" s="49" t="e">
        <f t="shared" si="38"/>
        <v>#N/A</v>
      </c>
    </row>
    <row r="779" spans="1:10" ht="19" customHeight="1">
      <c r="A779" s="62"/>
      <c r="G779" s="48" t="e">
        <f>VLOOKUP(D779,단가!B:D,3,0)</f>
        <v>#N/A</v>
      </c>
      <c r="H779" s="48" t="e">
        <f t="shared" si="39"/>
        <v>#N/A</v>
      </c>
      <c r="I779" s="48" t="e">
        <f t="shared" si="37"/>
        <v>#N/A</v>
      </c>
      <c r="J779" s="49" t="e">
        <f t="shared" si="38"/>
        <v>#N/A</v>
      </c>
    </row>
    <row r="780" spans="1:10" ht="19" customHeight="1">
      <c r="A780" s="62"/>
      <c r="G780" s="48" t="e">
        <f>VLOOKUP(D780,단가!B:D,3,0)</f>
        <v>#N/A</v>
      </c>
      <c r="H780" s="48" t="e">
        <f t="shared" si="39"/>
        <v>#N/A</v>
      </c>
      <c r="I780" s="48" t="e">
        <f t="shared" si="37"/>
        <v>#N/A</v>
      </c>
      <c r="J780" s="49" t="e">
        <f t="shared" si="38"/>
        <v>#N/A</v>
      </c>
    </row>
    <row r="781" spans="1:10" ht="19" customHeight="1">
      <c r="A781" s="62"/>
      <c r="G781" s="48" t="e">
        <f>VLOOKUP(D781,단가!B:D,3,0)</f>
        <v>#N/A</v>
      </c>
      <c r="H781" s="48" t="e">
        <f t="shared" si="39"/>
        <v>#N/A</v>
      </c>
      <c r="I781" s="48" t="e">
        <f t="shared" si="37"/>
        <v>#N/A</v>
      </c>
      <c r="J781" s="49" t="e">
        <f t="shared" si="38"/>
        <v>#N/A</v>
      </c>
    </row>
    <row r="782" spans="1:10" ht="19" customHeight="1">
      <c r="A782" s="62"/>
      <c r="G782" s="48" t="e">
        <f>VLOOKUP(D782,단가!B:D,3,0)</f>
        <v>#N/A</v>
      </c>
      <c r="H782" s="48" t="e">
        <f t="shared" si="39"/>
        <v>#N/A</v>
      </c>
      <c r="I782" s="48" t="e">
        <f t="shared" si="37"/>
        <v>#N/A</v>
      </c>
      <c r="J782" s="49" t="e">
        <f t="shared" si="38"/>
        <v>#N/A</v>
      </c>
    </row>
    <row r="783" spans="1:10" ht="19" customHeight="1">
      <c r="A783" s="62"/>
      <c r="G783" s="48" t="e">
        <f>VLOOKUP(D783,단가!B:D,3,0)</f>
        <v>#N/A</v>
      </c>
      <c r="H783" s="48" t="e">
        <f t="shared" si="39"/>
        <v>#N/A</v>
      </c>
      <c r="I783" s="48" t="e">
        <f t="shared" si="37"/>
        <v>#N/A</v>
      </c>
      <c r="J783" s="49" t="e">
        <f t="shared" si="38"/>
        <v>#N/A</v>
      </c>
    </row>
    <row r="784" spans="1:10" ht="19" customHeight="1">
      <c r="A784" s="62"/>
      <c r="D784" s="90"/>
      <c r="G784" s="48" t="e">
        <f>VLOOKUP(D784,단가!B:D,3,0)</f>
        <v>#N/A</v>
      </c>
      <c r="H784" s="48" t="e">
        <f t="shared" si="39"/>
        <v>#N/A</v>
      </c>
      <c r="I784" s="48" t="e">
        <f t="shared" si="37"/>
        <v>#N/A</v>
      </c>
      <c r="J784" s="49" t="e">
        <f t="shared" si="38"/>
        <v>#N/A</v>
      </c>
    </row>
    <row r="785" spans="1:10" ht="19" customHeight="1">
      <c r="A785" s="62"/>
      <c r="G785" s="48" t="e">
        <f>VLOOKUP(D785,단가!B:D,3,0)</f>
        <v>#N/A</v>
      </c>
      <c r="H785" s="48" t="e">
        <f t="shared" si="39"/>
        <v>#N/A</v>
      </c>
      <c r="I785" s="48" t="e">
        <f t="shared" si="37"/>
        <v>#N/A</v>
      </c>
      <c r="J785" s="49" t="e">
        <f t="shared" si="38"/>
        <v>#N/A</v>
      </c>
    </row>
    <row r="786" spans="1:10" ht="19" customHeight="1">
      <c r="A786" s="62"/>
      <c r="G786" s="48" t="e">
        <f>VLOOKUP(D786,단가!B:D,3,0)</f>
        <v>#N/A</v>
      </c>
      <c r="H786" s="48" t="e">
        <f t="shared" si="39"/>
        <v>#N/A</v>
      </c>
      <c r="I786" s="48" t="e">
        <f t="shared" si="37"/>
        <v>#N/A</v>
      </c>
      <c r="J786" s="49" t="e">
        <f t="shared" si="38"/>
        <v>#N/A</v>
      </c>
    </row>
    <row r="787" spans="1:10" ht="19" customHeight="1">
      <c r="A787" s="62"/>
      <c r="G787" s="48" t="e">
        <f>VLOOKUP(D787,단가!B:D,3,0)</f>
        <v>#N/A</v>
      </c>
      <c r="H787" s="48" t="e">
        <f t="shared" si="39"/>
        <v>#N/A</v>
      </c>
      <c r="I787" s="48" t="e">
        <f t="shared" si="37"/>
        <v>#N/A</v>
      </c>
      <c r="J787" s="49" t="e">
        <f t="shared" si="38"/>
        <v>#N/A</v>
      </c>
    </row>
    <row r="788" spans="1:10" ht="19" customHeight="1">
      <c r="A788" s="62"/>
      <c r="G788" s="48" t="e">
        <f>VLOOKUP(D788,단가!B:D,3,0)</f>
        <v>#N/A</v>
      </c>
      <c r="H788" s="48" t="e">
        <f t="shared" si="39"/>
        <v>#N/A</v>
      </c>
      <c r="I788" s="48" t="e">
        <f t="shared" si="37"/>
        <v>#N/A</v>
      </c>
      <c r="J788" s="49" t="e">
        <f t="shared" si="38"/>
        <v>#N/A</v>
      </c>
    </row>
    <row r="789" spans="1:10" ht="19" customHeight="1">
      <c r="A789" s="62"/>
      <c r="G789" s="48" t="e">
        <f>VLOOKUP(D789,단가!B:D,3,0)</f>
        <v>#N/A</v>
      </c>
      <c r="H789" s="48" t="e">
        <f t="shared" si="39"/>
        <v>#N/A</v>
      </c>
      <c r="I789" s="48" t="e">
        <f t="shared" si="37"/>
        <v>#N/A</v>
      </c>
      <c r="J789" s="49" t="e">
        <f t="shared" si="38"/>
        <v>#N/A</v>
      </c>
    </row>
    <row r="790" spans="1:10" ht="19" customHeight="1">
      <c r="A790" s="62"/>
      <c r="G790" s="48" t="e">
        <f>VLOOKUP(D790,단가!B:D,3,0)</f>
        <v>#N/A</v>
      </c>
      <c r="H790" s="48" t="e">
        <f t="shared" si="39"/>
        <v>#N/A</v>
      </c>
      <c r="I790" s="48" t="e">
        <f t="shared" si="37"/>
        <v>#N/A</v>
      </c>
      <c r="J790" s="49" t="e">
        <f t="shared" si="38"/>
        <v>#N/A</v>
      </c>
    </row>
    <row r="791" spans="1:10" ht="19" customHeight="1">
      <c r="A791" s="62"/>
      <c r="G791" s="48" t="e">
        <f>VLOOKUP(D791,단가!B:D,3,0)</f>
        <v>#N/A</v>
      </c>
      <c r="H791" s="48" t="e">
        <f t="shared" si="39"/>
        <v>#N/A</v>
      </c>
      <c r="I791" s="48" t="e">
        <f t="shared" si="37"/>
        <v>#N/A</v>
      </c>
      <c r="J791" s="49" t="e">
        <f t="shared" si="38"/>
        <v>#N/A</v>
      </c>
    </row>
    <row r="792" spans="1:10" ht="19" customHeight="1">
      <c r="A792" s="62"/>
      <c r="G792" s="48" t="e">
        <f>VLOOKUP(D792,단가!B:D,3,0)</f>
        <v>#N/A</v>
      </c>
      <c r="H792" s="48" t="e">
        <f t="shared" si="39"/>
        <v>#N/A</v>
      </c>
      <c r="I792" s="48" t="e">
        <f t="shared" ref="I792:I830" si="40">H792*0.1</f>
        <v>#N/A</v>
      </c>
      <c r="J792" s="49" t="e">
        <f t="shared" ref="J792:J830" si="41">H792+I792</f>
        <v>#N/A</v>
      </c>
    </row>
    <row r="793" spans="1:10" ht="19" customHeight="1">
      <c r="A793" s="62"/>
      <c r="G793" s="48" t="e">
        <f>VLOOKUP(D793,단가!B:D,3,0)</f>
        <v>#N/A</v>
      </c>
      <c r="H793" s="48" t="e">
        <f t="shared" si="39"/>
        <v>#N/A</v>
      </c>
      <c r="I793" s="48" t="e">
        <f t="shared" si="40"/>
        <v>#N/A</v>
      </c>
      <c r="J793" s="49" t="e">
        <f t="shared" si="41"/>
        <v>#N/A</v>
      </c>
    </row>
    <row r="794" spans="1:10" ht="19" customHeight="1">
      <c r="G794" s="48" t="e">
        <f>VLOOKUP(D794,단가!B:D,3,0)</f>
        <v>#N/A</v>
      </c>
      <c r="H794" s="48" t="e">
        <f t="shared" si="39"/>
        <v>#N/A</v>
      </c>
      <c r="I794" s="48" t="e">
        <f t="shared" si="40"/>
        <v>#N/A</v>
      </c>
      <c r="J794" s="49" t="e">
        <f t="shared" si="41"/>
        <v>#N/A</v>
      </c>
    </row>
    <row r="795" spans="1:10" ht="19" customHeight="1">
      <c r="G795" s="48" t="e">
        <f>VLOOKUP(D795,단가!B:D,3,0)</f>
        <v>#N/A</v>
      </c>
      <c r="H795" s="48" t="e">
        <f t="shared" si="39"/>
        <v>#N/A</v>
      </c>
      <c r="I795" s="48" t="e">
        <f t="shared" si="40"/>
        <v>#N/A</v>
      </c>
      <c r="J795" s="49" t="e">
        <f t="shared" si="41"/>
        <v>#N/A</v>
      </c>
    </row>
    <row r="796" spans="1:10" ht="19" customHeight="1">
      <c r="G796" s="48" t="e">
        <f>VLOOKUP(D796,단가!B:D,3,0)</f>
        <v>#N/A</v>
      </c>
      <c r="H796" s="48" t="e">
        <f t="shared" si="39"/>
        <v>#N/A</v>
      </c>
      <c r="I796" s="48" t="e">
        <f t="shared" si="40"/>
        <v>#N/A</v>
      </c>
      <c r="J796" s="49" t="e">
        <f t="shared" si="41"/>
        <v>#N/A</v>
      </c>
    </row>
    <row r="797" spans="1:10" ht="19" customHeight="1">
      <c r="G797" s="48" t="e">
        <f>VLOOKUP(D797,단가!B:D,3,0)</f>
        <v>#N/A</v>
      </c>
      <c r="H797" s="48" t="e">
        <f t="shared" si="39"/>
        <v>#N/A</v>
      </c>
      <c r="I797" s="48" t="e">
        <f t="shared" si="40"/>
        <v>#N/A</v>
      </c>
      <c r="J797" s="49" t="e">
        <f t="shared" si="41"/>
        <v>#N/A</v>
      </c>
    </row>
    <row r="798" spans="1:10" ht="19" customHeight="1">
      <c r="G798" s="48" t="e">
        <f>VLOOKUP(D798,단가!B:D,3,0)</f>
        <v>#N/A</v>
      </c>
      <c r="H798" s="48" t="e">
        <f t="shared" si="39"/>
        <v>#N/A</v>
      </c>
      <c r="I798" s="48" t="e">
        <f t="shared" si="40"/>
        <v>#N/A</v>
      </c>
      <c r="J798" s="49" t="e">
        <f t="shared" si="41"/>
        <v>#N/A</v>
      </c>
    </row>
    <row r="799" spans="1:10" ht="19" customHeight="1">
      <c r="G799" s="48" t="e">
        <f>VLOOKUP(D799,단가!B:D,3,0)</f>
        <v>#N/A</v>
      </c>
      <c r="H799" s="48" t="e">
        <f t="shared" si="39"/>
        <v>#N/A</v>
      </c>
      <c r="I799" s="48" t="e">
        <f t="shared" si="40"/>
        <v>#N/A</v>
      </c>
      <c r="J799" s="49" t="e">
        <f t="shared" si="41"/>
        <v>#N/A</v>
      </c>
    </row>
    <row r="800" spans="1:10" ht="19" customHeight="1">
      <c r="G800" s="48" t="e">
        <f>VLOOKUP(D800,단가!B:D,3,0)</f>
        <v>#N/A</v>
      </c>
      <c r="H800" s="48" t="e">
        <f t="shared" si="39"/>
        <v>#N/A</v>
      </c>
      <c r="I800" s="48" t="e">
        <f t="shared" si="40"/>
        <v>#N/A</v>
      </c>
      <c r="J800" s="49" t="e">
        <f t="shared" si="41"/>
        <v>#N/A</v>
      </c>
    </row>
    <row r="801" spans="7:13" ht="19" customHeight="1">
      <c r="G801" s="48" t="e">
        <f>VLOOKUP(D801,단가!B:D,3,0)</f>
        <v>#N/A</v>
      </c>
      <c r="H801" s="48" t="e">
        <f t="shared" si="39"/>
        <v>#N/A</v>
      </c>
      <c r="I801" s="48" t="e">
        <f t="shared" si="40"/>
        <v>#N/A</v>
      </c>
      <c r="J801" s="49" t="e">
        <f t="shared" si="41"/>
        <v>#N/A</v>
      </c>
      <c r="L801" s="73"/>
      <c r="M801" s="73"/>
    </row>
    <row r="802" spans="7:13" ht="19" customHeight="1">
      <c r="G802" s="48" t="e">
        <f>VLOOKUP(D802,단가!B:D,3,0)</f>
        <v>#N/A</v>
      </c>
      <c r="H802" s="48" t="e">
        <f t="shared" si="39"/>
        <v>#N/A</v>
      </c>
      <c r="I802" s="48" t="e">
        <f t="shared" si="40"/>
        <v>#N/A</v>
      </c>
      <c r="J802" s="49" t="e">
        <f t="shared" si="41"/>
        <v>#N/A</v>
      </c>
      <c r="L802" s="73"/>
      <c r="M802" s="73"/>
    </row>
    <row r="803" spans="7:13" ht="19" customHeight="1">
      <c r="G803" s="48" t="e">
        <f>VLOOKUP(D803,단가!B:D,3,0)</f>
        <v>#N/A</v>
      </c>
      <c r="H803" s="48" t="e">
        <f t="shared" si="39"/>
        <v>#N/A</v>
      </c>
      <c r="I803" s="48" t="e">
        <f t="shared" si="40"/>
        <v>#N/A</v>
      </c>
      <c r="J803" s="49" t="e">
        <f t="shared" si="41"/>
        <v>#N/A</v>
      </c>
    </row>
    <row r="804" spans="7:13" ht="19" customHeight="1">
      <c r="G804" s="48" t="e">
        <f>VLOOKUP(D804,단가!B:D,3,0)</f>
        <v>#N/A</v>
      </c>
      <c r="H804" s="48" t="e">
        <f t="shared" si="39"/>
        <v>#N/A</v>
      </c>
      <c r="I804" s="48" t="e">
        <f t="shared" si="40"/>
        <v>#N/A</v>
      </c>
      <c r="J804" s="49" t="e">
        <f t="shared" si="41"/>
        <v>#N/A</v>
      </c>
    </row>
    <row r="805" spans="7:13" ht="19" customHeight="1">
      <c r="G805" s="48" t="e">
        <f>VLOOKUP(D805,단가!B:D,3,0)</f>
        <v>#N/A</v>
      </c>
      <c r="H805" s="48" t="e">
        <f t="shared" si="39"/>
        <v>#N/A</v>
      </c>
      <c r="I805" s="48" t="e">
        <f t="shared" si="40"/>
        <v>#N/A</v>
      </c>
      <c r="J805" s="49" t="e">
        <f t="shared" si="41"/>
        <v>#N/A</v>
      </c>
    </row>
    <row r="806" spans="7:13" ht="19" customHeight="1">
      <c r="G806" s="48" t="e">
        <f>VLOOKUP(D806,단가!B:D,3,0)</f>
        <v>#N/A</v>
      </c>
      <c r="H806" s="48" t="e">
        <f t="shared" si="39"/>
        <v>#N/A</v>
      </c>
      <c r="I806" s="48" t="e">
        <f t="shared" si="40"/>
        <v>#N/A</v>
      </c>
      <c r="J806" s="49" t="e">
        <f t="shared" si="41"/>
        <v>#N/A</v>
      </c>
    </row>
    <row r="807" spans="7:13" ht="19" customHeight="1">
      <c r="G807" s="48" t="e">
        <f>VLOOKUP(D807,단가!B:D,3,0)</f>
        <v>#N/A</v>
      </c>
      <c r="H807" s="48" t="e">
        <f t="shared" si="39"/>
        <v>#N/A</v>
      </c>
      <c r="I807" s="48" t="e">
        <f t="shared" si="40"/>
        <v>#N/A</v>
      </c>
      <c r="J807" s="49" t="e">
        <f t="shared" si="41"/>
        <v>#N/A</v>
      </c>
    </row>
    <row r="808" spans="7:13" ht="19" customHeight="1">
      <c r="G808" s="48" t="e">
        <f>VLOOKUP(D808,단가!B:D,3,0)</f>
        <v>#N/A</v>
      </c>
      <c r="H808" s="48" t="e">
        <f t="shared" si="39"/>
        <v>#N/A</v>
      </c>
      <c r="I808" s="48" t="e">
        <f t="shared" si="40"/>
        <v>#N/A</v>
      </c>
      <c r="J808" s="49" t="e">
        <f t="shared" si="41"/>
        <v>#N/A</v>
      </c>
    </row>
    <row r="809" spans="7:13" ht="19" customHeight="1">
      <c r="G809" s="48" t="e">
        <f>VLOOKUP(D809,단가!B:D,3,0)</f>
        <v>#N/A</v>
      </c>
      <c r="H809" s="48" t="e">
        <f t="shared" si="39"/>
        <v>#N/A</v>
      </c>
      <c r="I809" s="48" t="e">
        <f t="shared" si="40"/>
        <v>#N/A</v>
      </c>
      <c r="J809" s="49" t="e">
        <f t="shared" si="41"/>
        <v>#N/A</v>
      </c>
    </row>
    <row r="810" spans="7:13" ht="19" customHeight="1">
      <c r="G810" s="48" t="e">
        <f>VLOOKUP(D810,단가!B:D,3,0)</f>
        <v>#N/A</v>
      </c>
      <c r="H810" s="48" t="e">
        <f t="shared" si="39"/>
        <v>#N/A</v>
      </c>
      <c r="I810" s="48" t="e">
        <f t="shared" si="40"/>
        <v>#N/A</v>
      </c>
      <c r="J810" s="49" t="e">
        <f t="shared" si="41"/>
        <v>#N/A</v>
      </c>
    </row>
    <row r="811" spans="7:13" ht="19" customHeight="1">
      <c r="G811" s="48" t="e">
        <f>VLOOKUP(D811,단가!B:D,3,0)</f>
        <v>#N/A</v>
      </c>
      <c r="H811" s="48" t="e">
        <f t="shared" si="39"/>
        <v>#N/A</v>
      </c>
      <c r="I811" s="48" t="e">
        <f t="shared" si="40"/>
        <v>#N/A</v>
      </c>
      <c r="J811" s="49" t="e">
        <f t="shared" si="41"/>
        <v>#N/A</v>
      </c>
    </row>
    <row r="812" spans="7:13" ht="19" customHeight="1">
      <c r="G812" s="48" t="e">
        <f>VLOOKUP(D812,단가!B:D,3,0)</f>
        <v>#N/A</v>
      </c>
      <c r="H812" s="48" t="e">
        <f t="shared" si="39"/>
        <v>#N/A</v>
      </c>
      <c r="I812" s="48" t="e">
        <f t="shared" si="40"/>
        <v>#N/A</v>
      </c>
      <c r="J812" s="49" t="e">
        <f t="shared" si="41"/>
        <v>#N/A</v>
      </c>
    </row>
    <row r="813" spans="7:13" ht="19" customHeight="1">
      <c r="G813" s="48" t="e">
        <f>VLOOKUP(D813,단가!B:D,3,0)</f>
        <v>#N/A</v>
      </c>
      <c r="H813" s="48" t="e">
        <f t="shared" si="39"/>
        <v>#N/A</v>
      </c>
      <c r="I813" s="48" t="e">
        <f t="shared" si="40"/>
        <v>#N/A</v>
      </c>
      <c r="J813" s="49" t="e">
        <f t="shared" si="41"/>
        <v>#N/A</v>
      </c>
    </row>
    <row r="814" spans="7:13" ht="19" customHeight="1">
      <c r="G814" s="48" t="e">
        <f>VLOOKUP(D814,단가!B:D,3,0)</f>
        <v>#N/A</v>
      </c>
      <c r="H814" s="48" t="e">
        <f t="shared" si="39"/>
        <v>#N/A</v>
      </c>
      <c r="I814" s="48" t="e">
        <f t="shared" si="40"/>
        <v>#N/A</v>
      </c>
      <c r="J814" s="49" t="e">
        <f t="shared" si="41"/>
        <v>#N/A</v>
      </c>
    </row>
    <row r="815" spans="7:13" ht="19" customHeight="1">
      <c r="G815" s="48" t="e">
        <f>VLOOKUP(D815,단가!B:D,3,0)</f>
        <v>#N/A</v>
      </c>
      <c r="H815" s="48" t="e">
        <f t="shared" si="39"/>
        <v>#N/A</v>
      </c>
      <c r="I815" s="48" t="e">
        <f t="shared" si="40"/>
        <v>#N/A</v>
      </c>
      <c r="J815" s="49" t="e">
        <f t="shared" si="41"/>
        <v>#N/A</v>
      </c>
    </row>
    <row r="816" spans="7:13" ht="19" customHeight="1">
      <c r="G816" s="48" t="e">
        <f>VLOOKUP(D816,단가!B:D,3,0)</f>
        <v>#N/A</v>
      </c>
      <c r="H816" s="48" t="e">
        <f t="shared" si="39"/>
        <v>#N/A</v>
      </c>
      <c r="I816" s="48" t="e">
        <f t="shared" si="40"/>
        <v>#N/A</v>
      </c>
      <c r="J816" s="49" t="e">
        <f t="shared" si="41"/>
        <v>#N/A</v>
      </c>
    </row>
    <row r="817" spans="7:10" ht="19" customHeight="1">
      <c r="G817" s="48" t="e">
        <f>VLOOKUP(D817,단가!B:D,3,0)</f>
        <v>#N/A</v>
      </c>
      <c r="H817" s="48" t="e">
        <f t="shared" si="39"/>
        <v>#N/A</v>
      </c>
      <c r="I817" s="48" t="e">
        <f t="shared" si="40"/>
        <v>#N/A</v>
      </c>
      <c r="J817" s="49" t="e">
        <f t="shared" si="41"/>
        <v>#N/A</v>
      </c>
    </row>
    <row r="818" spans="7:10" ht="19" customHeight="1">
      <c r="G818" s="48" t="e">
        <f>VLOOKUP(D818,단가!B:D,3,0)</f>
        <v>#N/A</v>
      </c>
      <c r="H818" s="48" t="e">
        <f t="shared" si="39"/>
        <v>#N/A</v>
      </c>
      <c r="I818" s="48" t="e">
        <f t="shared" si="40"/>
        <v>#N/A</v>
      </c>
      <c r="J818" s="49" t="e">
        <f t="shared" si="41"/>
        <v>#N/A</v>
      </c>
    </row>
    <row r="819" spans="7:10" ht="19" customHeight="1">
      <c r="G819" s="48" t="e">
        <f>VLOOKUP(D819,단가!B:D,3,0)</f>
        <v>#N/A</v>
      </c>
      <c r="H819" s="48" t="e">
        <f t="shared" si="39"/>
        <v>#N/A</v>
      </c>
      <c r="I819" s="48" t="e">
        <f t="shared" si="40"/>
        <v>#N/A</v>
      </c>
      <c r="J819" s="49" t="e">
        <f t="shared" si="41"/>
        <v>#N/A</v>
      </c>
    </row>
    <row r="820" spans="7:10" ht="19" customHeight="1">
      <c r="G820" s="48" t="e">
        <f>VLOOKUP(D820,단가!B:D,3,0)</f>
        <v>#N/A</v>
      </c>
      <c r="H820" s="48" t="e">
        <f t="shared" si="39"/>
        <v>#N/A</v>
      </c>
      <c r="I820" s="48" t="e">
        <f t="shared" si="40"/>
        <v>#N/A</v>
      </c>
      <c r="J820" s="49" t="e">
        <f t="shared" si="41"/>
        <v>#N/A</v>
      </c>
    </row>
    <row r="821" spans="7:10" ht="19" customHeight="1">
      <c r="G821" s="48" t="e">
        <f>VLOOKUP(D821,단가!B:D,3,0)</f>
        <v>#N/A</v>
      </c>
      <c r="H821" s="48" t="e">
        <f t="shared" si="39"/>
        <v>#N/A</v>
      </c>
      <c r="I821" s="48" t="e">
        <f t="shared" si="40"/>
        <v>#N/A</v>
      </c>
      <c r="J821" s="49" t="e">
        <f t="shared" si="41"/>
        <v>#N/A</v>
      </c>
    </row>
    <row r="822" spans="7:10" ht="19" customHeight="1">
      <c r="G822" s="48" t="e">
        <f>VLOOKUP(D822,단가!B:D,3,0)</f>
        <v>#N/A</v>
      </c>
      <c r="H822" s="48" t="e">
        <f t="shared" si="39"/>
        <v>#N/A</v>
      </c>
      <c r="I822" s="48" t="e">
        <f t="shared" si="40"/>
        <v>#N/A</v>
      </c>
      <c r="J822" s="49" t="e">
        <f t="shared" si="41"/>
        <v>#N/A</v>
      </c>
    </row>
    <row r="823" spans="7:10" ht="19" customHeight="1">
      <c r="G823" s="48" t="e">
        <f>VLOOKUP(D823,단가!B:D,3,0)</f>
        <v>#N/A</v>
      </c>
      <c r="H823" s="48" t="e">
        <f t="shared" si="39"/>
        <v>#N/A</v>
      </c>
      <c r="I823" s="48" t="e">
        <f t="shared" si="40"/>
        <v>#N/A</v>
      </c>
      <c r="J823" s="49" t="e">
        <f t="shared" si="41"/>
        <v>#N/A</v>
      </c>
    </row>
    <row r="824" spans="7:10" ht="19" customHeight="1">
      <c r="G824" s="48" t="e">
        <f>VLOOKUP(D824,단가!B:D,3,0)</f>
        <v>#N/A</v>
      </c>
      <c r="H824" s="48" t="e">
        <f t="shared" si="39"/>
        <v>#N/A</v>
      </c>
      <c r="I824" s="48" t="e">
        <f t="shared" si="40"/>
        <v>#N/A</v>
      </c>
      <c r="J824" s="49" t="e">
        <f t="shared" si="41"/>
        <v>#N/A</v>
      </c>
    </row>
    <row r="825" spans="7:10" ht="19" customHeight="1">
      <c r="G825" s="48" t="e">
        <f>VLOOKUP(D825,단가!B:D,3,0)</f>
        <v>#N/A</v>
      </c>
      <c r="H825" s="48" t="e">
        <f t="shared" si="39"/>
        <v>#N/A</v>
      </c>
      <c r="I825" s="48" t="e">
        <f t="shared" si="40"/>
        <v>#N/A</v>
      </c>
      <c r="J825" s="49" t="e">
        <f t="shared" si="41"/>
        <v>#N/A</v>
      </c>
    </row>
    <row r="826" spans="7:10" ht="19" customHeight="1">
      <c r="G826" s="48" t="e">
        <f>VLOOKUP(D826,단가!B:D,3,0)</f>
        <v>#N/A</v>
      </c>
      <c r="H826" s="48" t="e">
        <f t="shared" si="39"/>
        <v>#N/A</v>
      </c>
      <c r="I826" s="48" t="e">
        <f t="shared" si="40"/>
        <v>#N/A</v>
      </c>
      <c r="J826" s="49" t="e">
        <f t="shared" si="41"/>
        <v>#N/A</v>
      </c>
    </row>
    <row r="827" spans="7:10" ht="19" customHeight="1">
      <c r="G827" s="48" t="e">
        <f>VLOOKUP(D827,단가!B:D,3,0)</f>
        <v>#N/A</v>
      </c>
      <c r="H827" s="48" t="e">
        <f t="shared" si="39"/>
        <v>#N/A</v>
      </c>
      <c r="I827" s="48" t="e">
        <f t="shared" si="40"/>
        <v>#N/A</v>
      </c>
      <c r="J827" s="49" t="e">
        <f t="shared" si="41"/>
        <v>#N/A</v>
      </c>
    </row>
    <row r="828" spans="7:10" ht="19" customHeight="1">
      <c r="G828" s="48" t="e">
        <f>VLOOKUP(D828,단가!B:D,3,0)</f>
        <v>#N/A</v>
      </c>
      <c r="H828" s="48" t="e">
        <f t="shared" si="39"/>
        <v>#N/A</v>
      </c>
      <c r="I828" s="48" t="e">
        <f t="shared" si="40"/>
        <v>#N/A</v>
      </c>
      <c r="J828" s="49" t="e">
        <f t="shared" si="41"/>
        <v>#N/A</v>
      </c>
    </row>
    <row r="829" spans="7:10" ht="19" customHeight="1">
      <c r="G829" s="48" t="e">
        <f>VLOOKUP(D829,단가!B:D,3,0)</f>
        <v>#N/A</v>
      </c>
      <c r="H829" s="48" t="e">
        <f t="shared" si="39"/>
        <v>#N/A</v>
      </c>
      <c r="I829" s="48" t="e">
        <f t="shared" si="40"/>
        <v>#N/A</v>
      </c>
      <c r="J829" s="49" t="e">
        <f t="shared" si="41"/>
        <v>#N/A</v>
      </c>
    </row>
    <row r="830" spans="7:10" ht="19" customHeight="1">
      <c r="G830" s="48" t="e">
        <f>VLOOKUP(D830,단가!B:D,3,0)</f>
        <v>#N/A</v>
      </c>
      <c r="H830" s="48" t="e">
        <f t="shared" si="39"/>
        <v>#N/A</v>
      </c>
      <c r="I830" s="48" t="e">
        <f t="shared" si="40"/>
        <v>#N/A</v>
      </c>
      <c r="J830" s="49" t="e">
        <f t="shared" si="41"/>
        <v>#N/A</v>
      </c>
    </row>
    <row r="843" spans="1:11" ht="19" customHeight="1">
      <c r="J843" s="49"/>
      <c r="K843" s="78"/>
    </row>
    <row r="844" spans="1:11" ht="19" customHeight="1">
      <c r="K844" s="67"/>
    </row>
    <row r="845" spans="1:11" ht="19" customHeight="1">
      <c r="A845" s="62"/>
      <c r="F845" s="79"/>
      <c r="G845" s="79"/>
      <c r="H845" s="79"/>
      <c r="I845" s="79"/>
      <c r="J845" s="78"/>
    </row>
    <row r="848" spans="1:11" ht="19" customHeight="1">
      <c r="J848" s="80"/>
    </row>
  </sheetData>
  <autoFilter ref="A1:L830" xr:uid="{B2E189B2-6FF0-4F6C-AC77-0512C6CBA8C1}"/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7"/>
  <sheetViews>
    <sheetView topLeftCell="A8" workbookViewId="0">
      <selection activeCell="B1" sqref="B1"/>
    </sheetView>
  </sheetViews>
  <sheetFormatPr baseColWidth="10" defaultColWidth="8.6640625" defaultRowHeight="15"/>
  <cols>
    <col min="1" max="1" width="5.1640625" style="84" customWidth="1"/>
    <col min="2" max="2" width="24" style="84" customWidth="1"/>
    <col min="3" max="3" width="8.6640625" style="84"/>
    <col min="4" max="4" width="8.6640625" style="85"/>
    <col min="5" max="7" width="8.6640625" style="86"/>
    <col min="8" max="16384" width="8.6640625" style="6"/>
  </cols>
  <sheetData>
    <row r="1" spans="1:16">
      <c r="A1" s="74" t="s">
        <v>11</v>
      </c>
      <c r="B1" s="75" t="s">
        <v>52</v>
      </c>
      <c r="C1" s="75" t="s">
        <v>53</v>
      </c>
      <c r="D1" s="76" t="s">
        <v>54</v>
      </c>
      <c r="E1" s="82" t="s">
        <v>55</v>
      </c>
      <c r="F1" s="82" t="s">
        <v>56</v>
      </c>
      <c r="G1" s="87" t="s">
        <v>59</v>
      </c>
      <c r="H1" s="2"/>
      <c r="I1" s="2"/>
      <c r="J1" s="2"/>
      <c r="K1" s="2"/>
      <c r="L1" s="2"/>
      <c r="M1" s="2"/>
      <c r="N1" s="2"/>
      <c r="O1" s="2"/>
      <c r="P1" s="2"/>
    </row>
    <row r="2" spans="1:16">
      <c r="A2" s="47">
        <v>1</v>
      </c>
      <c r="B2" s="47" t="s">
        <v>61</v>
      </c>
      <c r="C2" s="47" t="s">
        <v>57</v>
      </c>
      <c r="D2" s="48">
        <v>20000</v>
      </c>
      <c r="E2" s="83">
        <f>D2</f>
        <v>20000</v>
      </c>
      <c r="F2" s="83">
        <f>E2*10%</f>
        <v>2000</v>
      </c>
      <c r="G2" s="83">
        <f>SUM(E2:F2)</f>
        <v>22000</v>
      </c>
      <c r="H2" s="2"/>
      <c r="I2" s="2"/>
      <c r="J2" s="2"/>
      <c r="K2" s="2"/>
      <c r="L2" s="2"/>
      <c r="M2" s="2"/>
      <c r="N2" s="2"/>
      <c r="O2" s="2"/>
      <c r="P2" s="2"/>
    </row>
    <row r="3" spans="1:16">
      <c r="A3" s="47">
        <v>2</v>
      </c>
      <c r="B3" s="47" t="s">
        <v>627</v>
      </c>
      <c r="C3" s="47" t="s">
        <v>57</v>
      </c>
      <c r="D3" s="48">
        <v>25000</v>
      </c>
      <c r="E3" s="83">
        <f>D3</f>
        <v>25000</v>
      </c>
      <c r="F3" s="83">
        <f>E3*10%</f>
        <v>2500</v>
      </c>
      <c r="G3" s="83">
        <f>SUM(E3:F3)</f>
        <v>27500</v>
      </c>
      <c r="H3" s="2"/>
      <c r="I3" s="2"/>
      <c r="J3" s="2"/>
      <c r="K3" s="2"/>
      <c r="L3" s="2"/>
      <c r="M3" s="2"/>
      <c r="N3" s="2"/>
      <c r="O3" s="2"/>
      <c r="P3" s="2"/>
    </row>
    <row r="4" spans="1:16">
      <c r="A4" s="47">
        <v>3</v>
      </c>
      <c r="B4" s="47" t="s">
        <v>315</v>
      </c>
      <c r="C4" s="47" t="s">
        <v>57</v>
      </c>
      <c r="D4" s="48">
        <v>32000</v>
      </c>
      <c r="E4" s="83">
        <f>D4</f>
        <v>32000</v>
      </c>
      <c r="F4" s="83">
        <f>E4*10%</f>
        <v>3200</v>
      </c>
      <c r="G4" s="83">
        <f>SUM(E4:F4)</f>
        <v>35200</v>
      </c>
      <c r="H4" s="2"/>
      <c r="I4" s="2"/>
      <c r="J4" s="2"/>
      <c r="K4" s="2"/>
      <c r="L4" s="2"/>
      <c r="M4" s="2"/>
      <c r="N4" s="2"/>
      <c r="O4" s="2"/>
      <c r="P4" s="2"/>
    </row>
    <row r="5" spans="1:16">
      <c r="A5" s="47">
        <v>4</v>
      </c>
      <c r="B5" s="47" t="s">
        <v>302</v>
      </c>
      <c r="C5" s="47" t="s">
        <v>57</v>
      </c>
      <c r="D5" s="48">
        <v>22000</v>
      </c>
      <c r="E5" s="83">
        <f>D5</f>
        <v>22000</v>
      </c>
      <c r="F5" s="83">
        <f>E5*10%</f>
        <v>2200</v>
      </c>
      <c r="G5" s="83">
        <f>SUM(E5:F5)</f>
        <v>24200</v>
      </c>
      <c r="H5" s="2"/>
      <c r="I5" s="2"/>
      <c r="J5" s="2"/>
      <c r="K5" s="2"/>
      <c r="L5" s="2"/>
      <c r="M5" s="2"/>
      <c r="N5" s="2"/>
      <c r="O5" s="2"/>
      <c r="P5" s="2"/>
    </row>
    <row r="6" spans="1:16">
      <c r="A6" s="47">
        <v>5</v>
      </c>
      <c r="B6" s="47" t="s">
        <v>62</v>
      </c>
      <c r="C6" s="47" t="s">
        <v>57</v>
      </c>
      <c r="D6" s="48">
        <v>20000</v>
      </c>
      <c r="E6" s="83">
        <f t="shared" ref="E6:E10" si="0">D6</f>
        <v>20000</v>
      </c>
      <c r="F6" s="83">
        <f t="shared" ref="F6:F85" si="1">E6*10%</f>
        <v>2000</v>
      </c>
      <c r="G6" s="83">
        <f t="shared" ref="G6:G11" si="2">SUM(E6:F6)</f>
        <v>22000</v>
      </c>
      <c r="H6" s="2"/>
      <c r="I6" s="2"/>
      <c r="J6" s="2"/>
      <c r="K6" s="2"/>
      <c r="L6" s="2"/>
      <c r="M6" s="2"/>
      <c r="N6" s="2"/>
      <c r="O6" s="2"/>
      <c r="P6" s="2"/>
    </row>
    <row r="7" spans="1:16">
      <c r="A7" s="47">
        <v>6</v>
      </c>
      <c r="B7" s="47" t="s">
        <v>637</v>
      </c>
      <c r="C7" s="47" t="s">
        <v>60</v>
      </c>
      <c r="D7" s="48">
        <v>20000</v>
      </c>
      <c r="E7" s="83">
        <f t="shared" si="0"/>
        <v>20000</v>
      </c>
      <c r="F7" s="83">
        <f t="shared" si="1"/>
        <v>2000</v>
      </c>
      <c r="G7" s="83">
        <f t="shared" si="2"/>
        <v>22000</v>
      </c>
      <c r="H7" s="2"/>
      <c r="I7" s="2"/>
      <c r="J7" s="2"/>
      <c r="K7" s="2"/>
      <c r="L7" s="2"/>
      <c r="M7" s="2"/>
      <c r="N7" s="2"/>
      <c r="O7" s="2"/>
      <c r="P7" s="2"/>
    </row>
    <row r="8" spans="1:16">
      <c r="A8" s="47">
        <v>7</v>
      </c>
      <c r="B8" s="47" t="s">
        <v>636</v>
      </c>
      <c r="C8" s="47" t="s">
        <v>60</v>
      </c>
      <c r="D8" s="48">
        <v>14000</v>
      </c>
      <c r="E8" s="83">
        <f t="shared" ref="E8" si="3">D8</f>
        <v>14000</v>
      </c>
      <c r="F8" s="83">
        <f t="shared" ref="F8" si="4">E8*10%</f>
        <v>1400</v>
      </c>
      <c r="G8" s="83">
        <f t="shared" ref="G8" si="5">SUM(E8:F8)</f>
        <v>15400</v>
      </c>
      <c r="H8" s="2"/>
      <c r="I8" s="2"/>
      <c r="J8" s="2"/>
      <c r="K8" s="2"/>
      <c r="L8" s="2"/>
      <c r="M8" s="2"/>
      <c r="N8" s="2"/>
      <c r="O8" s="2"/>
      <c r="P8" s="2"/>
    </row>
    <row r="9" spans="1:16">
      <c r="A9" s="47">
        <v>8</v>
      </c>
      <c r="B9" s="47" t="s">
        <v>388</v>
      </c>
      <c r="C9" s="47" t="s">
        <v>60</v>
      </c>
      <c r="D9" s="48">
        <v>10500</v>
      </c>
      <c r="E9" s="83">
        <f t="shared" ref="E9" si="6">D9</f>
        <v>10500</v>
      </c>
      <c r="F9" s="83">
        <f t="shared" ref="F9" si="7">E9*10%</f>
        <v>1050</v>
      </c>
      <c r="G9" s="83">
        <f t="shared" ref="G9" si="8">SUM(E9:F9)</f>
        <v>11550</v>
      </c>
      <c r="H9" s="2"/>
      <c r="I9" s="2"/>
      <c r="J9" s="2"/>
      <c r="K9" s="2"/>
      <c r="L9" s="2"/>
      <c r="M9" s="2"/>
      <c r="N9" s="2"/>
      <c r="O9" s="2"/>
      <c r="P9" s="2"/>
    </row>
    <row r="10" spans="1:16">
      <c r="A10" s="47">
        <v>9</v>
      </c>
      <c r="B10" s="47" t="s">
        <v>178</v>
      </c>
      <c r="C10" s="47" t="s">
        <v>60</v>
      </c>
      <c r="D10" s="48">
        <v>10500</v>
      </c>
      <c r="E10" s="83">
        <f t="shared" si="0"/>
        <v>10500</v>
      </c>
      <c r="F10" s="83">
        <f t="shared" si="1"/>
        <v>1050</v>
      </c>
      <c r="G10" s="83">
        <f t="shared" si="2"/>
        <v>11550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47">
        <v>10</v>
      </c>
      <c r="B11" s="47" t="s">
        <v>58</v>
      </c>
      <c r="C11" s="47" t="s">
        <v>60</v>
      </c>
      <c r="D11" s="48">
        <v>15000</v>
      </c>
      <c r="E11" s="83">
        <f t="shared" ref="E11:E80" si="9">D11</f>
        <v>15000</v>
      </c>
      <c r="F11" s="83">
        <f t="shared" si="1"/>
        <v>1500</v>
      </c>
      <c r="G11" s="83">
        <f t="shared" si="2"/>
        <v>16500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47">
        <v>11</v>
      </c>
      <c r="B12" s="47" t="s">
        <v>137</v>
      </c>
      <c r="C12" s="47" t="s">
        <v>57</v>
      </c>
      <c r="D12" s="48">
        <v>19000</v>
      </c>
      <c r="E12" s="83">
        <f t="shared" si="9"/>
        <v>19000</v>
      </c>
      <c r="F12" s="83">
        <f t="shared" si="1"/>
        <v>1900</v>
      </c>
      <c r="G12" s="83">
        <f t="shared" ref="G12:G13" si="10">SUM(E12:F12)</f>
        <v>20900</v>
      </c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47">
        <v>12</v>
      </c>
      <c r="B13" s="47" t="s">
        <v>146</v>
      </c>
      <c r="C13" s="47" t="s">
        <v>60</v>
      </c>
      <c r="D13" s="48">
        <v>10500</v>
      </c>
      <c r="E13" s="83">
        <f t="shared" si="9"/>
        <v>10500</v>
      </c>
      <c r="F13" s="83">
        <f t="shared" si="1"/>
        <v>1050</v>
      </c>
      <c r="G13" s="83">
        <f t="shared" si="10"/>
        <v>11550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47">
        <v>13</v>
      </c>
      <c r="B14" s="47" t="s">
        <v>63</v>
      </c>
      <c r="C14" s="47" t="s">
        <v>60</v>
      </c>
      <c r="D14" s="48">
        <v>15000</v>
      </c>
      <c r="E14" s="83">
        <f t="shared" si="9"/>
        <v>15000</v>
      </c>
      <c r="F14" s="83">
        <f t="shared" si="1"/>
        <v>1500</v>
      </c>
      <c r="G14" s="83">
        <f t="shared" ref="G14:G92" si="11">SUM(E14:F14)</f>
        <v>16500</v>
      </c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47">
        <v>14</v>
      </c>
      <c r="B15" s="47" t="s">
        <v>147</v>
      </c>
      <c r="C15" s="47" t="s">
        <v>60</v>
      </c>
      <c r="D15" s="48">
        <v>10500</v>
      </c>
      <c r="E15" s="83">
        <f t="shared" si="9"/>
        <v>10500</v>
      </c>
      <c r="F15" s="83">
        <f t="shared" si="1"/>
        <v>1050</v>
      </c>
      <c r="G15" s="83">
        <f t="shared" si="11"/>
        <v>11550</v>
      </c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47">
        <v>15</v>
      </c>
      <c r="B16" s="47" t="s">
        <v>65</v>
      </c>
      <c r="C16" s="47" t="s">
        <v>60</v>
      </c>
      <c r="D16" s="48">
        <v>15000</v>
      </c>
      <c r="E16" s="83">
        <f t="shared" si="9"/>
        <v>15000</v>
      </c>
      <c r="F16" s="83">
        <f t="shared" si="1"/>
        <v>1500</v>
      </c>
      <c r="G16" s="83">
        <f t="shared" si="11"/>
        <v>16500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47">
        <v>16</v>
      </c>
      <c r="B17" s="47" t="s">
        <v>148</v>
      </c>
      <c r="C17" s="47" t="s">
        <v>60</v>
      </c>
      <c r="D17" s="48">
        <v>10500</v>
      </c>
      <c r="E17" s="83">
        <f t="shared" si="9"/>
        <v>10500</v>
      </c>
      <c r="F17" s="83">
        <f t="shared" si="1"/>
        <v>1050</v>
      </c>
      <c r="G17" s="83">
        <f t="shared" si="11"/>
        <v>11550</v>
      </c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47">
        <v>17</v>
      </c>
      <c r="B18" s="47" t="s">
        <v>66</v>
      </c>
      <c r="C18" s="47" t="s">
        <v>60</v>
      </c>
      <c r="D18" s="48">
        <v>15000</v>
      </c>
      <c r="E18" s="83">
        <f t="shared" si="9"/>
        <v>15000</v>
      </c>
      <c r="F18" s="83">
        <f t="shared" si="1"/>
        <v>1500</v>
      </c>
      <c r="G18" s="83">
        <f t="shared" si="11"/>
        <v>16500</v>
      </c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47">
        <v>18</v>
      </c>
      <c r="B19" s="47" t="s">
        <v>149</v>
      </c>
      <c r="C19" s="47" t="s">
        <v>60</v>
      </c>
      <c r="D19" s="48">
        <v>10500</v>
      </c>
      <c r="E19" s="83">
        <f t="shared" si="9"/>
        <v>10500</v>
      </c>
      <c r="F19" s="83">
        <f t="shared" si="1"/>
        <v>1050</v>
      </c>
      <c r="G19" s="83">
        <f t="shared" si="11"/>
        <v>11550</v>
      </c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47">
        <v>19</v>
      </c>
      <c r="B20" s="47" t="s">
        <v>64</v>
      </c>
      <c r="C20" s="47" t="s">
        <v>60</v>
      </c>
      <c r="D20" s="48">
        <v>15000</v>
      </c>
      <c r="E20" s="83">
        <f t="shared" si="9"/>
        <v>15000</v>
      </c>
      <c r="F20" s="83">
        <f t="shared" si="1"/>
        <v>1500</v>
      </c>
      <c r="G20" s="83">
        <f t="shared" si="11"/>
        <v>16500</v>
      </c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47">
        <v>20</v>
      </c>
      <c r="B21" s="47" t="s">
        <v>150</v>
      </c>
      <c r="C21" s="47" t="s">
        <v>60</v>
      </c>
      <c r="D21" s="48">
        <v>10500</v>
      </c>
      <c r="E21" s="83">
        <f t="shared" si="9"/>
        <v>10500</v>
      </c>
      <c r="F21" s="83">
        <f t="shared" si="1"/>
        <v>1050</v>
      </c>
      <c r="G21" s="83">
        <f t="shared" si="11"/>
        <v>11550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47">
        <v>21</v>
      </c>
      <c r="B22" s="47" t="s">
        <v>67</v>
      </c>
      <c r="C22" s="47" t="s">
        <v>60</v>
      </c>
      <c r="D22" s="48">
        <v>15000</v>
      </c>
      <c r="E22" s="83">
        <f t="shared" si="9"/>
        <v>15000</v>
      </c>
      <c r="F22" s="83">
        <f t="shared" si="1"/>
        <v>1500</v>
      </c>
      <c r="G22" s="83">
        <f t="shared" si="11"/>
        <v>16500</v>
      </c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47">
        <v>22</v>
      </c>
      <c r="B23" s="47" t="s">
        <v>151</v>
      </c>
      <c r="C23" s="47" t="s">
        <v>60</v>
      </c>
      <c r="D23" s="48">
        <v>10500</v>
      </c>
      <c r="E23" s="83">
        <f t="shared" si="9"/>
        <v>10500</v>
      </c>
      <c r="F23" s="83">
        <f t="shared" si="1"/>
        <v>1050</v>
      </c>
      <c r="G23" s="83">
        <f t="shared" si="11"/>
        <v>11550</v>
      </c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47">
        <v>23</v>
      </c>
      <c r="B24" s="47" t="s">
        <v>68</v>
      </c>
      <c r="C24" s="47" t="s">
        <v>60</v>
      </c>
      <c r="D24" s="48">
        <v>15000</v>
      </c>
      <c r="E24" s="83">
        <f t="shared" si="9"/>
        <v>15000</v>
      </c>
      <c r="F24" s="83">
        <f t="shared" si="1"/>
        <v>1500</v>
      </c>
      <c r="G24" s="83">
        <f t="shared" si="11"/>
        <v>16500</v>
      </c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47">
        <v>24</v>
      </c>
      <c r="B25" s="47" t="s">
        <v>152</v>
      </c>
      <c r="C25" s="47" t="s">
        <v>60</v>
      </c>
      <c r="D25" s="48">
        <v>10500</v>
      </c>
      <c r="E25" s="83">
        <f t="shared" si="9"/>
        <v>10500</v>
      </c>
      <c r="F25" s="83">
        <f t="shared" si="1"/>
        <v>1050</v>
      </c>
      <c r="G25" s="83">
        <f t="shared" si="11"/>
        <v>11550</v>
      </c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47">
        <v>25</v>
      </c>
      <c r="B26" s="47" t="s">
        <v>69</v>
      </c>
      <c r="C26" s="47" t="s">
        <v>60</v>
      </c>
      <c r="D26" s="48">
        <v>15000</v>
      </c>
      <c r="E26" s="83">
        <f t="shared" si="9"/>
        <v>15000</v>
      </c>
      <c r="F26" s="83">
        <f t="shared" si="1"/>
        <v>1500</v>
      </c>
      <c r="G26" s="83">
        <f t="shared" si="11"/>
        <v>16500</v>
      </c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47">
        <v>26</v>
      </c>
      <c r="B27" s="47" t="s">
        <v>153</v>
      </c>
      <c r="C27" s="47" t="s">
        <v>60</v>
      </c>
      <c r="D27" s="48">
        <v>10500</v>
      </c>
      <c r="E27" s="83">
        <f t="shared" si="9"/>
        <v>10500</v>
      </c>
      <c r="F27" s="83">
        <f t="shared" si="1"/>
        <v>1050</v>
      </c>
      <c r="G27" s="83">
        <f t="shared" si="11"/>
        <v>11550</v>
      </c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47">
        <v>27</v>
      </c>
      <c r="B28" s="47" t="s">
        <v>70</v>
      </c>
      <c r="C28" s="47" t="s">
        <v>60</v>
      </c>
      <c r="D28" s="48">
        <v>15000</v>
      </c>
      <c r="E28" s="83">
        <f t="shared" si="9"/>
        <v>15000</v>
      </c>
      <c r="F28" s="83">
        <f t="shared" si="1"/>
        <v>1500</v>
      </c>
      <c r="G28" s="83">
        <f t="shared" si="11"/>
        <v>16500</v>
      </c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47">
        <v>28</v>
      </c>
      <c r="B29" s="47" t="s">
        <v>154</v>
      </c>
      <c r="C29" s="47" t="s">
        <v>60</v>
      </c>
      <c r="D29" s="48">
        <v>10500</v>
      </c>
      <c r="E29" s="83">
        <f t="shared" si="9"/>
        <v>10500</v>
      </c>
      <c r="F29" s="83">
        <f t="shared" si="1"/>
        <v>1050</v>
      </c>
      <c r="G29" s="83">
        <f t="shared" si="11"/>
        <v>11550</v>
      </c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47">
        <v>29</v>
      </c>
      <c r="B30" s="47" t="s">
        <v>71</v>
      </c>
      <c r="C30" s="47" t="s">
        <v>60</v>
      </c>
      <c r="D30" s="48">
        <v>15000</v>
      </c>
      <c r="E30" s="83">
        <f t="shared" si="9"/>
        <v>15000</v>
      </c>
      <c r="F30" s="83">
        <f t="shared" si="1"/>
        <v>1500</v>
      </c>
      <c r="G30" s="83">
        <f t="shared" si="11"/>
        <v>16500</v>
      </c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47">
        <v>30</v>
      </c>
      <c r="B31" s="47" t="s">
        <v>155</v>
      </c>
      <c r="C31" s="47" t="s">
        <v>60</v>
      </c>
      <c r="D31" s="48">
        <v>10500</v>
      </c>
      <c r="E31" s="83">
        <f t="shared" si="9"/>
        <v>10500</v>
      </c>
      <c r="F31" s="83">
        <f t="shared" si="1"/>
        <v>1050</v>
      </c>
      <c r="G31" s="83">
        <f t="shared" si="11"/>
        <v>11550</v>
      </c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47">
        <v>31</v>
      </c>
      <c r="B32" s="47" t="s">
        <v>72</v>
      </c>
      <c r="C32" s="47" t="s">
        <v>60</v>
      </c>
      <c r="D32" s="48">
        <v>15000</v>
      </c>
      <c r="E32" s="83">
        <f t="shared" si="9"/>
        <v>15000</v>
      </c>
      <c r="F32" s="83">
        <f t="shared" si="1"/>
        <v>1500</v>
      </c>
      <c r="G32" s="83">
        <f t="shared" si="11"/>
        <v>16500</v>
      </c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47">
        <v>32</v>
      </c>
      <c r="B33" s="47" t="s">
        <v>156</v>
      </c>
      <c r="C33" s="47" t="s">
        <v>60</v>
      </c>
      <c r="D33" s="48"/>
      <c r="E33" s="83"/>
      <c r="F33" s="83"/>
      <c r="G33" s="83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47">
        <v>33</v>
      </c>
      <c r="B34" s="47" t="s">
        <v>73</v>
      </c>
      <c r="C34" s="47" t="s">
        <v>60</v>
      </c>
      <c r="D34" s="48"/>
      <c r="E34" s="83">
        <f t="shared" si="9"/>
        <v>0</v>
      </c>
      <c r="F34" s="83">
        <f t="shared" si="1"/>
        <v>0</v>
      </c>
      <c r="G34" s="83">
        <f t="shared" si="11"/>
        <v>0</v>
      </c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47">
        <v>34</v>
      </c>
      <c r="B35" s="47" t="s">
        <v>157</v>
      </c>
      <c r="C35" s="47" t="s">
        <v>60</v>
      </c>
      <c r="D35" s="48">
        <v>10500</v>
      </c>
      <c r="E35" s="83">
        <v>10500</v>
      </c>
      <c r="F35" s="83">
        <v>1050</v>
      </c>
      <c r="G35" s="83">
        <v>11550</v>
      </c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47">
        <v>35</v>
      </c>
      <c r="B36" s="47" t="s">
        <v>74</v>
      </c>
      <c r="C36" s="47" t="s">
        <v>60</v>
      </c>
      <c r="D36" s="48">
        <v>15000</v>
      </c>
      <c r="E36" s="83">
        <f t="shared" si="9"/>
        <v>15000</v>
      </c>
      <c r="F36" s="83">
        <f t="shared" si="1"/>
        <v>1500</v>
      </c>
      <c r="G36" s="83">
        <f t="shared" si="11"/>
        <v>16500</v>
      </c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47">
        <v>36</v>
      </c>
      <c r="B37" s="47" t="s">
        <v>158</v>
      </c>
      <c r="C37" s="47" t="s">
        <v>60</v>
      </c>
      <c r="D37" s="48">
        <v>10500</v>
      </c>
      <c r="E37" s="83">
        <f>D37</f>
        <v>10500</v>
      </c>
      <c r="F37" s="83">
        <f t="shared" si="1"/>
        <v>1050</v>
      </c>
      <c r="G37" s="83">
        <f t="shared" si="11"/>
        <v>11550</v>
      </c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47">
        <v>37</v>
      </c>
      <c r="B38" s="47" t="s">
        <v>75</v>
      </c>
      <c r="C38" s="47" t="s">
        <v>60</v>
      </c>
      <c r="D38" s="48">
        <v>15000</v>
      </c>
      <c r="E38" s="83">
        <f t="shared" si="9"/>
        <v>15000</v>
      </c>
      <c r="F38" s="83">
        <f t="shared" si="1"/>
        <v>1500</v>
      </c>
      <c r="G38" s="83">
        <f t="shared" si="11"/>
        <v>16500</v>
      </c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47">
        <v>38</v>
      </c>
      <c r="B39" s="47" t="s">
        <v>162</v>
      </c>
      <c r="C39" s="47" t="s">
        <v>92</v>
      </c>
      <c r="D39" s="48">
        <v>10500</v>
      </c>
      <c r="E39" s="83">
        <f t="shared" ref="E39:E74" si="12">D39</f>
        <v>10500</v>
      </c>
      <c r="F39" s="83">
        <f t="shared" si="1"/>
        <v>1050</v>
      </c>
      <c r="G39" s="83">
        <f t="shared" si="11"/>
        <v>11550</v>
      </c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47">
        <v>39</v>
      </c>
      <c r="B40" s="47" t="s">
        <v>76</v>
      </c>
      <c r="C40" s="47" t="s">
        <v>92</v>
      </c>
      <c r="D40" s="48">
        <v>15000</v>
      </c>
      <c r="E40" s="83">
        <f t="shared" si="12"/>
        <v>15000</v>
      </c>
      <c r="F40" s="83">
        <f t="shared" si="1"/>
        <v>1500</v>
      </c>
      <c r="G40" s="83">
        <f t="shared" si="11"/>
        <v>16500</v>
      </c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47">
        <v>40</v>
      </c>
      <c r="B41" s="47" t="s">
        <v>362</v>
      </c>
      <c r="C41" s="47" t="s">
        <v>92</v>
      </c>
      <c r="D41" s="48">
        <v>10500</v>
      </c>
      <c r="E41" s="83">
        <f t="shared" ref="E41:E43" si="13">D41</f>
        <v>10500</v>
      </c>
      <c r="F41" s="83">
        <f t="shared" ref="F41:F43" si="14">E41*10%</f>
        <v>1050</v>
      </c>
      <c r="G41" s="83">
        <f t="shared" ref="G41:G43" si="15">SUM(E41:F41)</f>
        <v>11550</v>
      </c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47">
        <v>41</v>
      </c>
      <c r="B42" s="47" t="s">
        <v>648</v>
      </c>
      <c r="C42" s="47" t="s">
        <v>92</v>
      </c>
      <c r="D42" s="48">
        <v>20000</v>
      </c>
      <c r="E42" s="83">
        <f t="shared" si="13"/>
        <v>20000</v>
      </c>
      <c r="F42" s="83">
        <f t="shared" si="14"/>
        <v>2000</v>
      </c>
      <c r="G42" s="83">
        <f t="shared" si="15"/>
        <v>22000</v>
      </c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47">
        <v>42</v>
      </c>
      <c r="B43" s="47" t="s">
        <v>649</v>
      </c>
      <c r="C43" s="47" t="s">
        <v>92</v>
      </c>
      <c r="D43" s="48">
        <v>14000</v>
      </c>
      <c r="E43" s="83">
        <f t="shared" si="13"/>
        <v>14000</v>
      </c>
      <c r="F43" s="83">
        <f t="shared" si="14"/>
        <v>1400</v>
      </c>
      <c r="G43" s="83">
        <f t="shared" si="15"/>
        <v>15400</v>
      </c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47">
        <v>43</v>
      </c>
      <c r="B44" s="47" t="s">
        <v>422</v>
      </c>
      <c r="C44" s="47" t="s">
        <v>92</v>
      </c>
      <c r="D44" s="48">
        <v>10500</v>
      </c>
      <c r="E44" s="83">
        <f t="shared" ref="E44" si="16">D44</f>
        <v>10500</v>
      </c>
      <c r="F44" s="83">
        <f t="shared" ref="F44" si="17">E44*10%</f>
        <v>1050</v>
      </c>
      <c r="G44" s="83">
        <f t="shared" ref="G44" si="18">SUM(E44:F44)</f>
        <v>11550</v>
      </c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47">
        <v>44</v>
      </c>
      <c r="B45" s="47" t="s">
        <v>307</v>
      </c>
      <c r="C45" s="47" t="s">
        <v>92</v>
      </c>
      <c r="D45" s="48">
        <v>10500</v>
      </c>
      <c r="E45" s="83">
        <f t="shared" si="12"/>
        <v>10500</v>
      </c>
      <c r="F45" s="83">
        <f t="shared" si="1"/>
        <v>1050</v>
      </c>
      <c r="G45" s="83">
        <f t="shared" si="11"/>
        <v>11550</v>
      </c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47">
        <v>45</v>
      </c>
      <c r="B46" s="47" t="s">
        <v>163</v>
      </c>
      <c r="C46" s="47" t="s">
        <v>92</v>
      </c>
      <c r="D46" s="48">
        <v>10500</v>
      </c>
      <c r="E46" s="83">
        <f t="shared" si="12"/>
        <v>10500</v>
      </c>
      <c r="F46" s="83">
        <f t="shared" ref="F46:F74" si="19">E46*10%</f>
        <v>1050</v>
      </c>
      <c r="G46" s="83">
        <f t="shared" ref="G46:G74" si="20">SUM(E46:F46)</f>
        <v>11550</v>
      </c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47">
        <v>46</v>
      </c>
      <c r="B47" s="47" t="s">
        <v>77</v>
      </c>
      <c r="C47" s="47" t="s">
        <v>92</v>
      </c>
      <c r="D47" s="48">
        <v>15000</v>
      </c>
      <c r="E47" s="83">
        <f t="shared" si="12"/>
        <v>15000</v>
      </c>
      <c r="F47" s="83">
        <f t="shared" si="19"/>
        <v>1500</v>
      </c>
      <c r="G47" s="83">
        <f t="shared" si="20"/>
        <v>16500</v>
      </c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47">
        <v>47</v>
      </c>
      <c r="B48" s="47" t="s">
        <v>164</v>
      </c>
      <c r="C48" s="47" t="s">
        <v>92</v>
      </c>
      <c r="D48" s="48">
        <v>10500</v>
      </c>
      <c r="E48" s="83">
        <f t="shared" si="12"/>
        <v>10500</v>
      </c>
      <c r="F48" s="83">
        <f t="shared" si="19"/>
        <v>1050</v>
      </c>
      <c r="G48" s="83">
        <f t="shared" si="20"/>
        <v>11550</v>
      </c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47">
        <v>48</v>
      </c>
      <c r="B49" s="47" t="s">
        <v>78</v>
      </c>
      <c r="C49" s="47" t="s">
        <v>92</v>
      </c>
      <c r="D49" s="48">
        <v>15000</v>
      </c>
      <c r="E49" s="83">
        <f t="shared" si="12"/>
        <v>15000</v>
      </c>
      <c r="F49" s="83">
        <f t="shared" si="19"/>
        <v>1500</v>
      </c>
      <c r="G49" s="83">
        <f t="shared" si="20"/>
        <v>16500</v>
      </c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47">
        <v>49</v>
      </c>
      <c r="B50" s="47" t="s">
        <v>165</v>
      </c>
      <c r="C50" s="47" t="s">
        <v>92</v>
      </c>
      <c r="D50" s="48">
        <v>10500</v>
      </c>
      <c r="E50" s="83">
        <f t="shared" si="12"/>
        <v>10500</v>
      </c>
      <c r="F50" s="83">
        <f t="shared" si="19"/>
        <v>1050</v>
      </c>
      <c r="G50" s="83">
        <f t="shared" si="20"/>
        <v>11550</v>
      </c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47">
        <v>50</v>
      </c>
      <c r="B51" s="47" t="s">
        <v>79</v>
      </c>
      <c r="C51" s="47" t="s">
        <v>92</v>
      </c>
      <c r="D51" s="48">
        <v>15000</v>
      </c>
      <c r="E51" s="83">
        <f t="shared" si="12"/>
        <v>15000</v>
      </c>
      <c r="F51" s="83">
        <f t="shared" si="19"/>
        <v>1500</v>
      </c>
      <c r="G51" s="83">
        <f t="shared" si="20"/>
        <v>16500</v>
      </c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47">
        <v>51</v>
      </c>
      <c r="B52" s="47" t="s">
        <v>166</v>
      </c>
      <c r="C52" s="47" t="s">
        <v>92</v>
      </c>
      <c r="D52" s="48">
        <v>10500</v>
      </c>
      <c r="E52" s="83">
        <f t="shared" si="12"/>
        <v>10500</v>
      </c>
      <c r="F52" s="83">
        <f t="shared" si="19"/>
        <v>1050</v>
      </c>
      <c r="G52" s="83">
        <f t="shared" si="20"/>
        <v>11550</v>
      </c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47">
        <v>52</v>
      </c>
      <c r="B53" s="47" t="s">
        <v>80</v>
      </c>
      <c r="C53" s="47" t="s">
        <v>92</v>
      </c>
      <c r="D53" s="48">
        <v>16000</v>
      </c>
      <c r="E53" s="83">
        <f t="shared" si="12"/>
        <v>16000</v>
      </c>
      <c r="F53" s="83">
        <f t="shared" si="19"/>
        <v>1600</v>
      </c>
      <c r="G53" s="83">
        <f t="shared" si="20"/>
        <v>17600</v>
      </c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47">
        <v>53</v>
      </c>
      <c r="B54" s="47" t="s">
        <v>167</v>
      </c>
      <c r="C54" s="47" t="s">
        <v>92</v>
      </c>
      <c r="D54" s="48">
        <v>10500</v>
      </c>
      <c r="E54" s="83">
        <f t="shared" si="12"/>
        <v>10500</v>
      </c>
      <c r="F54" s="83">
        <f t="shared" si="19"/>
        <v>1050</v>
      </c>
      <c r="G54" s="83">
        <f t="shared" si="20"/>
        <v>11550</v>
      </c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47">
        <v>54</v>
      </c>
      <c r="B55" s="47" t="s">
        <v>81</v>
      </c>
      <c r="C55" s="47" t="s">
        <v>92</v>
      </c>
      <c r="D55" s="48">
        <v>16000</v>
      </c>
      <c r="E55" s="83">
        <f t="shared" si="12"/>
        <v>16000</v>
      </c>
      <c r="F55" s="83">
        <f t="shared" si="19"/>
        <v>1600</v>
      </c>
      <c r="G55" s="83">
        <f t="shared" si="20"/>
        <v>17600</v>
      </c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47">
        <v>55</v>
      </c>
      <c r="B56" s="47" t="s">
        <v>168</v>
      </c>
      <c r="C56" s="47" t="s">
        <v>92</v>
      </c>
      <c r="D56" s="48">
        <v>10500</v>
      </c>
      <c r="E56" s="83">
        <f t="shared" si="12"/>
        <v>10500</v>
      </c>
      <c r="F56" s="83">
        <f t="shared" si="19"/>
        <v>1050</v>
      </c>
      <c r="G56" s="83">
        <f t="shared" si="20"/>
        <v>11550</v>
      </c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47">
        <v>56</v>
      </c>
      <c r="B57" s="47" t="s">
        <v>82</v>
      </c>
      <c r="C57" s="47" t="s">
        <v>92</v>
      </c>
      <c r="D57" s="48">
        <v>16000</v>
      </c>
      <c r="E57" s="83">
        <f t="shared" si="12"/>
        <v>16000</v>
      </c>
      <c r="F57" s="83">
        <f t="shared" si="19"/>
        <v>1600</v>
      </c>
      <c r="G57" s="83">
        <f t="shared" si="20"/>
        <v>17600</v>
      </c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47">
        <v>57</v>
      </c>
      <c r="B58" s="47" t="s">
        <v>169</v>
      </c>
      <c r="C58" s="47" t="s">
        <v>92</v>
      </c>
      <c r="D58" s="48">
        <v>10500</v>
      </c>
      <c r="E58" s="83">
        <f t="shared" si="12"/>
        <v>10500</v>
      </c>
      <c r="F58" s="83">
        <f t="shared" si="19"/>
        <v>1050</v>
      </c>
      <c r="G58" s="83">
        <f t="shared" si="20"/>
        <v>11550</v>
      </c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47">
        <v>58</v>
      </c>
      <c r="B59" s="47" t="s">
        <v>83</v>
      </c>
      <c r="C59" s="47" t="s">
        <v>92</v>
      </c>
      <c r="D59" s="48">
        <v>16000</v>
      </c>
      <c r="E59" s="83">
        <f t="shared" si="12"/>
        <v>16000</v>
      </c>
      <c r="F59" s="83">
        <f t="shared" si="19"/>
        <v>1600</v>
      </c>
      <c r="G59" s="83">
        <f t="shared" si="20"/>
        <v>17600</v>
      </c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47">
        <v>59</v>
      </c>
      <c r="B60" s="47" t="s">
        <v>170</v>
      </c>
      <c r="C60" s="47" t="s">
        <v>92</v>
      </c>
      <c r="D60" s="48">
        <v>10500</v>
      </c>
      <c r="E60" s="83">
        <f t="shared" si="12"/>
        <v>10500</v>
      </c>
      <c r="F60" s="83">
        <f t="shared" si="19"/>
        <v>1050</v>
      </c>
      <c r="G60" s="83">
        <f t="shared" si="20"/>
        <v>11550</v>
      </c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47">
        <v>60</v>
      </c>
      <c r="B61" s="47" t="s">
        <v>84</v>
      </c>
      <c r="C61" s="47" t="s">
        <v>92</v>
      </c>
      <c r="D61" s="48">
        <v>15000</v>
      </c>
      <c r="E61" s="83">
        <f t="shared" si="12"/>
        <v>15000</v>
      </c>
      <c r="F61" s="83">
        <f t="shared" si="19"/>
        <v>1500</v>
      </c>
      <c r="G61" s="83">
        <f t="shared" si="20"/>
        <v>16500</v>
      </c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47">
        <v>61</v>
      </c>
      <c r="B62" s="47" t="s">
        <v>171</v>
      </c>
      <c r="C62" s="47" t="s">
        <v>92</v>
      </c>
      <c r="D62" s="48">
        <v>10500</v>
      </c>
      <c r="E62" s="83">
        <f t="shared" si="12"/>
        <v>10500</v>
      </c>
      <c r="F62" s="83">
        <f t="shared" si="19"/>
        <v>1050</v>
      </c>
      <c r="G62" s="83">
        <f t="shared" si="20"/>
        <v>11550</v>
      </c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47">
        <v>62</v>
      </c>
      <c r="B63" s="47" t="s">
        <v>85</v>
      </c>
      <c r="C63" s="47" t="s">
        <v>92</v>
      </c>
      <c r="D63" s="48">
        <v>15000</v>
      </c>
      <c r="E63" s="83">
        <f t="shared" si="12"/>
        <v>15000</v>
      </c>
      <c r="F63" s="83">
        <f t="shared" si="19"/>
        <v>1500</v>
      </c>
      <c r="G63" s="83">
        <f t="shared" si="20"/>
        <v>16500</v>
      </c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47">
        <v>63</v>
      </c>
      <c r="B64" s="47" t="s">
        <v>172</v>
      </c>
      <c r="C64" s="47" t="s">
        <v>92</v>
      </c>
      <c r="D64" s="48">
        <v>10500</v>
      </c>
      <c r="E64" s="83">
        <f t="shared" si="12"/>
        <v>10500</v>
      </c>
      <c r="F64" s="83">
        <f t="shared" si="19"/>
        <v>1050</v>
      </c>
      <c r="G64" s="83">
        <f t="shared" si="20"/>
        <v>11550</v>
      </c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47">
        <v>64</v>
      </c>
      <c r="B65" s="47" t="s">
        <v>86</v>
      </c>
      <c r="C65" s="47" t="s">
        <v>92</v>
      </c>
      <c r="D65" s="48">
        <v>15000</v>
      </c>
      <c r="E65" s="83">
        <f t="shared" si="12"/>
        <v>15000</v>
      </c>
      <c r="F65" s="83">
        <f t="shared" si="19"/>
        <v>1500</v>
      </c>
      <c r="G65" s="83">
        <f t="shared" si="20"/>
        <v>16500</v>
      </c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47">
        <v>65</v>
      </c>
      <c r="B66" s="67" t="s">
        <v>173</v>
      </c>
      <c r="C66" s="47" t="s">
        <v>92</v>
      </c>
      <c r="D66" s="48">
        <v>10500</v>
      </c>
      <c r="E66" s="83">
        <f t="shared" si="12"/>
        <v>10500</v>
      </c>
      <c r="F66" s="83">
        <f t="shared" si="19"/>
        <v>1050</v>
      </c>
      <c r="G66" s="83">
        <f t="shared" si="20"/>
        <v>11550</v>
      </c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47">
        <v>66</v>
      </c>
      <c r="B67" s="47" t="s">
        <v>87</v>
      </c>
      <c r="C67" s="47" t="s">
        <v>92</v>
      </c>
      <c r="D67" s="48">
        <v>15000</v>
      </c>
      <c r="E67" s="83">
        <f t="shared" si="12"/>
        <v>15000</v>
      </c>
      <c r="F67" s="83">
        <f t="shared" si="19"/>
        <v>1500</v>
      </c>
      <c r="G67" s="83">
        <f t="shared" si="20"/>
        <v>16500</v>
      </c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47">
        <v>67</v>
      </c>
      <c r="B68" s="47" t="s">
        <v>174</v>
      </c>
      <c r="C68" s="47" t="s">
        <v>92</v>
      </c>
      <c r="D68" s="48">
        <v>10500</v>
      </c>
      <c r="E68" s="83">
        <f t="shared" si="12"/>
        <v>10500</v>
      </c>
      <c r="F68" s="83">
        <f t="shared" si="19"/>
        <v>1050</v>
      </c>
      <c r="G68" s="83">
        <f t="shared" si="20"/>
        <v>11550</v>
      </c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47">
        <v>68</v>
      </c>
      <c r="B69" s="47" t="s">
        <v>88</v>
      </c>
      <c r="C69" s="47" t="s">
        <v>92</v>
      </c>
      <c r="D69" s="48">
        <v>15000</v>
      </c>
      <c r="E69" s="83">
        <f t="shared" si="12"/>
        <v>15000</v>
      </c>
      <c r="F69" s="83">
        <f t="shared" si="19"/>
        <v>1500</v>
      </c>
      <c r="G69" s="83">
        <f t="shared" si="20"/>
        <v>16500</v>
      </c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47">
        <v>69</v>
      </c>
      <c r="B70" s="47" t="s">
        <v>175</v>
      </c>
      <c r="C70" s="47" t="s">
        <v>92</v>
      </c>
      <c r="D70" s="48">
        <v>10500</v>
      </c>
      <c r="E70" s="83">
        <f t="shared" si="12"/>
        <v>10500</v>
      </c>
      <c r="F70" s="83">
        <f t="shared" si="19"/>
        <v>1050</v>
      </c>
      <c r="G70" s="83">
        <f t="shared" si="20"/>
        <v>11550</v>
      </c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47">
        <v>70</v>
      </c>
      <c r="B71" s="47" t="s">
        <v>89</v>
      </c>
      <c r="C71" s="47" t="s">
        <v>92</v>
      </c>
      <c r="D71" s="48">
        <v>15000</v>
      </c>
      <c r="E71" s="83">
        <f t="shared" si="12"/>
        <v>15000</v>
      </c>
      <c r="F71" s="83">
        <f t="shared" si="19"/>
        <v>1500</v>
      </c>
      <c r="G71" s="83">
        <f t="shared" si="20"/>
        <v>16500</v>
      </c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47">
        <v>71</v>
      </c>
      <c r="B72" s="47" t="s">
        <v>176</v>
      </c>
      <c r="C72" s="47" t="s">
        <v>92</v>
      </c>
      <c r="D72" s="48">
        <v>10500</v>
      </c>
      <c r="E72" s="83">
        <f t="shared" si="12"/>
        <v>10500</v>
      </c>
      <c r="F72" s="83">
        <f t="shared" si="19"/>
        <v>1050</v>
      </c>
      <c r="G72" s="83">
        <f t="shared" si="20"/>
        <v>11550</v>
      </c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47">
        <v>72</v>
      </c>
      <c r="B73" s="47" t="s">
        <v>90</v>
      </c>
      <c r="C73" s="47" t="s">
        <v>92</v>
      </c>
      <c r="D73" s="48">
        <v>15000</v>
      </c>
      <c r="E73" s="83">
        <f t="shared" si="12"/>
        <v>15000</v>
      </c>
      <c r="F73" s="83">
        <f t="shared" si="19"/>
        <v>1500</v>
      </c>
      <c r="G73" s="83">
        <f t="shared" si="20"/>
        <v>16500</v>
      </c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47">
        <v>73</v>
      </c>
      <c r="B74" s="47" t="s">
        <v>177</v>
      </c>
      <c r="C74" s="47" t="s">
        <v>92</v>
      </c>
      <c r="D74" s="48">
        <v>10500</v>
      </c>
      <c r="E74" s="83">
        <f t="shared" si="12"/>
        <v>10500</v>
      </c>
      <c r="F74" s="83">
        <f t="shared" si="19"/>
        <v>1050</v>
      </c>
      <c r="G74" s="83">
        <f t="shared" si="20"/>
        <v>11550</v>
      </c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47">
        <v>74</v>
      </c>
      <c r="B75" s="47" t="s">
        <v>91</v>
      </c>
      <c r="C75" s="47" t="s">
        <v>92</v>
      </c>
      <c r="D75" s="48">
        <v>15000</v>
      </c>
      <c r="E75" s="83">
        <f t="shared" si="9"/>
        <v>15000</v>
      </c>
      <c r="F75" s="83">
        <f t="shared" si="1"/>
        <v>1500</v>
      </c>
      <c r="G75" s="83">
        <f t="shared" si="11"/>
        <v>16500</v>
      </c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47">
        <v>75</v>
      </c>
      <c r="B76" s="47" t="s">
        <v>93</v>
      </c>
      <c r="C76" s="47" t="s">
        <v>94</v>
      </c>
      <c r="D76" s="48">
        <v>35000</v>
      </c>
      <c r="E76" s="83">
        <f t="shared" si="9"/>
        <v>35000</v>
      </c>
      <c r="F76" s="83">
        <f t="shared" si="1"/>
        <v>3500</v>
      </c>
      <c r="G76" s="83">
        <f t="shared" si="11"/>
        <v>38500</v>
      </c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47">
        <v>76</v>
      </c>
      <c r="B77" s="47" t="s">
        <v>222</v>
      </c>
      <c r="C77" s="47" t="s">
        <v>94</v>
      </c>
      <c r="D77" s="48">
        <v>30000</v>
      </c>
      <c r="E77" s="83">
        <f t="shared" si="9"/>
        <v>30000</v>
      </c>
      <c r="F77" s="83">
        <f t="shared" si="1"/>
        <v>3000</v>
      </c>
      <c r="G77" s="83">
        <f t="shared" si="11"/>
        <v>33000</v>
      </c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47">
        <v>77</v>
      </c>
      <c r="B78" s="47" t="s">
        <v>223</v>
      </c>
      <c r="C78" s="47" t="s">
        <v>94</v>
      </c>
      <c r="D78" s="48">
        <v>42000</v>
      </c>
      <c r="E78" s="83">
        <f t="shared" si="9"/>
        <v>42000</v>
      </c>
      <c r="F78" s="83">
        <f t="shared" si="1"/>
        <v>4200</v>
      </c>
      <c r="G78" s="83">
        <f t="shared" si="11"/>
        <v>46200</v>
      </c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47">
        <v>78</v>
      </c>
      <c r="B79" s="47" t="s">
        <v>224</v>
      </c>
      <c r="C79" s="47" t="s">
        <v>94</v>
      </c>
      <c r="D79" s="48">
        <v>21000</v>
      </c>
      <c r="E79" s="83">
        <f t="shared" si="9"/>
        <v>21000</v>
      </c>
      <c r="F79" s="83">
        <f t="shared" si="1"/>
        <v>2100</v>
      </c>
      <c r="G79" s="83">
        <f t="shared" si="11"/>
        <v>23100</v>
      </c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47">
        <v>79</v>
      </c>
      <c r="B80" s="47" t="s">
        <v>225</v>
      </c>
      <c r="C80" s="47" t="s">
        <v>94</v>
      </c>
      <c r="D80" s="48">
        <v>29400</v>
      </c>
      <c r="E80" s="83">
        <f t="shared" si="9"/>
        <v>29400</v>
      </c>
      <c r="F80" s="83">
        <f t="shared" si="1"/>
        <v>2940</v>
      </c>
      <c r="G80" s="83">
        <f t="shared" si="11"/>
        <v>32340</v>
      </c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47">
        <v>80</v>
      </c>
      <c r="B81" s="47" t="s">
        <v>95</v>
      </c>
      <c r="C81" s="47" t="s">
        <v>96</v>
      </c>
      <c r="D81" s="48">
        <v>7000</v>
      </c>
      <c r="E81" s="83">
        <f t="shared" ref="E81:E92" si="21">D81</f>
        <v>7000</v>
      </c>
      <c r="F81" s="83">
        <f t="shared" si="1"/>
        <v>700</v>
      </c>
      <c r="G81" s="83">
        <f t="shared" si="11"/>
        <v>7700</v>
      </c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47">
        <v>81</v>
      </c>
      <c r="B82" s="47" t="s">
        <v>646</v>
      </c>
      <c r="C82" s="47" t="s">
        <v>131</v>
      </c>
      <c r="D82" s="48">
        <v>10500</v>
      </c>
      <c r="E82" s="83">
        <f t="shared" si="21"/>
        <v>10500</v>
      </c>
      <c r="F82" s="83">
        <f t="shared" si="1"/>
        <v>1050</v>
      </c>
      <c r="G82" s="83">
        <f t="shared" si="11"/>
        <v>11550</v>
      </c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47">
        <v>82</v>
      </c>
      <c r="B83" s="47" t="s">
        <v>647</v>
      </c>
      <c r="C83" s="47" t="s">
        <v>131</v>
      </c>
      <c r="D83" s="48">
        <v>14000</v>
      </c>
      <c r="E83" s="83">
        <f t="shared" si="21"/>
        <v>14000</v>
      </c>
      <c r="F83" s="83">
        <f t="shared" si="1"/>
        <v>1400</v>
      </c>
      <c r="G83" s="83">
        <f t="shared" si="11"/>
        <v>15400</v>
      </c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47">
        <v>83</v>
      </c>
      <c r="B84" s="47" t="s">
        <v>129</v>
      </c>
      <c r="C84" s="47" t="s">
        <v>131</v>
      </c>
      <c r="D84" s="48">
        <v>6000</v>
      </c>
      <c r="E84" s="83">
        <f t="shared" si="21"/>
        <v>6000</v>
      </c>
      <c r="F84" s="83">
        <f t="shared" si="1"/>
        <v>600</v>
      </c>
      <c r="G84" s="83">
        <f t="shared" si="11"/>
        <v>6600</v>
      </c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47">
        <v>84</v>
      </c>
      <c r="B85" s="47" t="s">
        <v>130</v>
      </c>
      <c r="C85" s="47" t="s">
        <v>131</v>
      </c>
      <c r="D85" s="48">
        <v>8000</v>
      </c>
      <c r="E85" s="83">
        <f t="shared" si="21"/>
        <v>8000</v>
      </c>
      <c r="F85" s="83">
        <f t="shared" si="1"/>
        <v>800</v>
      </c>
      <c r="G85" s="83">
        <f t="shared" si="11"/>
        <v>8800</v>
      </c>
      <c r="H85" s="172" t="s">
        <v>454</v>
      </c>
      <c r="I85" s="172"/>
      <c r="J85" s="172"/>
      <c r="K85" s="172"/>
      <c r="L85" s="172"/>
      <c r="M85" s="172"/>
      <c r="N85" s="172"/>
      <c r="O85" s="172"/>
      <c r="P85" s="172"/>
    </row>
    <row r="86" spans="1:16">
      <c r="A86" s="47">
        <v>85</v>
      </c>
      <c r="B86" s="47" t="s">
        <v>182</v>
      </c>
      <c r="C86" s="47"/>
      <c r="D86" s="48">
        <v>3000</v>
      </c>
      <c r="E86" s="83">
        <f t="shared" si="21"/>
        <v>3000</v>
      </c>
      <c r="F86" s="83"/>
      <c r="G86" s="83">
        <f t="shared" si="11"/>
        <v>3000</v>
      </c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47">
        <v>86</v>
      </c>
      <c r="B87" s="47" t="s">
        <v>205</v>
      </c>
      <c r="C87" s="47" t="s">
        <v>204</v>
      </c>
      <c r="D87" s="48">
        <v>7500</v>
      </c>
      <c r="E87" s="83">
        <f t="shared" si="21"/>
        <v>7500</v>
      </c>
      <c r="F87" s="83">
        <f t="shared" ref="F87:F92" si="22">E87*10%</f>
        <v>750</v>
      </c>
      <c r="G87" s="83">
        <f t="shared" si="11"/>
        <v>8250</v>
      </c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47">
        <v>87</v>
      </c>
      <c r="B88" s="47" t="s">
        <v>206</v>
      </c>
      <c r="C88" s="47" t="s">
        <v>204</v>
      </c>
      <c r="D88" s="48">
        <v>7500</v>
      </c>
      <c r="E88" s="83">
        <f t="shared" si="21"/>
        <v>7500</v>
      </c>
      <c r="F88" s="83">
        <f t="shared" si="22"/>
        <v>750</v>
      </c>
      <c r="G88" s="83">
        <f t="shared" si="11"/>
        <v>8250</v>
      </c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47">
        <v>88</v>
      </c>
      <c r="B89" s="47" t="s">
        <v>228</v>
      </c>
      <c r="C89" s="47" t="s">
        <v>57</v>
      </c>
      <c r="D89" s="48">
        <v>25000</v>
      </c>
      <c r="E89" s="83">
        <f t="shared" si="21"/>
        <v>25000</v>
      </c>
      <c r="F89" s="83">
        <f t="shared" si="22"/>
        <v>2500</v>
      </c>
      <c r="G89" s="83">
        <f t="shared" si="11"/>
        <v>27500</v>
      </c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47">
        <v>89</v>
      </c>
      <c r="B90" s="47" t="s">
        <v>235</v>
      </c>
      <c r="C90" s="47" t="s">
        <v>57</v>
      </c>
      <c r="D90" s="48">
        <v>0</v>
      </c>
      <c r="E90" s="83">
        <f t="shared" si="21"/>
        <v>0</v>
      </c>
      <c r="F90" s="83">
        <f t="shared" si="22"/>
        <v>0</v>
      </c>
      <c r="G90" s="83">
        <f t="shared" si="11"/>
        <v>0</v>
      </c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47">
        <v>90</v>
      </c>
      <c r="B91" s="47" t="s">
        <v>236</v>
      </c>
      <c r="C91" s="47" t="s">
        <v>57</v>
      </c>
      <c r="D91" s="48">
        <v>0</v>
      </c>
      <c r="E91" s="83">
        <f t="shared" si="21"/>
        <v>0</v>
      </c>
      <c r="F91" s="83">
        <f t="shared" si="22"/>
        <v>0</v>
      </c>
      <c r="G91" s="83">
        <f t="shared" si="11"/>
        <v>0</v>
      </c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47">
        <v>91</v>
      </c>
      <c r="B92" s="47" t="s">
        <v>405</v>
      </c>
      <c r="C92" s="47"/>
      <c r="D92" s="48">
        <v>30000</v>
      </c>
      <c r="E92" s="83">
        <f t="shared" si="21"/>
        <v>30000</v>
      </c>
      <c r="F92" s="83">
        <f t="shared" si="22"/>
        <v>3000</v>
      </c>
      <c r="G92" s="83">
        <f t="shared" si="11"/>
        <v>33000</v>
      </c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47">
        <v>92</v>
      </c>
      <c r="B93" s="47" t="s">
        <v>636</v>
      </c>
      <c r="C93" s="47" t="s">
        <v>60</v>
      </c>
      <c r="D93" s="48">
        <v>14000</v>
      </c>
      <c r="E93" s="83">
        <f t="shared" ref="E93" si="23">D93</f>
        <v>14000</v>
      </c>
      <c r="F93" s="83">
        <f t="shared" ref="F93" si="24">E93*10%</f>
        <v>1400</v>
      </c>
      <c r="G93" s="83">
        <f t="shared" ref="G93" si="25">SUM(E93:F93)</f>
        <v>15400</v>
      </c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47">
        <v>93</v>
      </c>
      <c r="B94" s="47" t="s">
        <v>637</v>
      </c>
      <c r="C94" s="47" t="s">
        <v>60</v>
      </c>
      <c r="D94" s="48">
        <v>20000</v>
      </c>
      <c r="E94" s="83">
        <f t="shared" ref="E94" si="26">D94</f>
        <v>20000</v>
      </c>
      <c r="F94" s="83">
        <f t="shared" ref="F94" si="27">E94*10%</f>
        <v>2000</v>
      </c>
      <c r="G94" s="83">
        <f t="shared" ref="G94" si="28">SUM(E94:F94)</f>
        <v>22000</v>
      </c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47">
        <v>94</v>
      </c>
      <c r="B95" s="47" t="s">
        <v>688</v>
      </c>
      <c r="C95" s="47" t="s">
        <v>57</v>
      </c>
      <c r="D95" s="48">
        <v>26000</v>
      </c>
      <c r="E95" s="83">
        <f t="shared" ref="E95:E97" si="29">D95</f>
        <v>26000</v>
      </c>
      <c r="F95" s="83">
        <f t="shared" ref="F95:F97" si="30">E95*10%</f>
        <v>2600</v>
      </c>
      <c r="G95" s="83">
        <f t="shared" ref="G95:G97" si="31">SUM(E95:F95)</f>
        <v>28600</v>
      </c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47">
        <v>95</v>
      </c>
      <c r="B96" s="47" t="s">
        <v>689</v>
      </c>
      <c r="C96" s="47" t="s">
        <v>131</v>
      </c>
      <c r="D96" s="48">
        <v>11500</v>
      </c>
      <c r="E96" s="83">
        <f t="shared" si="29"/>
        <v>11500</v>
      </c>
      <c r="F96" s="83">
        <f t="shared" si="30"/>
        <v>1150</v>
      </c>
      <c r="G96" s="83">
        <f t="shared" si="31"/>
        <v>12650</v>
      </c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47">
        <v>95</v>
      </c>
      <c r="B97" s="47" t="s">
        <v>690</v>
      </c>
      <c r="C97" s="47" t="s">
        <v>131</v>
      </c>
      <c r="D97" s="48">
        <v>15000</v>
      </c>
      <c r="E97" s="83">
        <f t="shared" si="29"/>
        <v>15000</v>
      </c>
      <c r="F97" s="83">
        <f t="shared" si="30"/>
        <v>1500</v>
      </c>
      <c r="G97" s="83">
        <f t="shared" si="31"/>
        <v>16500</v>
      </c>
      <c r="H97" s="2"/>
      <c r="I97" s="2"/>
      <c r="J97" s="2"/>
      <c r="K97" s="2"/>
      <c r="L97" s="2"/>
      <c r="M97" s="2"/>
      <c r="N97" s="2"/>
      <c r="O97" s="2"/>
      <c r="P97" s="2"/>
    </row>
  </sheetData>
  <mergeCells count="1">
    <mergeCell ref="H85:P85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5CEF-DA1C-448D-A321-F1FDFCD4CD01}">
  <dimension ref="A1:N704"/>
  <sheetViews>
    <sheetView zoomScaleNormal="100" workbookViewId="0">
      <selection activeCell="M144" sqref="M144"/>
    </sheetView>
  </sheetViews>
  <sheetFormatPr baseColWidth="10" defaultColWidth="8.6640625" defaultRowHeight="19" customHeight="1"/>
  <cols>
    <col min="1" max="1" width="5.6640625" style="3" customWidth="1"/>
    <col min="2" max="2" width="5.6640625" style="2" customWidth="1"/>
    <col min="3" max="3" width="17.1640625" style="2" customWidth="1"/>
    <col min="4" max="4" width="17.5" style="1" customWidth="1"/>
    <col min="5" max="5" width="8.6640625" style="2"/>
    <col min="6" max="7" width="8.6640625" style="21"/>
    <col min="8" max="8" width="12.83203125" style="21" customWidth="1"/>
    <col min="9" max="9" width="8.6640625" style="21"/>
    <col min="10" max="16384" width="8.6640625" style="2"/>
  </cols>
  <sheetData>
    <row r="1" spans="1:11" s="3" customFormat="1" ht="19" customHeight="1">
      <c r="A1" s="37" t="s">
        <v>1</v>
      </c>
      <c r="B1" s="37" t="s">
        <v>5</v>
      </c>
      <c r="C1" s="37" t="s">
        <v>20</v>
      </c>
      <c r="D1" s="37" t="s">
        <v>21</v>
      </c>
      <c r="E1" s="37" t="s">
        <v>3</v>
      </c>
      <c r="F1" s="38" t="s">
        <v>2</v>
      </c>
      <c r="G1" s="38" t="s">
        <v>0</v>
      </c>
      <c r="H1" s="38" t="s">
        <v>4</v>
      </c>
      <c r="I1" s="38" t="s">
        <v>120</v>
      </c>
      <c r="J1" s="38" t="s">
        <v>121</v>
      </c>
      <c r="K1" s="36" t="s">
        <v>135</v>
      </c>
    </row>
    <row r="2" spans="1:11" ht="19" customHeight="1">
      <c r="A2" s="39" t="s">
        <v>179</v>
      </c>
      <c r="B2" s="40"/>
      <c r="C2" s="40" t="s">
        <v>180</v>
      </c>
      <c r="D2" s="41" t="s">
        <v>66</v>
      </c>
      <c r="E2" s="40" t="s">
        <v>60</v>
      </c>
      <c r="F2" s="42">
        <v>1</v>
      </c>
      <c r="G2" s="42">
        <f>VLOOKUP(D2,단가!B:D,3,0)</f>
        <v>15000</v>
      </c>
      <c r="H2" s="42">
        <f t="shared" ref="H2:H15" si="0">F2*G2</f>
        <v>15000</v>
      </c>
      <c r="I2" s="42"/>
      <c r="J2" s="43">
        <f t="shared" ref="J2:J15" si="1">H2+I2</f>
        <v>15000</v>
      </c>
      <c r="K2" s="22"/>
    </row>
    <row r="3" spans="1:11" ht="19" customHeight="1">
      <c r="A3" s="39" t="s">
        <v>179</v>
      </c>
      <c r="B3" s="40"/>
      <c r="C3" s="40" t="s">
        <v>180</v>
      </c>
      <c r="D3" s="41" t="s">
        <v>63</v>
      </c>
      <c r="E3" s="40" t="s">
        <v>60</v>
      </c>
      <c r="F3" s="42">
        <v>1</v>
      </c>
      <c r="G3" s="42">
        <f>VLOOKUP(D3,단가!B:D,3,0)</f>
        <v>15000</v>
      </c>
      <c r="H3" s="42">
        <f t="shared" si="0"/>
        <v>15000</v>
      </c>
      <c r="I3" s="42"/>
      <c r="J3" s="43">
        <f t="shared" si="1"/>
        <v>15000</v>
      </c>
      <c r="K3" s="22"/>
    </row>
    <row r="4" spans="1:11" ht="19" customHeight="1">
      <c r="A4" s="39" t="s">
        <v>179</v>
      </c>
      <c r="B4" s="40"/>
      <c r="C4" s="40" t="s">
        <v>181</v>
      </c>
      <c r="D4" s="41" t="s">
        <v>70</v>
      </c>
      <c r="E4" s="40" t="s">
        <v>60</v>
      </c>
      <c r="F4" s="42">
        <v>1</v>
      </c>
      <c r="G4" s="42">
        <f>VLOOKUP(D4,단가!B:D,3,0)</f>
        <v>15000</v>
      </c>
      <c r="H4" s="42">
        <f t="shared" si="0"/>
        <v>15000</v>
      </c>
      <c r="I4" s="42"/>
      <c r="J4" s="43">
        <f t="shared" si="1"/>
        <v>15000</v>
      </c>
      <c r="K4" s="22"/>
    </row>
    <row r="5" spans="1:11" ht="19" customHeight="1">
      <c r="A5" s="39" t="s">
        <v>179</v>
      </c>
      <c r="B5" s="40"/>
      <c r="C5" s="40" t="s">
        <v>181</v>
      </c>
      <c r="D5" s="41" t="s">
        <v>69</v>
      </c>
      <c r="E5" s="40" t="s">
        <v>60</v>
      </c>
      <c r="F5" s="42">
        <v>1</v>
      </c>
      <c r="G5" s="42">
        <f>VLOOKUP(D5,단가!B:D,3,0)</f>
        <v>15000</v>
      </c>
      <c r="H5" s="42">
        <f t="shared" si="0"/>
        <v>15000</v>
      </c>
      <c r="I5" s="42"/>
      <c r="J5" s="43">
        <f t="shared" si="1"/>
        <v>15000</v>
      </c>
      <c r="K5" s="22"/>
    </row>
    <row r="6" spans="1:11" ht="19" customHeight="1">
      <c r="A6" s="39" t="s">
        <v>194</v>
      </c>
      <c r="B6" s="40"/>
      <c r="C6" s="41" t="s">
        <v>195</v>
      </c>
      <c r="D6" s="41" t="s">
        <v>146</v>
      </c>
      <c r="E6" s="40" t="s">
        <v>60</v>
      </c>
      <c r="F6" s="42">
        <v>15</v>
      </c>
      <c r="G6" s="42">
        <f>VLOOKUP(D6,단가!B:D,3,0)</f>
        <v>10500</v>
      </c>
      <c r="H6" s="42">
        <f t="shared" si="0"/>
        <v>157500</v>
      </c>
      <c r="I6" s="42"/>
      <c r="J6" s="43">
        <f t="shared" si="1"/>
        <v>157500</v>
      </c>
      <c r="K6" s="22"/>
    </row>
    <row r="7" spans="1:11" ht="19" customHeight="1">
      <c r="A7" s="39" t="s">
        <v>194</v>
      </c>
      <c r="B7" s="40"/>
      <c r="C7" s="41" t="s">
        <v>195</v>
      </c>
      <c r="D7" s="41" t="s">
        <v>149</v>
      </c>
      <c r="E7" s="40" t="s">
        <v>60</v>
      </c>
      <c r="F7" s="42">
        <v>2</v>
      </c>
      <c r="G7" s="42">
        <f>VLOOKUP(D7,단가!B:D,3,0)</f>
        <v>10500</v>
      </c>
      <c r="H7" s="42">
        <f t="shared" si="0"/>
        <v>21000</v>
      </c>
      <c r="I7" s="42"/>
      <c r="J7" s="43">
        <f t="shared" si="1"/>
        <v>21000</v>
      </c>
      <c r="K7" s="22"/>
    </row>
    <row r="8" spans="1:11" ht="19" customHeight="1">
      <c r="A8" s="44" t="s">
        <v>200</v>
      </c>
      <c r="B8" s="40"/>
      <c r="C8" s="40" t="s">
        <v>202</v>
      </c>
      <c r="D8" s="41" t="s">
        <v>61</v>
      </c>
      <c r="E8" s="41" t="s">
        <v>57</v>
      </c>
      <c r="F8" s="42">
        <v>2</v>
      </c>
      <c r="G8" s="42">
        <f>VLOOKUP(D8,단가!B:D,3,0)</f>
        <v>20000</v>
      </c>
      <c r="H8" s="42">
        <f t="shared" si="0"/>
        <v>40000</v>
      </c>
      <c r="I8" s="42"/>
      <c r="J8" s="43">
        <f t="shared" si="1"/>
        <v>40000</v>
      </c>
    </row>
    <row r="9" spans="1:11" ht="19" customHeight="1">
      <c r="A9" s="44" t="s">
        <v>200</v>
      </c>
      <c r="B9" s="40"/>
      <c r="C9" s="40" t="s">
        <v>203</v>
      </c>
      <c r="D9" s="41" t="s">
        <v>66</v>
      </c>
      <c r="E9" s="41" t="s">
        <v>60</v>
      </c>
      <c r="F9" s="42">
        <v>1</v>
      </c>
      <c r="G9" s="42">
        <f>VLOOKUP(D9,단가!B:D,3,0)</f>
        <v>15000</v>
      </c>
      <c r="H9" s="42">
        <f t="shared" si="0"/>
        <v>15000</v>
      </c>
      <c r="I9" s="42"/>
      <c r="J9" s="43">
        <f t="shared" si="1"/>
        <v>15000</v>
      </c>
    </row>
    <row r="10" spans="1:11" ht="19" customHeight="1">
      <c r="A10" s="44" t="s">
        <v>200</v>
      </c>
      <c r="B10" s="40"/>
      <c r="C10" s="40" t="s">
        <v>203</v>
      </c>
      <c r="D10" s="41" t="s">
        <v>205</v>
      </c>
      <c r="E10" s="41" t="s">
        <v>219</v>
      </c>
      <c r="F10" s="42">
        <v>1</v>
      </c>
      <c r="G10" s="42">
        <f>VLOOKUP(D10,단가!B:D,3,0)</f>
        <v>7500</v>
      </c>
      <c r="H10" s="42">
        <f t="shared" si="0"/>
        <v>7500</v>
      </c>
      <c r="I10" s="42"/>
      <c r="J10" s="43">
        <f t="shared" si="1"/>
        <v>7500</v>
      </c>
    </row>
    <row r="11" spans="1:11" ht="19" customHeight="1">
      <c r="A11" s="44" t="s">
        <v>200</v>
      </c>
      <c r="B11" s="40"/>
      <c r="C11" s="40" t="s">
        <v>203</v>
      </c>
      <c r="D11" s="41" t="s">
        <v>206</v>
      </c>
      <c r="E11" s="41" t="s">
        <v>219</v>
      </c>
      <c r="F11" s="42">
        <v>1</v>
      </c>
      <c r="G11" s="42">
        <f>VLOOKUP(D11,단가!B:D,3,0)</f>
        <v>7500</v>
      </c>
      <c r="H11" s="42">
        <f t="shared" si="0"/>
        <v>7500</v>
      </c>
      <c r="I11" s="42"/>
      <c r="J11" s="43">
        <f t="shared" si="1"/>
        <v>7500</v>
      </c>
    </row>
    <row r="12" spans="1:11" ht="19" customHeight="1">
      <c r="A12" s="44" t="s">
        <v>214</v>
      </c>
      <c r="B12" s="40"/>
      <c r="C12" s="40" t="s">
        <v>188</v>
      </c>
      <c r="D12" s="45" t="s">
        <v>66</v>
      </c>
      <c r="E12" s="40" t="s">
        <v>215</v>
      </c>
      <c r="F12" s="42">
        <v>2</v>
      </c>
      <c r="G12" s="42">
        <v>12500</v>
      </c>
      <c r="H12" s="42">
        <f t="shared" si="0"/>
        <v>25000</v>
      </c>
      <c r="I12" s="42"/>
      <c r="J12" s="43">
        <f t="shared" si="1"/>
        <v>25000</v>
      </c>
    </row>
    <row r="13" spans="1:11" ht="19" customHeight="1">
      <c r="A13" s="44" t="s">
        <v>214</v>
      </c>
      <c r="B13" s="40"/>
      <c r="C13" s="40" t="s">
        <v>188</v>
      </c>
      <c r="D13" s="45" t="s">
        <v>65</v>
      </c>
      <c r="E13" s="40" t="s">
        <v>215</v>
      </c>
      <c r="F13" s="42">
        <v>2</v>
      </c>
      <c r="G13" s="42">
        <v>12500</v>
      </c>
      <c r="H13" s="42">
        <f t="shared" si="0"/>
        <v>25000</v>
      </c>
      <c r="I13" s="42"/>
      <c r="J13" s="43">
        <f t="shared" si="1"/>
        <v>25000</v>
      </c>
    </row>
    <row r="14" spans="1:11" ht="19" customHeight="1">
      <c r="A14" s="44" t="s">
        <v>214</v>
      </c>
      <c r="B14" s="40"/>
      <c r="C14" s="40" t="s">
        <v>188</v>
      </c>
      <c r="D14" s="45" t="s">
        <v>68</v>
      </c>
      <c r="E14" s="40" t="s">
        <v>215</v>
      </c>
      <c r="F14" s="42">
        <v>2</v>
      </c>
      <c r="G14" s="42">
        <v>10000</v>
      </c>
      <c r="H14" s="42">
        <f t="shared" si="0"/>
        <v>20000</v>
      </c>
      <c r="I14" s="42"/>
      <c r="J14" s="43">
        <f t="shared" si="1"/>
        <v>20000</v>
      </c>
    </row>
    <row r="15" spans="1:11" ht="19" customHeight="1">
      <c r="A15" s="44" t="s">
        <v>214</v>
      </c>
      <c r="B15" s="40"/>
      <c r="C15" s="40" t="s">
        <v>188</v>
      </c>
      <c r="D15" s="45" t="s">
        <v>64</v>
      </c>
      <c r="E15" s="40" t="s">
        <v>215</v>
      </c>
      <c r="F15" s="42">
        <v>2</v>
      </c>
      <c r="G15" s="42">
        <v>12500</v>
      </c>
      <c r="H15" s="42">
        <f t="shared" si="0"/>
        <v>25000</v>
      </c>
      <c r="I15" s="42"/>
      <c r="J15" s="43">
        <f t="shared" si="1"/>
        <v>25000</v>
      </c>
    </row>
    <row r="16" spans="1:11" ht="19" customHeight="1">
      <c r="A16" s="44" t="s">
        <v>216</v>
      </c>
      <c r="B16" s="40"/>
      <c r="C16" s="40" t="s">
        <v>218</v>
      </c>
      <c r="D16" s="41" t="s">
        <v>82</v>
      </c>
      <c r="E16" s="41" t="s">
        <v>92</v>
      </c>
      <c r="F16" s="42">
        <v>1</v>
      </c>
      <c r="G16" s="42">
        <f>VLOOKUP(D16,단가!B:D,3,0)</f>
        <v>16000</v>
      </c>
      <c r="H16" s="42">
        <f t="shared" ref="H16:H73" si="2">F16*G16</f>
        <v>16000</v>
      </c>
      <c r="I16" s="42"/>
      <c r="J16" s="43">
        <f t="shared" ref="J16:J72" si="3">H16+I16</f>
        <v>16000</v>
      </c>
    </row>
    <row r="17" spans="1:14" ht="19" customHeight="1">
      <c r="A17" s="44" t="s">
        <v>216</v>
      </c>
      <c r="B17" s="40"/>
      <c r="C17" s="40" t="s">
        <v>218</v>
      </c>
      <c r="D17" s="41" t="s">
        <v>80</v>
      </c>
      <c r="E17" s="41" t="s">
        <v>92</v>
      </c>
      <c r="F17" s="42">
        <v>3</v>
      </c>
      <c r="G17" s="42">
        <f>VLOOKUP(D17,단가!B:D,3,0)</f>
        <v>16000</v>
      </c>
      <c r="H17" s="42">
        <f t="shared" si="2"/>
        <v>48000</v>
      </c>
      <c r="I17" s="42"/>
      <c r="J17" s="43">
        <f t="shared" si="3"/>
        <v>48000</v>
      </c>
    </row>
    <row r="18" spans="1:14" ht="19" customHeight="1">
      <c r="A18" s="44" t="s">
        <v>216</v>
      </c>
      <c r="B18" s="40"/>
      <c r="C18" s="40" t="s">
        <v>218</v>
      </c>
      <c r="D18" s="41" t="s">
        <v>79</v>
      </c>
      <c r="E18" s="41" t="s">
        <v>92</v>
      </c>
      <c r="F18" s="42">
        <v>3</v>
      </c>
      <c r="G18" s="42">
        <f>VLOOKUP(D18,단가!B:D,3,0)</f>
        <v>15000</v>
      </c>
      <c r="H18" s="42">
        <f t="shared" si="2"/>
        <v>45000</v>
      </c>
      <c r="I18" s="42"/>
      <c r="J18" s="43">
        <f t="shared" si="3"/>
        <v>45000</v>
      </c>
    </row>
    <row r="19" spans="1:14" ht="19" customHeight="1">
      <c r="A19" s="44" t="s">
        <v>216</v>
      </c>
      <c r="B19" s="40"/>
      <c r="C19" s="40" t="s">
        <v>218</v>
      </c>
      <c r="D19" s="41" t="s">
        <v>83</v>
      </c>
      <c r="E19" s="41" t="s">
        <v>92</v>
      </c>
      <c r="F19" s="42">
        <v>1</v>
      </c>
      <c r="G19" s="42">
        <f>VLOOKUP(D19,단가!B:D,3,0)</f>
        <v>16000</v>
      </c>
      <c r="H19" s="42">
        <f t="shared" si="2"/>
        <v>16000</v>
      </c>
      <c r="I19" s="42"/>
      <c r="J19" s="43">
        <f t="shared" si="3"/>
        <v>16000</v>
      </c>
      <c r="K19" s="22"/>
    </row>
    <row r="20" spans="1:14" ht="19" customHeight="1">
      <c r="A20" s="44" t="s">
        <v>220</v>
      </c>
      <c r="B20" s="40"/>
      <c r="C20" s="40" t="s">
        <v>180</v>
      </c>
      <c r="D20" s="41" t="s">
        <v>66</v>
      </c>
      <c r="E20" s="40" t="s">
        <v>60</v>
      </c>
      <c r="F20" s="42">
        <v>1</v>
      </c>
      <c r="G20" s="42">
        <f>VLOOKUP(D20,단가!B:D,3,0)</f>
        <v>15000</v>
      </c>
      <c r="H20" s="42">
        <f t="shared" si="2"/>
        <v>15000</v>
      </c>
      <c r="I20" s="42"/>
      <c r="J20" s="43">
        <f t="shared" si="3"/>
        <v>15000</v>
      </c>
      <c r="K20" s="22"/>
    </row>
    <row r="21" spans="1:14" ht="19" customHeight="1">
      <c r="A21" s="44" t="s">
        <v>220</v>
      </c>
      <c r="B21" s="40"/>
      <c r="C21" s="40" t="s">
        <v>180</v>
      </c>
      <c r="D21" s="41" t="s">
        <v>63</v>
      </c>
      <c r="E21" s="40" t="s">
        <v>60</v>
      </c>
      <c r="F21" s="42">
        <v>1</v>
      </c>
      <c r="G21" s="42">
        <f>VLOOKUP(D21,단가!B:D,3,0)</f>
        <v>15000</v>
      </c>
      <c r="H21" s="42">
        <f t="shared" si="2"/>
        <v>15000</v>
      </c>
      <c r="I21" s="42"/>
      <c r="J21" s="43">
        <f t="shared" si="3"/>
        <v>15000</v>
      </c>
      <c r="K21" s="22"/>
    </row>
    <row r="22" spans="1:14" ht="19" customHeight="1">
      <c r="A22" s="44" t="s">
        <v>220</v>
      </c>
      <c r="B22" s="40"/>
      <c r="C22" s="40" t="s">
        <v>221</v>
      </c>
      <c r="D22" s="41" t="s">
        <v>222</v>
      </c>
      <c r="E22" s="40" t="s">
        <v>94</v>
      </c>
      <c r="F22" s="42">
        <v>1</v>
      </c>
      <c r="G22" s="42">
        <f>VLOOKUP(D22,단가!B:D,3,0)</f>
        <v>30000</v>
      </c>
      <c r="H22" s="42">
        <f t="shared" si="2"/>
        <v>30000</v>
      </c>
      <c r="I22" s="42"/>
      <c r="J22" s="43">
        <f t="shared" si="3"/>
        <v>30000</v>
      </c>
      <c r="K22" s="22"/>
    </row>
    <row r="23" spans="1:14" ht="19" customHeight="1">
      <c r="A23" s="44" t="s">
        <v>220</v>
      </c>
      <c r="B23" s="40"/>
      <c r="C23" s="41" t="s">
        <v>195</v>
      </c>
      <c r="D23" s="41" t="s">
        <v>225</v>
      </c>
      <c r="E23" s="40" t="s">
        <v>94</v>
      </c>
      <c r="F23" s="42">
        <v>3</v>
      </c>
      <c r="G23" s="42">
        <f>VLOOKUP(D23,단가!B:D,3,0)</f>
        <v>29400</v>
      </c>
      <c r="H23" s="42">
        <f t="shared" si="2"/>
        <v>88200</v>
      </c>
      <c r="I23" s="42"/>
      <c r="J23" s="43">
        <f t="shared" si="3"/>
        <v>88200</v>
      </c>
      <c r="K23" s="22"/>
    </row>
    <row r="24" spans="1:14" ht="19" customHeight="1">
      <c r="A24" s="44" t="s">
        <v>227</v>
      </c>
      <c r="B24" s="40"/>
      <c r="C24" s="40" t="s">
        <v>226</v>
      </c>
      <c r="D24" s="41" t="s">
        <v>235</v>
      </c>
      <c r="E24" s="40" t="s">
        <v>57</v>
      </c>
      <c r="F24" s="42">
        <v>1</v>
      </c>
      <c r="G24" s="42">
        <f>VLOOKUP(D24,단가!B:D,3,0)</f>
        <v>0</v>
      </c>
      <c r="H24" s="42">
        <f t="shared" si="2"/>
        <v>0</v>
      </c>
      <c r="I24" s="42"/>
      <c r="J24" s="43">
        <f t="shared" si="3"/>
        <v>0</v>
      </c>
      <c r="K24" s="22"/>
    </row>
    <row r="25" spans="1:14" ht="19" customHeight="1">
      <c r="A25" s="44" t="s">
        <v>227</v>
      </c>
      <c r="B25" s="40"/>
      <c r="C25" s="40" t="s">
        <v>226</v>
      </c>
      <c r="D25" s="41" t="s">
        <v>84</v>
      </c>
      <c r="E25" s="41" t="s">
        <v>92</v>
      </c>
      <c r="F25" s="42">
        <v>1</v>
      </c>
      <c r="G25" s="42">
        <f>VLOOKUP(D25,단가!B:D,3,0)</f>
        <v>15000</v>
      </c>
      <c r="H25" s="42">
        <f t="shared" si="2"/>
        <v>15000</v>
      </c>
      <c r="I25" s="42"/>
      <c r="J25" s="43">
        <f t="shared" si="3"/>
        <v>15000</v>
      </c>
      <c r="K25" s="22"/>
    </row>
    <row r="26" spans="1:14" ht="19" customHeight="1">
      <c r="A26" s="44" t="s">
        <v>227</v>
      </c>
      <c r="B26" s="40"/>
      <c r="C26" s="40" t="s">
        <v>226</v>
      </c>
      <c r="D26" s="41" t="s">
        <v>82</v>
      </c>
      <c r="E26" s="41" t="s">
        <v>92</v>
      </c>
      <c r="F26" s="42">
        <v>1</v>
      </c>
      <c r="G26" s="42">
        <f>VLOOKUP(D26,단가!B:D,3,0)</f>
        <v>16000</v>
      </c>
      <c r="H26" s="42">
        <f t="shared" si="2"/>
        <v>16000</v>
      </c>
      <c r="I26" s="42"/>
      <c r="J26" s="43">
        <f t="shared" si="3"/>
        <v>16000</v>
      </c>
      <c r="K26" s="22"/>
    </row>
    <row r="27" spans="1:14" ht="19" customHeight="1">
      <c r="A27" s="44" t="s">
        <v>229</v>
      </c>
      <c r="B27" s="40"/>
      <c r="C27" s="40" t="s">
        <v>230</v>
      </c>
      <c r="D27" s="41" t="s">
        <v>83</v>
      </c>
      <c r="E27" s="41" t="s">
        <v>92</v>
      </c>
      <c r="F27" s="42">
        <v>1</v>
      </c>
      <c r="G27" s="42">
        <f>VLOOKUP(D27,단가!B:D,3,0)</f>
        <v>16000</v>
      </c>
      <c r="H27" s="42">
        <f t="shared" si="2"/>
        <v>16000</v>
      </c>
      <c r="I27" s="42"/>
      <c r="J27" s="43">
        <f t="shared" si="3"/>
        <v>16000</v>
      </c>
      <c r="K27" s="22"/>
    </row>
    <row r="28" spans="1:14" ht="19" customHeight="1">
      <c r="A28" s="44" t="s">
        <v>229</v>
      </c>
      <c r="B28" s="40"/>
      <c r="C28" s="40" t="s">
        <v>230</v>
      </c>
      <c r="D28" s="41" t="s">
        <v>80</v>
      </c>
      <c r="E28" s="41" t="s">
        <v>92</v>
      </c>
      <c r="F28" s="42">
        <v>1</v>
      </c>
      <c r="G28" s="42">
        <f>VLOOKUP(D28,단가!B:D,3,0)</f>
        <v>16000</v>
      </c>
      <c r="H28" s="42">
        <f t="shared" si="2"/>
        <v>16000</v>
      </c>
      <c r="I28" s="42"/>
      <c r="J28" s="43">
        <f t="shared" si="3"/>
        <v>16000</v>
      </c>
      <c r="K28" s="22"/>
    </row>
    <row r="29" spans="1:14" ht="19" customHeight="1">
      <c r="A29" s="44" t="s">
        <v>232</v>
      </c>
      <c r="B29" s="40"/>
      <c r="C29" s="40" t="s">
        <v>233</v>
      </c>
      <c r="D29" s="41" t="s">
        <v>223</v>
      </c>
      <c r="E29" s="40" t="s">
        <v>94</v>
      </c>
      <c r="F29" s="42">
        <v>1</v>
      </c>
      <c r="G29" s="42">
        <f>VLOOKUP(D29,단가!B:D,3,0)</f>
        <v>42000</v>
      </c>
      <c r="H29" s="42">
        <f t="shared" si="2"/>
        <v>42000</v>
      </c>
      <c r="I29" s="42"/>
      <c r="J29" s="43">
        <f t="shared" si="3"/>
        <v>42000</v>
      </c>
      <c r="K29" s="22"/>
    </row>
    <row r="30" spans="1:14" ht="19" customHeight="1">
      <c r="A30" s="44" t="s">
        <v>232</v>
      </c>
      <c r="B30" s="40"/>
      <c r="C30" s="40" t="s">
        <v>234</v>
      </c>
      <c r="D30" s="41" t="s">
        <v>235</v>
      </c>
      <c r="E30" s="40" t="s">
        <v>57</v>
      </c>
      <c r="F30" s="42">
        <v>2</v>
      </c>
      <c r="G30" s="42">
        <f>VLOOKUP(D30,단가!B:D,3,0)</f>
        <v>0</v>
      </c>
      <c r="H30" s="42">
        <f t="shared" si="2"/>
        <v>0</v>
      </c>
      <c r="I30" s="42">
        <f t="shared" ref="I30:I31" si="4">H30*0.1</f>
        <v>0</v>
      </c>
      <c r="J30" s="43">
        <f t="shared" si="3"/>
        <v>0</v>
      </c>
      <c r="K30" s="22"/>
    </row>
    <row r="31" spans="1:14" ht="19" customHeight="1">
      <c r="A31" s="44" t="s">
        <v>232</v>
      </c>
      <c r="B31" s="40"/>
      <c r="C31" s="40" t="s">
        <v>234</v>
      </c>
      <c r="D31" s="41" t="s">
        <v>236</v>
      </c>
      <c r="E31" s="40" t="s">
        <v>57</v>
      </c>
      <c r="F31" s="42">
        <v>2</v>
      </c>
      <c r="G31" s="42">
        <f>VLOOKUP(D31,단가!B:D,3,0)</f>
        <v>0</v>
      </c>
      <c r="H31" s="42">
        <f t="shared" si="2"/>
        <v>0</v>
      </c>
      <c r="I31" s="42">
        <f t="shared" si="4"/>
        <v>0</v>
      </c>
      <c r="J31" s="43">
        <f t="shared" si="3"/>
        <v>0</v>
      </c>
      <c r="K31" s="22"/>
      <c r="M31" s="28"/>
      <c r="N31" s="28"/>
    </row>
    <row r="32" spans="1:14" ht="19" customHeight="1">
      <c r="A32" s="44" t="s">
        <v>241</v>
      </c>
      <c r="B32" s="40"/>
      <c r="C32" s="41" t="s">
        <v>195</v>
      </c>
      <c r="D32" s="41" t="s">
        <v>225</v>
      </c>
      <c r="E32" s="40" t="s">
        <v>94</v>
      </c>
      <c r="F32" s="42">
        <v>4</v>
      </c>
      <c r="G32" s="42">
        <f>VLOOKUP(D32,단가!B:D,3,0)</f>
        <v>29400</v>
      </c>
      <c r="H32" s="42">
        <f t="shared" si="2"/>
        <v>117600</v>
      </c>
      <c r="I32" s="42"/>
      <c r="J32" s="43">
        <f t="shared" si="3"/>
        <v>117600</v>
      </c>
      <c r="K32" s="22"/>
      <c r="M32" s="28"/>
    </row>
    <row r="33" spans="1:13" ht="19" customHeight="1">
      <c r="A33" s="44" t="s">
        <v>243</v>
      </c>
      <c r="B33" s="40"/>
      <c r="C33" s="40" t="s">
        <v>181</v>
      </c>
      <c r="D33" s="45" t="s">
        <v>69</v>
      </c>
      <c r="E33" s="41" t="s">
        <v>60</v>
      </c>
      <c r="F33" s="42">
        <v>1</v>
      </c>
      <c r="G33" s="42">
        <f>VLOOKUP(D33,단가!B:D,3,0)</f>
        <v>15000</v>
      </c>
      <c r="H33" s="42">
        <f t="shared" si="2"/>
        <v>15000</v>
      </c>
      <c r="I33" s="42"/>
      <c r="J33" s="43">
        <f t="shared" si="3"/>
        <v>15000</v>
      </c>
      <c r="K33" s="22"/>
    </row>
    <row r="34" spans="1:13" ht="19" customHeight="1">
      <c r="A34" s="44" t="s">
        <v>243</v>
      </c>
      <c r="B34" s="40"/>
      <c r="C34" s="40" t="s">
        <v>181</v>
      </c>
      <c r="D34" s="45" t="s">
        <v>70</v>
      </c>
      <c r="E34" s="41" t="s">
        <v>60</v>
      </c>
      <c r="F34" s="42">
        <v>1</v>
      </c>
      <c r="G34" s="42">
        <f>VLOOKUP(D34,단가!B:D,3,0)</f>
        <v>15000</v>
      </c>
      <c r="H34" s="42">
        <f t="shared" si="2"/>
        <v>15000</v>
      </c>
      <c r="I34" s="42"/>
      <c r="J34" s="43">
        <f t="shared" si="3"/>
        <v>15000</v>
      </c>
      <c r="K34" s="22"/>
      <c r="M34" s="28"/>
    </row>
    <row r="35" spans="1:13" ht="19" customHeight="1">
      <c r="A35" s="44" t="s">
        <v>243</v>
      </c>
      <c r="B35" s="40"/>
      <c r="C35" s="40" t="s">
        <v>180</v>
      </c>
      <c r="D35" s="45" t="s">
        <v>66</v>
      </c>
      <c r="E35" s="41" t="s">
        <v>60</v>
      </c>
      <c r="F35" s="42">
        <v>1</v>
      </c>
      <c r="G35" s="42">
        <f>VLOOKUP(D35,단가!B:D,3,0)</f>
        <v>15000</v>
      </c>
      <c r="H35" s="42">
        <f t="shared" si="2"/>
        <v>15000</v>
      </c>
      <c r="I35" s="42"/>
      <c r="J35" s="43">
        <f t="shared" si="3"/>
        <v>15000</v>
      </c>
      <c r="K35" s="22"/>
      <c r="M35" s="28"/>
    </row>
    <row r="36" spans="1:13" ht="19" customHeight="1">
      <c r="A36" s="44" t="s">
        <v>243</v>
      </c>
      <c r="B36" s="40"/>
      <c r="C36" s="40" t="s">
        <v>180</v>
      </c>
      <c r="D36" s="41" t="s">
        <v>87</v>
      </c>
      <c r="E36" s="41" t="s">
        <v>92</v>
      </c>
      <c r="F36" s="42">
        <v>1</v>
      </c>
      <c r="G36" s="42">
        <f>VLOOKUP(D36,단가!B:D,3,0)</f>
        <v>15000</v>
      </c>
      <c r="H36" s="42">
        <f t="shared" si="2"/>
        <v>15000</v>
      </c>
      <c r="I36" s="42"/>
      <c r="J36" s="43">
        <f t="shared" si="3"/>
        <v>15000</v>
      </c>
      <c r="K36" s="22"/>
      <c r="L36" s="28"/>
    </row>
    <row r="37" spans="1:13" ht="19" customHeight="1">
      <c r="A37" s="44" t="s">
        <v>243</v>
      </c>
      <c r="B37" s="40"/>
      <c r="C37" s="40" t="s">
        <v>180</v>
      </c>
      <c r="D37" s="41" t="s">
        <v>81</v>
      </c>
      <c r="E37" s="41" t="s">
        <v>92</v>
      </c>
      <c r="F37" s="42">
        <v>2</v>
      </c>
      <c r="G37" s="42">
        <f>VLOOKUP(D37,단가!B:D,3,0)</f>
        <v>16000</v>
      </c>
      <c r="H37" s="42">
        <f t="shared" si="2"/>
        <v>32000</v>
      </c>
      <c r="I37" s="42"/>
      <c r="J37" s="43">
        <f t="shared" si="3"/>
        <v>32000</v>
      </c>
      <c r="K37" s="22"/>
      <c r="M37" s="28"/>
    </row>
    <row r="38" spans="1:13" ht="19" customHeight="1">
      <c r="A38" s="44" t="s">
        <v>243</v>
      </c>
      <c r="B38" s="40"/>
      <c r="C38" s="40" t="s">
        <v>180</v>
      </c>
      <c r="D38" s="41" t="s">
        <v>63</v>
      </c>
      <c r="E38" s="41" t="s">
        <v>60</v>
      </c>
      <c r="F38" s="42">
        <v>1</v>
      </c>
      <c r="G38" s="42">
        <f>VLOOKUP(D38,단가!B:D,3,0)</f>
        <v>15000</v>
      </c>
      <c r="H38" s="42">
        <f t="shared" si="2"/>
        <v>15000</v>
      </c>
      <c r="I38" s="42"/>
      <c r="J38" s="43">
        <f t="shared" si="3"/>
        <v>15000</v>
      </c>
      <c r="K38" s="22"/>
    </row>
    <row r="39" spans="1:13" ht="19" customHeight="1">
      <c r="A39" s="44" t="s">
        <v>243</v>
      </c>
      <c r="B39" s="40"/>
      <c r="C39" s="40" t="s">
        <v>180</v>
      </c>
      <c r="D39" s="45" t="s">
        <v>66</v>
      </c>
      <c r="E39" s="41" t="s">
        <v>60</v>
      </c>
      <c r="F39" s="42">
        <v>1</v>
      </c>
      <c r="G39" s="42">
        <f>VLOOKUP(D39,단가!B:D,3,0)</f>
        <v>15000</v>
      </c>
      <c r="H39" s="42">
        <f t="shared" si="2"/>
        <v>15000</v>
      </c>
      <c r="I39" s="42"/>
      <c r="J39" s="43">
        <f t="shared" si="3"/>
        <v>15000</v>
      </c>
      <c r="K39" s="25"/>
    </row>
    <row r="40" spans="1:13" ht="19" customHeight="1">
      <c r="A40" s="44" t="s">
        <v>243</v>
      </c>
      <c r="B40" s="40"/>
      <c r="C40" s="40" t="s">
        <v>244</v>
      </c>
      <c r="D40" s="41" t="s">
        <v>223</v>
      </c>
      <c r="E40" s="41" t="s">
        <v>94</v>
      </c>
      <c r="F40" s="42">
        <v>4</v>
      </c>
      <c r="G40" s="42">
        <f>VLOOKUP(D40,단가!B:D,3,0)</f>
        <v>42000</v>
      </c>
      <c r="H40" s="42">
        <f t="shared" si="2"/>
        <v>168000</v>
      </c>
      <c r="I40" s="42"/>
      <c r="J40" s="43">
        <f t="shared" si="3"/>
        <v>168000</v>
      </c>
      <c r="K40" s="22"/>
    </row>
    <row r="41" spans="1:13" ht="19" customHeight="1">
      <c r="A41" s="44" t="s">
        <v>243</v>
      </c>
      <c r="B41" s="40"/>
      <c r="C41" s="40" t="s">
        <v>245</v>
      </c>
      <c r="D41" s="41" t="s">
        <v>222</v>
      </c>
      <c r="E41" s="41" t="s">
        <v>94</v>
      </c>
      <c r="F41" s="42">
        <v>1</v>
      </c>
      <c r="G41" s="42">
        <f>VLOOKUP(D41,단가!B:D,3,0)</f>
        <v>30000</v>
      </c>
      <c r="H41" s="42">
        <f t="shared" si="2"/>
        <v>30000</v>
      </c>
      <c r="I41" s="42"/>
      <c r="J41" s="43">
        <f t="shared" si="3"/>
        <v>30000</v>
      </c>
      <c r="K41" s="22"/>
      <c r="L41" s="28"/>
    </row>
    <row r="42" spans="1:13" ht="19" customHeight="1">
      <c r="A42" s="44" t="s">
        <v>243</v>
      </c>
      <c r="B42" s="40"/>
      <c r="C42" s="40" t="s">
        <v>246</v>
      </c>
      <c r="D42" s="41" t="s">
        <v>222</v>
      </c>
      <c r="E42" s="41" t="s">
        <v>94</v>
      </c>
      <c r="F42" s="42">
        <v>1</v>
      </c>
      <c r="G42" s="42">
        <f>VLOOKUP(D42,단가!B:D,3,0)</f>
        <v>30000</v>
      </c>
      <c r="H42" s="42">
        <f t="shared" si="2"/>
        <v>30000</v>
      </c>
      <c r="I42" s="42"/>
      <c r="J42" s="43">
        <f t="shared" si="3"/>
        <v>30000</v>
      </c>
      <c r="K42" s="22"/>
    </row>
    <row r="43" spans="1:13" ht="19" customHeight="1">
      <c r="A43" s="44" t="s">
        <v>253</v>
      </c>
      <c r="B43" s="40"/>
      <c r="C43" s="40" t="s">
        <v>143</v>
      </c>
      <c r="D43" s="41" t="s">
        <v>228</v>
      </c>
      <c r="E43" s="40" t="s">
        <v>57</v>
      </c>
      <c r="F43" s="42">
        <v>1</v>
      </c>
      <c r="G43" s="42">
        <f>VLOOKUP(D43,단가!B:D,3,0)</f>
        <v>25000</v>
      </c>
      <c r="H43" s="42">
        <f t="shared" si="2"/>
        <v>25000</v>
      </c>
      <c r="I43" s="42"/>
      <c r="J43" s="43">
        <f t="shared" si="3"/>
        <v>25000</v>
      </c>
      <c r="K43" s="22"/>
    </row>
    <row r="44" spans="1:13" ht="19" customHeight="1">
      <c r="A44" s="44" t="s">
        <v>253</v>
      </c>
      <c r="B44" s="40"/>
      <c r="C44" s="40" t="s">
        <v>142</v>
      </c>
      <c r="D44" s="41" t="s">
        <v>228</v>
      </c>
      <c r="E44" s="40" t="s">
        <v>57</v>
      </c>
      <c r="F44" s="42">
        <v>2</v>
      </c>
      <c r="G44" s="42">
        <f>VLOOKUP(D44,단가!B:D,3,0)</f>
        <v>25000</v>
      </c>
      <c r="H44" s="42">
        <f t="shared" si="2"/>
        <v>50000</v>
      </c>
      <c r="I44" s="42"/>
      <c r="J44" s="43">
        <f t="shared" si="3"/>
        <v>50000</v>
      </c>
      <c r="K44" s="22"/>
    </row>
    <row r="45" spans="1:13" ht="19" customHeight="1">
      <c r="A45" s="44" t="s">
        <v>255</v>
      </c>
      <c r="B45" s="40"/>
      <c r="C45" s="40" t="s">
        <v>256</v>
      </c>
      <c r="D45" s="41" t="s">
        <v>69</v>
      </c>
      <c r="E45" s="41" t="s">
        <v>60</v>
      </c>
      <c r="F45" s="42">
        <v>1</v>
      </c>
      <c r="G45" s="42">
        <f>VLOOKUP(D45,단가!B:D,3,0)</f>
        <v>15000</v>
      </c>
      <c r="H45" s="42">
        <f t="shared" si="2"/>
        <v>15000</v>
      </c>
      <c r="I45" s="42"/>
      <c r="J45" s="43">
        <f t="shared" si="3"/>
        <v>15000</v>
      </c>
      <c r="K45" s="22"/>
    </row>
    <row r="46" spans="1:13" ht="19" customHeight="1">
      <c r="A46" s="44" t="s">
        <v>255</v>
      </c>
      <c r="B46" s="40"/>
      <c r="C46" s="40" t="s">
        <v>256</v>
      </c>
      <c r="D46" s="41" t="s">
        <v>64</v>
      </c>
      <c r="E46" s="41" t="s">
        <v>60</v>
      </c>
      <c r="F46" s="46">
        <v>1</v>
      </c>
      <c r="G46" s="42">
        <f>VLOOKUP(D46,단가!B:D,3,0)</f>
        <v>15000</v>
      </c>
      <c r="H46" s="42">
        <f t="shared" si="2"/>
        <v>15000</v>
      </c>
      <c r="I46" s="42"/>
      <c r="J46" s="43">
        <f t="shared" si="3"/>
        <v>15000</v>
      </c>
      <c r="K46" s="22"/>
    </row>
    <row r="47" spans="1:13" ht="19" customHeight="1">
      <c r="A47" s="44" t="s">
        <v>255</v>
      </c>
      <c r="B47" s="40"/>
      <c r="C47" s="40" t="s">
        <v>256</v>
      </c>
      <c r="D47" s="41" t="s">
        <v>68</v>
      </c>
      <c r="E47" s="41" t="s">
        <v>60</v>
      </c>
      <c r="F47" s="42">
        <v>1</v>
      </c>
      <c r="G47" s="42">
        <f>VLOOKUP(D47,단가!B:D,3,0)</f>
        <v>15000</v>
      </c>
      <c r="H47" s="42">
        <f t="shared" si="2"/>
        <v>15000</v>
      </c>
      <c r="I47" s="42"/>
      <c r="J47" s="43">
        <f t="shared" si="3"/>
        <v>15000</v>
      </c>
      <c r="K47" s="22"/>
    </row>
    <row r="48" spans="1:13" ht="19" customHeight="1">
      <c r="A48" s="44" t="s">
        <v>255</v>
      </c>
      <c r="B48" s="40"/>
      <c r="C48" s="40" t="s">
        <v>256</v>
      </c>
      <c r="D48" s="41" t="s">
        <v>70</v>
      </c>
      <c r="E48" s="41" t="s">
        <v>60</v>
      </c>
      <c r="F48" s="42">
        <v>1</v>
      </c>
      <c r="G48" s="42">
        <f>VLOOKUP(D48,단가!B:D,3,0)</f>
        <v>15000</v>
      </c>
      <c r="H48" s="42">
        <f t="shared" si="2"/>
        <v>15000</v>
      </c>
      <c r="I48" s="42"/>
      <c r="J48" s="43">
        <f t="shared" si="3"/>
        <v>15000</v>
      </c>
      <c r="K48" s="25"/>
    </row>
    <row r="49" spans="1:12" ht="19" customHeight="1">
      <c r="A49" s="44" t="s">
        <v>255</v>
      </c>
      <c r="B49" s="40"/>
      <c r="C49" s="40" t="s">
        <v>256</v>
      </c>
      <c r="D49" s="41" t="s">
        <v>63</v>
      </c>
      <c r="E49" s="41" t="s">
        <v>60</v>
      </c>
      <c r="F49" s="42">
        <v>1</v>
      </c>
      <c r="G49" s="42">
        <f>VLOOKUP(D49,단가!B:D,3,0)</f>
        <v>15000</v>
      </c>
      <c r="H49" s="42">
        <f t="shared" si="2"/>
        <v>15000</v>
      </c>
      <c r="I49" s="42"/>
      <c r="J49" s="43">
        <f t="shared" si="3"/>
        <v>15000</v>
      </c>
      <c r="K49" s="22"/>
    </row>
    <row r="50" spans="1:12" ht="19" customHeight="1">
      <c r="A50" s="44" t="s">
        <v>257</v>
      </c>
      <c r="B50" s="40"/>
      <c r="C50" s="40" t="s">
        <v>258</v>
      </c>
      <c r="D50" s="41" t="s">
        <v>63</v>
      </c>
      <c r="E50" s="41" t="s">
        <v>60</v>
      </c>
      <c r="F50" s="42">
        <v>4</v>
      </c>
      <c r="G50" s="42">
        <f>VLOOKUP(D50,단가!B:D,3,0)</f>
        <v>15000</v>
      </c>
      <c r="H50" s="42">
        <f t="shared" si="2"/>
        <v>60000</v>
      </c>
      <c r="I50" s="42"/>
      <c r="J50" s="43">
        <f t="shared" si="3"/>
        <v>60000</v>
      </c>
      <c r="K50" s="22"/>
    </row>
    <row r="51" spans="1:12" ht="19" customHeight="1">
      <c r="A51" s="44" t="s">
        <v>257</v>
      </c>
      <c r="B51" s="40"/>
      <c r="C51" s="40" t="s">
        <v>258</v>
      </c>
      <c r="D51" s="41" t="s">
        <v>69</v>
      </c>
      <c r="E51" s="41" t="s">
        <v>60</v>
      </c>
      <c r="F51" s="42">
        <v>3</v>
      </c>
      <c r="G51" s="42">
        <f>VLOOKUP(D51,단가!B:D,3,0)</f>
        <v>15000</v>
      </c>
      <c r="H51" s="42">
        <f t="shared" si="2"/>
        <v>45000</v>
      </c>
      <c r="I51" s="42"/>
      <c r="J51" s="43">
        <f t="shared" si="3"/>
        <v>45000</v>
      </c>
      <c r="K51" s="22"/>
    </row>
    <row r="52" spans="1:12" ht="19" customHeight="1">
      <c r="A52" s="44" t="s">
        <v>264</v>
      </c>
      <c r="B52" s="32"/>
      <c r="C52" s="32" t="s">
        <v>186</v>
      </c>
      <c r="D52" s="6" t="s">
        <v>63</v>
      </c>
      <c r="E52" s="6" t="s">
        <v>60</v>
      </c>
      <c r="F52" s="34">
        <v>3</v>
      </c>
      <c r="G52" s="34">
        <v>10000</v>
      </c>
      <c r="H52" s="34">
        <f t="shared" si="2"/>
        <v>30000</v>
      </c>
      <c r="I52" s="34"/>
      <c r="J52" s="35">
        <f t="shared" si="3"/>
        <v>30000</v>
      </c>
      <c r="K52" s="22"/>
    </row>
    <row r="53" spans="1:12" ht="19" customHeight="1">
      <c r="A53" s="44" t="s">
        <v>264</v>
      </c>
      <c r="B53" s="32"/>
      <c r="C53" s="32" t="s">
        <v>186</v>
      </c>
      <c r="D53" s="6" t="s">
        <v>66</v>
      </c>
      <c r="E53" s="6" t="s">
        <v>60</v>
      </c>
      <c r="F53" s="34">
        <v>1</v>
      </c>
      <c r="G53" s="34">
        <f>VLOOKUP(D53,단가!B:D,3,0)</f>
        <v>15000</v>
      </c>
      <c r="H53" s="34">
        <f t="shared" si="2"/>
        <v>15000</v>
      </c>
      <c r="I53" s="34"/>
      <c r="J53" s="35">
        <f t="shared" si="3"/>
        <v>15000</v>
      </c>
      <c r="K53" s="22"/>
    </row>
    <row r="54" spans="1:12" ht="19" customHeight="1">
      <c r="A54" s="44" t="s">
        <v>264</v>
      </c>
      <c r="B54" s="32"/>
      <c r="C54" s="32" t="s">
        <v>186</v>
      </c>
      <c r="D54" s="6" t="s">
        <v>64</v>
      </c>
      <c r="E54" s="6" t="s">
        <v>60</v>
      </c>
      <c r="F54" s="34">
        <v>1</v>
      </c>
      <c r="G54" s="34">
        <f>VLOOKUP(D54,단가!B:D,3,0)</f>
        <v>15000</v>
      </c>
      <c r="H54" s="34">
        <f t="shared" si="2"/>
        <v>15000</v>
      </c>
      <c r="I54" s="34"/>
      <c r="J54" s="35">
        <f t="shared" si="3"/>
        <v>15000</v>
      </c>
      <c r="K54" s="22"/>
    </row>
    <row r="55" spans="1:12" ht="19" customHeight="1">
      <c r="A55" s="31" t="s">
        <v>266</v>
      </c>
      <c r="B55" s="32"/>
      <c r="C55" s="32" t="s">
        <v>180</v>
      </c>
      <c r="D55" s="6" t="s">
        <v>63</v>
      </c>
      <c r="E55" s="6" t="s">
        <v>60</v>
      </c>
      <c r="F55" s="34">
        <v>1</v>
      </c>
      <c r="G55" s="34">
        <f>VLOOKUP(D55,단가!B:D,3,0)</f>
        <v>15000</v>
      </c>
      <c r="H55" s="34">
        <f t="shared" si="2"/>
        <v>15000</v>
      </c>
      <c r="I55" s="34"/>
      <c r="J55" s="35">
        <f t="shared" si="3"/>
        <v>15000</v>
      </c>
      <c r="K55" s="22"/>
    </row>
    <row r="56" spans="1:12" ht="19" customHeight="1">
      <c r="A56" s="31" t="s">
        <v>266</v>
      </c>
      <c r="B56" s="32"/>
      <c r="C56" s="32" t="s">
        <v>180</v>
      </c>
      <c r="D56" s="33" t="s">
        <v>182</v>
      </c>
      <c r="E56" s="32"/>
      <c r="F56" s="34"/>
      <c r="G56" s="34">
        <f>VLOOKUP(D56,단가!B:D,3,0)</f>
        <v>3000</v>
      </c>
      <c r="H56" s="34">
        <f t="shared" si="2"/>
        <v>0</v>
      </c>
      <c r="I56" s="34"/>
      <c r="J56" s="35">
        <v>3000</v>
      </c>
      <c r="K56" s="22"/>
      <c r="L56" s="28"/>
    </row>
    <row r="57" spans="1:12" ht="19" customHeight="1">
      <c r="A57" s="31" t="s">
        <v>267</v>
      </c>
      <c r="B57" s="32"/>
      <c r="C57" s="32" t="s">
        <v>180</v>
      </c>
      <c r="D57" s="33" t="s">
        <v>65</v>
      </c>
      <c r="E57" s="6" t="s">
        <v>60</v>
      </c>
      <c r="F57" s="34">
        <v>1</v>
      </c>
      <c r="G57" s="34">
        <f>VLOOKUP(D57,단가!B:D,3,0)</f>
        <v>15000</v>
      </c>
      <c r="H57" s="34">
        <f t="shared" si="2"/>
        <v>15000</v>
      </c>
      <c r="I57" s="34"/>
      <c r="J57" s="35">
        <f t="shared" si="3"/>
        <v>15000</v>
      </c>
      <c r="K57" s="22"/>
    </row>
    <row r="58" spans="1:12" ht="19" customHeight="1">
      <c r="A58" s="31" t="s">
        <v>267</v>
      </c>
      <c r="B58" s="32"/>
      <c r="C58" s="32" t="s">
        <v>180</v>
      </c>
      <c r="D58" s="33" t="s">
        <v>64</v>
      </c>
      <c r="E58" s="32" t="s">
        <v>219</v>
      </c>
      <c r="F58" s="34">
        <v>1</v>
      </c>
      <c r="G58" s="34">
        <v>7500</v>
      </c>
      <c r="H58" s="34">
        <f t="shared" si="2"/>
        <v>7500</v>
      </c>
      <c r="I58" s="34"/>
      <c r="J58" s="35">
        <f t="shared" si="3"/>
        <v>7500</v>
      </c>
      <c r="K58" s="22"/>
    </row>
    <row r="59" spans="1:12" ht="19" customHeight="1">
      <c r="A59" s="31" t="s">
        <v>267</v>
      </c>
      <c r="B59" s="32"/>
      <c r="C59" s="32" t="s">
        <v>180</v>
      </c>
      <c r="D59" s="1" t="s">
        <v>67</v>
      </c>
      <c r="E59" s="32" t="s">
        <v>219</v>
      </c>
      <c r="F59" s="21">
        <v>1</v>
      </c>
      <c r="G59" s="29">
        <v>7500</v>
      </c>
      <c r="H59" s="29">
        <f t="shared" si="2"/>
        <v>7500</v>
      </c>
      <c r="I59" s="29"/>
      <c r="J59" s="30">
        <f t="shared" si="3"/>
        <v>7500</v>
      </c>
      <c r="K59" s="22"/>
    </row>
    <row r="60" spans="1:12" ht="19" customHeight="1">
      <c r="A60" s="31" t="s">
        <v>267</v>
      </c>
      <c r="C60" s="31" t="s">
        <v>268</v>
      </c>
      <c r="D60" s="6" t="s">
        <v>222</v>
      </c>
      <c r="E60" s="6" t="s">
        <v>94</v>
      </c>
      <c r="F60" s="21">
        <v>1</v>
      </c>
      <c r="G60" s="20">
        <f>VLOOKUP(D60,단가!B:D,3,0)</f>
        <v>30000</v>
      </c>
      <c r="H60" s="20">
        <f t="shared" si="2"/>
        <v>30000</v>
      </c>
      <c r="I60" s="20"/>
      <c r="J60" s="23">
        <f t="shared" si="3"/>
        <v>30000</v>
      </c>
      <c r="K60" s="22"/>
    </row>
    <row r="61" spans="1:12" ht="19" customHeight="1">
      <c r="A61" s="55" t="s">
        <v>269</v>
      </c>
      <c r="C61" s="2" t="s">
        <v>270</v>
      </c>
      <c r="D61" s="1" t="s">
        <v>69</v>
      </c>
      <c r="E61" s="6" t="s">
        <v>60</v>
      </c>
      <c r="F61" s="21">
        <v>1</v>
      </c>
      <c r="G61" s="20">
        <f>VLOOKUP(D61,단가!B:D,3,0)</f>
        <v>15000</v>
      </c>
      <c r="H61" s="20">
        <f t="shared" si="2"/>
        <v>15000</v>
      </c>
      <c r="I61" s="20"/>
      <c r="J61" s="23">
        <f t="shared" si="3"/>
        <v>15000</v>
      </c>
      <c r="K61" s="22"/>
    </row>
    <row r="62" spans="1:12" ht="19" customHeight="1">
      <c r="A62" s="55" t="s">
        <v>269</v>
      </c>
      <c r="C62" s="2" t="s">
        <v>270</v>
      </c>
      <c r="D62" s="1" t="s">
        <v>68</v>
      </c>
      <c r="E62" s="6" t="s">
        <v>60</v>
      </c>
      <c r="F62" s="21">
        <v>1</v>
      </c>
      <c r="G62" s="20">
        <f>VLOOKUP(D62,단가!B:D,3,0)</f>
        <v>15000</v>
      </c>
      <c r="H62" s="20">
        <f t="shared" si="2"/>
        <v>15000</v>
      </c>
      <c r="I62" s="20"/>
      <c r="J62" s="23">
        <f t="shared" si="3"/>
        <v>15000</v>
      </c>
      <c r="K62" s="22"/>
    </row>
    <row r="63" spans="1:12" ht="19" customHeight="1">
      <c r="A63" s="55" t="s">
        <v>269</v>
      </c>
      <c r="C63" s="2" t="s">
        <v>270</v>
      </c>
      <c r="D63" s="1" t="s">
        <v>82</v>
      </c>
      <c r="E63" s="41" t="s">
        <v>92</v>
      </c>
      <c r="F63" s="21">
        <v>1</v>
      </c>
      <c r="G63" s="20">
        <f>VLOOKUP(D63,단가!B:D,3,0)</f>
        <v>16000</v>
      </c>
      <c r="H63" s="20">
        <f t="shared" si="2"/>
        <v>16000</v>
      </c>
      <c r="I63" s="20"/>
      <c r="J63" s="23">
        <f t="shared" si="3"/>
        <v>16000</v>
      </c>
      <c r="K63" s="25"/>
    </row>
    <row r="64" spans="1:12" ht="19" customHeight="1">
      <c r="A64" s="55" t="s">
        <v>269</v>
      </c>
      <c r="C64" s="2" t="s">
        <v>270</v>
      </c>
      <c r="D64" s="1" t="s">
        <v>81</v>
      </c>
      <c r="E64" s="41" t="s">
        <v>92</v>
      </c>
      <c r="F64" s="21">
        <v>1</v>
      </c>
      <c r="G64" s="20">
        <f>VLOOKUP(D64,단가!B:D,3,0)</f>
        <v>16000</v>
      </c>
      <c r="H64" s="20">
        <f t="shared" si="2"/>
        <v>16000</v>
      </c>
      <c r="I64" s="20"/>
      <c r="J64" s="23">
        <f t="shared" si="3"/>
        <v>16000</v>
      </c>
      <c r="K64" s="22"/>
    </row>
    <row r="65" spans="1:12" ht="19" customHeight="1">
      <c r="A65" s="55" t="s">
        <v>273</v>
      </c>
      <c r="C65" s="2" t="s">
        <v>274</v>
      </c>
      <c r="D65" s="6" t="s">
        <v>228</v>
      </c>
      <c r="E65" s="6" t="s">
        <v>57</v>
      </c>
      <c r="F65" s="21">
        <v>1</v>
      </c>
      <c r="G65" s="20">
        <f>VLOOKUP(D65,단가!B:D,3,0)</f>
        <v>25000</v>
      </c>
      <c r="H65" s="20">
        <f t="shared" si="2"/>
        <v>25000</v>
      </c>
      <c r="I65" s="20"/>
      <c r="J65" s="23">
        <f t="shared" si="3"/>
        <v>25000</v>
      </c>
      <c r="K65" s="22"/>
    </row>
    <row r="66" spans="1:12" ht="19" customHeight="1">
      <c r="A66" s="55" t="s">
        <v>273</v>
      </c>
      <c r="C66" s="2" t="s">
        <v>274</v>
      </c>
      <c r="D66" s="1" t="s">
        <v>182</v>
      </c>
      <c r="G66" s="20">
        <f>VLOOKUP(D66,단가!B:D,3,0)</f>
        <v>3000</v>
      </c>
      <c r="H66" s="20">
        <f t="shared" si="2"/>
        <v>0</v>
      </c>
      <c r="I66" s="20"/>
      <c r="J66" s="23">
        <v>3000</v>
      </c>
      <c r="K66" s="22"/>
    </row>
    <row r="67" spans="1:12" ht="19" customHeight="1">
      <c r="A67" s="55" t="s">
        <v>277</v>
      </c>
      <c r="C67" s="41" t="s">
        <v>195</v>
      </c>
      <c r="D67" s="6" t="s">
        <v>225</v>
      </c>
      <c r="E67" s="6" t="s">
        <v>94</v>
      </c>
      <c r="F67" s="21">
        <v>1</v>
      </c>
      <c r="G67" s="20">
        <f>VLOOKUP(D67,단가!B:D,3,0)</f>
        <v>29400</v>
      </c>
      <c r="H67" s="20">
        <f t="shared" si="2"/>
        <v>29400</v>
      </c>
      <c r="I67" s="20"/>
      <c r="J67" s="23">
        <f t="shared" si="3"/>
        <v>29400</v>
      </c>
      <c r="K67" s="22"/>
    </row>
    <row r="68" spans="1:12" ht="19" customHeight="1">
      <c r="A68" s="55" t="s">
        <v>277</v>
      </c>
      <c r="C68" s="41" t="s">
        <v>195</v>
      </c>
      <c r="D68" s="6" t="s">
        <v>166</v>
      </c>
      <c r="E68" s="6" t="s">
        <v>92</v>
      </c>
      <c r="F68" s="21">
        <v>1</v>
      </c>
      <c r="G68" s="20">
        <f>VLOOKUP(D68,단가!B:D,3,0)</f>
        <v>10500</v>
      </c>
      <c r="H68" s="20">
        <f t="shared" si="2"/>
        <v>10500</v>
      </c>
      <c r="I68" s="20"/>
      <c r="J68" s="23">
        <f t="shared" si="3"/>
        <v>10500</v>
      </c>
      <c r="K68" s="22"/>
    </row>
    <row r="69" spans="1:12" ht="19" customHeight="1">
      <c r="A69" s="55" t="s">
        <v>277</v>
      </c>
      <c r="C69" s="41" t="s">
        <v>195</v>
      </c>
      <c r="D69" s="57" t="s">
        <v>173</v>
      </c>
      <c r="E69" s="6" t="s">
        <v>92</v>
      </c>
      <c r="F69" s="21">
        <v>1</v>
      </c>
      <c r="G69" s="20">
        <f>VLOOKUP(D69,단가!B:D,3,0)</f>
        <v>10500</v>
      </c>
      <c r="H69" s="20">
        <f t="shared" si="2"/>
        <v>10500</v>
      </c>
      <c r="I69" s="20"/>
      <c r="J69" s="23">
        <f t="shared" si="3"/>
        <v>10500</v>
      </c>
      <c r="K69" s="22"/>
    </row>
    <row r="70" spans="1:12" ht="19" customHeight="1">
      <c r="A70" s="55" t="s">
        <v>278</v>
      </c>
      <c r="C70" s="2" t="s">
        <v>279</v>
      </c>
      <c r="D70" s="6" t="s">
        <v>64</v>
      </c>
      <c r="E70" s="6" t="s">
        <v>60</v>
      </c>
      <c r="F70" s="21">
        <v>1</v>
      </c>
      <c r="G70" s="20">
        <f>VLOOKUP(D70,단가!B:D,3,0)</f>
        <v>15000</v>
      </c>
      <c r="H70" s="20">
        <f t="shared" si="2"/>
        <v>15000</v>
      </c>
      <c r="I70" s="20"/>
      <c r="J70" s="23">
        <f t="shared" si="3"/>
        <v>15000</v>
      </c>
      <c r="K70" s="22"/>
    </row>
    <row r="71" spans="1:12" ht="19" customHeight="1">
      <c r="A71" s="55" t="s">
        <v>278</v>
      </c>
      <c r="C71" s="2" t="s">
        <v>279</v>
      </c>
      <c r="D71" s="6" t="s">
        <v>66</v>
      </c>
      <c r="E71" s="6" t="s">
        <v>60</v>
      </c>
      <c r="F71" s="21">
        <v>1</v>
      </c>
      <c r="G71" s="20">
        <f>VLOOKUP(D71,단가!B:D,3,0)</f>
        <v>15000</v>
      </c>
      <c r="H71" s="20">
        <f t="shared" si="2"/>
        <v>15000</v>
      </c>
      <c r="I71" s="20"/>
      <c r="J71" s="23">
        <f t="shared" si="3"/>
        <v>15000</v>
      </c>
      <c r="K71" s="22"/>
    </row>
    <row r="72" spans="1:12" ht="19" customHeight="1">
      <c r="A72" s="55" t="s">
        <v>278</v>
      </c>
      <c r="C72" s="2" t="s">
        <v>279</v>
      </c>
      <c r="D72" s="6" t="s">
        <v>69</v>
      </c>
      <c r="E72" s="6" t="s">
        <v>60</v>
      </c>
      <c r="F72" s="21">
        <v>1</v>
      </c>
      <c r="G72" s="20">
        <f>VLOOKUP(D72,단가!B:D,3,0)</f>
        <v>15000</v>
      </c>
      <c r="H72" s="20">
        <f t="shared" si="2"/>
        <v>15000</v>
      </c>
      <c r="I72" s="20"/>
      <c r="J72" s="23">
        <f t="shared" si="3"/>
        <v>15000</v>
      </c>
      <c r="K72" s="22"/>
    </row>
    <row r="73" spans="1:12" ht="19" customHeight="1">
      <c r="A73" s="55" t="s">
        <v>278</v>
      </c>
      <c r="C73" s="2" t="s">
        <v>280</v>
      </c>
      <c r="D73" s="1" t="s">
        <v>64</v>
      </c>
      <c r="E73" s="6" t="s">
        <v>60</v>
      </c>
      <c r="F73" s="21">
        <v>2</v>
      </c>
      <c r="G73" s="20">
        <f>VLOOKUP(D73,단가!B:D,3,0)</f>
        <v>15000</v>
      </c>
      <c r="H73" s="20">
        <f t="shared" si="2"/>
        <v>30000</v>
      </c>
      <c r="I73" s="20"/>
      <c r="J73" s="23">
        <f t="shared" ref="J73:J137" si="5">H73+I73</f>
        <v>30000</v>
      </c>
      <c r="K73" s="22"/>
    </row>
    <row r="74" spans="1:12" ht="19" customHeight="1">
      <c r="A74" s="55" t="s">
        <v>281</v>
      </c>
      <c r="C74" s="2" t="s">
        <v>202</v>
      </c>
      <c r="D74" s="1" t="s">
        <v>61</v>
      </c>
      <c r="E74" s="40" t="s">
        <v>57</v>
      </c>
      <c r="F74" s="21">
        <v>2</v>
      </c>
      <c r="G74" s="20">
        <f>VLOOKUP(D74,단가!B:D,3,0)</f>
        <v>20000</v>
      </c>
      <c r="H74" s="20">
        <f t="shared" ref="H74:H138" si="6">F74*G74</f>
        <v>40000</v>
      </c>
      <c r="I74" s="20"/>
      <c r="J74" s="23">
        <f t="shared" si="5"/>
        <v>40000</v>
      </c>
      <c r="K74" s="22"/>
      <c r="L74" s="28"/>
    </row>
    <row r="75" spans="1:12" ht="19" customHeight="1">
      <c r="A75" s="55" t="s">
        <v>281</v>
      </c>
      <c r="C75" s="2" t="s">
        <v>202</v>
      </c>
      <c r="D75" s="6" t="s">
        <v>146</v>
      </c>
      <c r="E75" s="6" t="s">
        <v>60</v>
      </c>
      <c r="F75" s="21">
        <v>1</v>
      </c>
      <c r="G75" s="20">
        <f>VLOOKUP(D75,단가!B:D,3,0)</f>
        <v>10500</v>
      </c>
      <c r="H75" s="20">
        <f t="shared" si="6"/>
        <v>10500</v>
      </c>
      <c r="I75" s="20"/>
      <c r="J75" s="23">
        <f t="shared" si="5"/>
        <v>10500</v>
      </c>
      <c r="K75" s="22"/>
      <c r="L75" s="28"/>
    </row>
    <row r="76" spans="1:12" ht="19" customHeight="1">
      <c r="A76" s="55" t="s">
        <v>281</v>
      </c>
      <c r="C76" s="2" t="s">
        <v>202</v>
      </c>
      <c r="D76" s="6" t="s">
        <v>148</v>
      </c>
      <c r="E76" s="6" t="s">
        <v>60</v>
      </c>
      <c r="F76" s="21">
        <v>1</v>
      </c>
      <c r="G76" s="20">
        <f>VLOOKUP(D76,단가!B:D,3,0)</f>
        <v>10500</v>
      </c>
      <c r="H76" s="20">
        <f t="shared" si="6"/>
        <v>10500</v>
      </c>
      <c r="I76" s="20"/>
      <c r="J76" s="23">
        <f t="shared" si="5"/>
        <v>10500</v>
      </c>
      <c r="K76" s="22"/>
    </row>
    <row r="77" spans="1:12" ht="19" customHeight="1">
      <c r="A77" s="55" t="s">
        <v>282</v>
      </c>
      <c r="C77" s="2" t="s">
        <v>283</v>
      </c>
      <c r="D77" s="6" t="s">
        <v>223</v>
      </c>
      <c r="E77" s="6" t="s">
        <v>94</v>
      </c>
      <c r="F77" s="21">
        <v>1</v>
      </c>
      <c r="G77" s="20">
        <v>30000</v>
      </c>
      <c r="H77" s="20">
        <f t="shared" si="6"/>
        <v>30000</v>
      </c>
      <c r="I77" s="20"/>
      <c r="J77" s="23">
        <f t="shared" si="5"/>
        <v>30000</v>
      </c>
      <c r="K77" s="22"/>
    </row>
    <row r="78" spans="1:12" ht="19" customHeight="1">
      <c r="A78" s="55" t="s">
        <v>284</v>
      </c>
      <c r="C78" s="2" t="s">
        <v>180</v>
      </c>
      <c r="D78" s="1" t="s">
        <v>64</v>
      </c>
      <c r="E78" s="6" t="s">
        <v>60</v>
      </c>
      <c r="F78" s="21">
        <v>1</v>
      </c>
      <c r="G78" s="20">
        <f>VLOOKUP(D78,단가!B:D,3,0)</f>
        <v>15000</v>
      </c>
      <c r="H78" s="20">
        <f t="shared" si="6"/>
        <v>15000</v>
      </c>
      <c r="I78" s="20"/>
      <c r="J78" s="23">
        <f t="shared" si="5"/>
        <v>15000</v>
      </c>
      <c r="K78" s="22"/>
    </row>
    <row r="79" spans="1:12" ht="19" customHeight="1">
      <c r="A79" s="55" t="s">
        <v>284</v>
      </c>
      <c r="C79" s="2" t="s">
        <v>180</v>
      </c>
      <c r="D79" s="1" t="s">
        <v>66</v>
      </c>
      <c r="E79" s="6" t="s">
        <v>60</v>
      </c>
      <c r="F79" s="21">
        <v>2</v>
      </c>
      <c r="G79" s="20">
        <f>VLOOKUP(D79,단가!B:D,3,0)</f>
        <v>15000</v>
      </c>
      <c r="H79" s="20">
        <f t="shared" si="6"/>
        <v>30000</v>
      </c>
      <c r="I79" s="20"/>
      <c r="J79" s="23">
        <f t="shared" si="5"/>
        <v>30000</v>
      </c>
      <c r="K79" s="22"/>
    </row>
    <row r="80" spans="1:12" ht="19" customHeight="1">
      <c r="A80" s="55" t="s">
        <v>284</v>
      </c>
      <c r="C80" s="2" t="s">
        <v>180</v>
      </c>
      <c r="D80" s="1" t="s">
        <v>182</v>
      </c>
      <c r="F80" s="21">
        <v>2</v>
      </c>
      <c r="G80" s="20">
        <f>VLOOKUP(D80,단가!B:D,3,0)</f>
        <v>3000</v>
      </c>
      <c r="H80" s="20">
        <f t="shared" si="6"/>
        <v>6000</v>
      </c>
      <c r="I80" s="20"/>
      <c r="J80" s="23">
        <f t="shared" si="5"/>
        <v>6000</v>
      </c>
      <c r="K80" s="22"/>
    </row>
    <row r="81" spans="1:12" ht="19" customHeight="1">
      <c r="A81" s="55" t="s">
        <v>287</v>
      </c>
      <c r="C81" s="40" t="s">
        <v>143</v>
      </c>
      <c r="D81" s="41" t="s">
        <v>228</v>
      </c>
      <c r="E81" s="40" t="s">
        <v>57</v>
      </c>
      <c r="F81" s="21">
        <v>1</v>
      </c>
      <c r="G81" s="20">
        <f>VLOOKUP(D81,단가!B:D,3,0)</f>
        <v>25000</v>
      </c>
      <c r="H81" s="20">
        <f t="shared" si="6"/>
        <v>25000</v>
      </c>
      <c r="I81" s="20"/>
      <c r="J81" s="23">
        <f t="shared" si="5"/>
        <v>25000</v>
      </c>
      <c r="K81" s="22"/>
    </row>
    <row r="82" spans="1:12" ht="19" customHeight="1">
      <c r="A82" s="55" t="s">
        <v>287</v>
      </c>
      <c r="C82" s="40" t="s">
        <v>142</v>
      </c>
      <c r="D82" s="41" t="s">
        <v>228</v>
      </c>
      <c r="E82" s="40" t="s">
        <v>57</v>
      </c>
      <c r="F82" s="21">
        <v>2</v>
      </c>
      <c r="G82" s="20">
        <f>VLOOKUP(D82,단가!B:D,3,0)</f>
        <v>25000</v>
      </c>
      <c r="H82" s="20">
        <f t="shared" si="6"/>
        <v>50000</v>
      </c>
      <c r="I82" s="20"/>
      <c r="J82" s="23">
        <f t="shared" si="5"/>
        <v>50000</v>
      </c>
      <c r="K82" s="22"/>
    </row>
    <row r="83" spans="1:12" ht="19" customHeight="1">
      <c r="A83" s="55" t="s">
        <v>288</v>
      </c>
      <c r="C83" s="2" t="s">
        <v>180</v>
      </c>
      <c r="D83" s="6" t="s">
        <v>63</v>
      </c>
      <c r="E83" s="6" t="s">
        <v>60</v>
      </c>
      <c r="F83" s="21">
        <v>1</v>
      </c>
      <c r="G83" s="20">
        <f>VLOOKUP(D83,단가!B:D,3,0)</f>
        <v>15000</v>
      </c>
      <c r="H83" s="20">
        <f t="shared" si="6"/>
        <v>15000</v>
      </c>
      <c r="I83" s="20"/>
      <c r="J83" s="23">
        <f t="shared" si="5"/>
        <v>15000</v>
      </c>
      <c r="K83" s="22"/>
    </row>
    <row r="84" spans="1:12" ht="19" customHeight="1">
      <c r="A84" s="55" t="s">
        <v>288</v>
      </c>
      <c r="C84" s="2" t="s">
        <v>180</v>
      </c>
      <c r="D84" s="1" t="s">
        <v>182</v>
      </c>
      <c r="F84" s="21">
        <v>1</v>
      </c>
      <c r="G84" s="20">
        <f>VLOOKUP(D84,단가!B:D,3,0)</f>
        <v>3000</v>
      </c>
      <c r="H84" s="20">
        <f t="shared" si="6"/>
        <v>3000</v>
      </c>
      <c r="I84" s="20"/>
      <c r="J84" s="23">
        <f t="shared" si="5"/>
        <v>3000</v>
      </c>
      <c r="K84" s="22"/>
    </row>
    <row r="85" spans="1:12" ht="19" customHeight="1">
      <c r="A85" s="55" t="s">
        <v>291</v>
      </c>
      <c r="C85" s="41" t="s">
        <v>195</v>
      </c>
      <c r="D85" s="6" t="s">
        <v>79</v>
      </c>
      <c r="E85" s="6" t="s">
        <v>92</v>
      </c>
      <c r="F85" s="21">
        <v>1</v>
      </c>
      <c r="G85" s="20">
        <f>VLOOKUP(D85,단가!B:D,3,0)</f>
        <v>15000</v>
      </c>
      <c r="H85" s="20">
        <f t="shared" si="6"/>
        <v>15000</v>
      </c>
      <c r="I85" s="20"/>
      <c r="J85" s="23">
        <f t="shared" si="5"/>
        <v>15000</v>
      </c>
      <c r="K85" s="24"/>
    </row>
    <row r="86" spans="1:12" ht="19" customHeight="1">
      <c r="A86" s="55" t="s">
        <v>291</v>
      </c>
      <c r="C86" s="41" t="s">
        <v>195</v>
      </c>
      <c r="D86" s="6" t="s">
        <v>85</v>
      </c>
      <c r="E86" s="6" t="s">
        <v>92</v>
      </c>
      <c r="F86" s="21">
        <v>1</v>
      </c>
      <c r="G86" s="20">
        <f>VLOOKUP(D86,단가!B:D,3,0)</f>
        <v>15000</v>
      </c>
      <c r="H86" s="20">
        <f t="shared" si="6"/>
        <v>15000</v>
      </c>
      <c r="I86" s="20"/>
      <c r="J86" s="23">
        <f t="shared" si="5"/>
        <v>15000</v>
      </c>
    </row>
    <row r="87" spans="1:12" ht="19" customHeight="1">
      <c r="A87" s="55" t="s">
        <v>291</v>
      </c>
      <c r="C87" s="2" t="s">
        <v>180</v>
      </c>
      <c r="D87" s="6" t="s">
        <v>63</v>
      </c>
      <c r="E87" s="6" t="s">
        <v>60</v>
      </c>
      <c r="F87" s="21">
        <v>1</v>
      </c>
      <c r="G87" s="20">
        <f>VLOOKUP(D87,단가!B:D,3,0)</f>
        <v>15000</v>
      </c>
      <c r="H87" s="20">
        <f t="shared" si="6"/>
        <v>15000</v>
      </c>
      <c r="I87" s="20"/>
      <c r="J87" s="23">
        <f t="shared" si="5"/>
        <v>15000</v>
      </c>
    </row>
    <row r="88" spans="1:12" ht="19" customHeight="1">
      <c r="A88" s="55" t="s">
        <v>291</v>
      </c>
      <c r="C88" s="2" t="s">
        <v>180</v>
      </c>
      <c r="D88" s="6" t="s">
        <v>292</v>
      </c>
      <c r="E88" s="6" t="s">
        <v>219</v>
      </c>
      <c r="F88" s="21">
        <v>1</v>
      </c>
      <c r="G88" s="20">
        <v>7000</v>
      </c>
      <c r="H88" s="20"/>
      <c r="I88" s="20"/>
      <c r="J88" s="23">
        <v>7000</v>
      </c>
    </row>
    <row r="89" spans="1:12" ht="19" customHeight="1">
      <c r="A89" s="55" t="s">
        <v>291</v>
      </c>
      <c r="C89" s="2" t="s">
        <v>180</v>
      </c>
      <c r="D89" s="6" t="s">
        <v>64</v>
      </c>
      <c r="E89" s="6" t="s">
        <v>60</v>
      </c>
      <c r="F89" s="21">
        <v>1</v>
      </c>
      <c r="G89" s="20">
        <f>VLOOKUP(D89,단가!B:D,3,0)</f>
        <v>15000</v>
      </c>
      <c r="H89" s="20">
        <f t="shared" si="6"/>
        <v>15000</v>
      </c>
      <c r="I89" s="20"/>
      <c r="J89" s="23">
        <f t="shared" si="5"/>
        <v>15000</v>
      </c>
      <c r="L89" s="28"/>
    </row>
    <row r="90" spans="1:12" ht="19" customHeight="1">
      <c r="A90" s="55" t="s">
        <v>291</v>
      </c>
      <c r="C90" s="2" t="s">
        <v>180</v>
      </c>
      <c r="D90" s="1" t="s">
        <v>182</v>
      </c>
      <c r="F90" s="21">
        <v>1</v>
      </c>
      <c r="G90" s="20">
        <f>VLOOKUP(D90,단가!B:D,3,0)</f>
        <v>3000</v>
      </c>
      <c r="H90" s="20">
        <f t="shared" si="6"/>
        <v>3000</v>
      </c>
      <c r="I90" s="20"/>
      <c r="J90" s="23">
        <f t="shared" si="5"/>
        <v>3000</v>
      </c>
    </row>
    <row r="91" spans="1:12" ht="19" customHeight="1">
      <c r="A91" s="55" t="s">
        <v>291</v>
      </c>
      <c r="C91" s="2" t="s">
        <v>233</v>
      </c>
      <c r="D91" s="6" t="s">
        <v>223</v>
      </c>
      <c r="E91" s="6" t="s">
        <v>94</v>
      </c>
      <c r="F91" s="21">
        <v>1</v>
      </c>
      <c r="G91" s="20">
        <f>VLOOKUP(D91,단가!B:D,3,0)</f>
        <v>42000</v>
      </c>
      <c r="H91" s="20">
        <f t="shared" si="6"/>
        <v>42000</v>
      </c>
      <c r="I91" s="20"/>
      <c r="J91" s="23">
        <f t="shared" si="5"/>
        <v>42000</v>
      </c>
    </row>
    <row r="92" spans="1:12" ht="19" customHeight="1">
      <c r="A92" s="55" t="s">
        <v>291</v>
      </c>
      <c r="C92" s="2" t="s">
        <v>233</v>
      </c>
      <c r="D92" s="6" t="s">
        <v>79</v>
      </c>
      <c r="E92" s="6" t="s">
        <v>92</v>
      </c>
      <c r="F92" s="21">
        <v>1</v>
      </c>
      <c r="G92" s="20">
        <f>VLOOKUP(D92,단가!B:D,3,0)</f>
        <v>15000</v>
      </c>
      <c r="H92" s="20">
        <f t="shared" si="6"/>
        <v>15000</v>
      </c>
      <c r="I92" s="20"/>
      <c r="J92" s="23">
        <f t="shared" si="5"/>
        <v>15000</v>
      </c>
    </row>
    <row r="93" spans="1:12" ht="19" customHeight="1">
      <c r="A93" s="55" t="s">
        <v>300</v>
      </c>
      <c r="C93" s="2" t="s">
        <v>301</v>
      </c>
      <c r="D93" s="6" t="s">
        <v>223</v>
      </c>
      <c r="E93" s="6" t="s">
        <v>94</v>
      </c>
      <c r="F93" s="21">
        <v>1</v>
      </c>
      <c r="G93" s="20">
        <f>VLOOKUP(D93,단가!B:D,3,0)</f>
        <v>42000</v>
      </c>
      <c r="H93" s="20">
        <f t="shared" si="6"/>
        <v>42000</v>
      </c>
      <c r="I93" s="20"/>
      <c r="J93" s="23">
        <f t="shared" si="5"/>
        <v>42000</v>
      </c>
    </row>
    <row r="94" spans="1:12" ht="19" customHeight="1">
      <c r="A94" s="55" t="s">
        <v>304</v>
      </c>
      <c r="C94" s="2" t="s">
        <v>279</v>
      </c>
      <c r="D94" s="1" t="s">
        <v>66</v>
      </c>
      <c r="E94" s="6" t="s">
        <v>60</v>
      </c>
      <c r="F94" s="21">
        <v>1</v>
      </c>
      <c r="G94" s="20">
        <f>VLOOKUP(D94,단가!B:D,3,0)</f>
        <v>15000</v>
      </c>
      <c r="H94" s="20">
        <f t="shared" si="6"/>
        <v>15000</v>
      </c>
      <c r="I94" s="20"/>
      <c r="J94" s="23">
        <f t="shared" si="5"/>
        <v>15000</v>
      </c>
    </row>
    <row r="95" spans="1:12" ht="19" customHeight="1">
      <c r="A95" s="55" t="s">
        <v>304</v>
      </c>
      <c r="C95" s="2" t="s">
        <v>279</v>
      </c>
      <c r="D95" s="1" t="s">
        <v>64</v>
      </c>
      <c r="E95" s="6" t="s">
        <v>60</v>
      </c>
      <c r="F95" s="21">
        <v>1</v>
      </c>
      <c r="G95" s="20">
        <f>VLOOKUP(D95,단가!B:D,3,0)</f>
        <v>15000</v>
      </c>
      <c r="H95" s="20">
        <f t="shared" si="6"/>
        <v>15000</v>
      </c>
      <c r="I95" s="20"/>
      <c r="J95" s="23">
        <f t="shared" si="5"/>
        <v>15000</v>
      </c>
    </row>
    <row r="96" spans="1:12" ht="19" customHeight="1">
      <c r="A96" s="55" t="s">
        <v>304</v>
      </c>
      <c r="C96" s="2" t="s">
        <v>279</v>
      </c>
      <c r="D96" s="1" t="s">
        <v>65</v>
      </c>
      <c r="E96" s="6" t="s">
        <v>60</v>
      </c>
      <c r="F96" s="21">
        <v>1</v>
      </c>
      <c r="G96" s="20">
        <f>VLOOKUP(D96,단가!B:D,3,0)</f>
        <v>15000</v>
      </c>
      <c r="H96" s="20">
        <f t="shared" si="6"/>
        <v>15000</v>
      </c>
      <c r="I96" s="20"/>
      <c r="J96" s="23">
        <f t="shared" si="5"/>
        <v>15000</v>
      </c>
    </row>
    <row r="97" spans="1:11" ht="19" customHeight="1">
      <c r="A97" s="55" t="s">
        <v>309</v>
      </c>
      <c r="C97" s="2" t="s">
        <v>202</v>
      </c>
      <c r="D97" s="6" t="s">
        <v>228</v>
      </c>
      <c r="E97" s="40" t="s">
        <v>57</v>
      </c>
      <c r="F97" s="21">
        <v>2</v>
      </c>
      <c r="G97" s="20">
        <f>VLOOKUP(D97,단가!B:D,3,0)</f>
        <v>25000</v>
      </c>
      <c r="H97" s="20">
        <f t="shared" si="6"/>
        <v>50000</v>
      </c>
      <c r="I97" s="20"/>
      <c r="J97" s="23">
        <f t="shared" si="5"/>
        <v>50000</v>
      </c>
    </row>
    <row r="98" spans="1:11" ht="19" customHeight="1">
      <c r="A98" s="55" t="s">
        <v>310</v>
      </c>
      <c r="C98" s="2" t="s">
        <v>180</v>
      </c>
      <c r="D98" s="6" t="s">
        <v>65</v>
      </c>
      <c r="E98" s="6" t="s">
        <v>60</v>
      </c>
      <c r="F98" s="21">
        <v>1</v>
      </c>
      <c r="G98" s="20">
        <f>VLOOKUP(D98,단가!B:D,3,0)</f>
        <v>15000</v>
      </c>
      <c r="H98" s="20">
        <f t="shared" si="6"/>
        <v>15000</v>
      </c>
      <c r="I98" s="20"/>
      <c r="J98" s="23">
        <f t="shared" si="5"/>
        <v>15000</v>
      </c>
    </row>
    <row r="99" spans="1:11" ht="19" customHeight="1">
      <c r="A99" s="55" t="s">
        <v>310</v>
      </c>
      <c r="C99" s="2" t="s">
        <v>180</v>
      </c>
      <c r="D99" s="6" t="s">
        <v>67</v>
      </c>
      <c r="E99" s="6" t="s">
        <v>60</v>
      </c>
      <c r="F99" s="21">
        <v>1</v>
      </c>
      <c r="G99" s="20">
        <f>VLOOKUP(D99,단가!B:D,3,0)</f>
        <v>15000</v>
      </c>
      <c r="H99" s="20">
        <f t="shared" si="6"/>
        <v>15000</v>
      </c>
      <c r="I99" s="20"/>
      <c r="J99" s="23">
        <f t="shared" si="5"/>
        <v>15000</v>
      </c>
      <c r="K99" s="28"/>
    </row>
    <row r="100" spans="1:11" ht="19" customHeight="1">
      <c r="A100" s="55" t="s">
        <v>314</v>
      </c>
      <c r="C100" s="2" t="s">
        <v>180</v>
      </c>
      <c r="D100" s="6" t="s">
        <v>65</v>
      </c>
      <c r="E100" s="6" t="s">
        <v>60</v>
      </c>
      <c r="F100" s="21">
        <v>1</v>
      </c>
      <c r="G100" s="20">
        <f>VLOOKUP(D100,단가!B:D,3,0)</f>
        <v>15000</v>
      </c>
      <c r="H100" s="20">
        <f t="shared" si="6"/>
        <v>15000</v>
      </c>
      <c r="I100" s="20"/>
      <c r="J100" s="23">
        <f t="shared" si="5"/>
        <v>15000</v>
      </c>
    </row>
    <row r="101" spans="1:11" ht="19" customHeight="1">
      <c r="A101" s="55" t="s">
        <v>314</v>
      </c>
      <c r="C101" s="2" t="s">
        <v>180</v>
      </c>
      <c r="D101" s="6" t="s">
        <v>67</v>
      </c>
      <c r="E101" s="6" t="s">
        <v>60</v>
      </c>
      <c r="F101" s="21">
        <v>1</v>
      </c>
      <c r="G101" s="20">
        <f>VLOOKUP(D101,단가!B:D,3,0)</f>
        <v>15000</v>
      </c>
      <c r="H101" s="20">
        <f t="shared" si="6"/>
        <v>15000</v>
      </c>
      <c r="I101" s="20"/>
      <c r="J101" s="23">
        <f t="shared" si="5"/>
        <v>15000</v>
      </c>
    </row>
    <row r="102" spans="1:11" ht="19" customHeight="1">
      <c r="A102" s="55" t="s">
        <v>329</v>
      </c>
      <c r="C102" s="2" t="s">
        <v>180</v>
      </c>
      <c r="D102" s="6" t="s">
        <v>66</v>
      </c>
      <c r="E102" s="6" t="s">
        <v>60</v>
      </c>
      <c r="F102" s="21">
        <v>1</v>
      </c>
      <c r="G102" s="20">
        <f>VLOOKUP(D102,단가!B:D,3,0)</f>
        <v>15000</v>
      </c>
      <c r="H102" s="20">
        <f t="shared" si="6"/>
        <v>15000</v>
      </c>
      <c r="I102" s="20"/>
      <c r="J102" s="23">
        <f t="shared" si="5"/>
        <v>15000</v>
      </c>
    </row>
    <row r="103" spans="1:11" ht="19" customHeight="1">
      <c r="A103" s="55" t="s">
        <v>329</v>
      </c>
      <c r="C103" s="2" t="s">
        <v>180</v>
      </c>
      <c r="D103" s="1" t="s">
        <v>64</v>
      </c>
      <c r="E103" s="6" t="s">
        <v>60</v>
      </c>
      <c r="F103" s="21">
        <v>1</v>
      </c>
      <c r="G103" s="20">
        <f>VLOOKUP(D103,단가!B:D,3,0)</f>
        <v>15000</v>
      </c>
      <c r="H103" s="20">
        <f t="shared" si="6"/>
        <v>15000</v>
      </c>
      <c r="I103" s="20"/>
      <c r="J103" s="23">
        <f t="shared" si="5"/>
        <v>15000</v>
      </c>
    </row>
    <row r="104" spans="1:11" ht="19" customHeight="1">
      <c r="A104" s="55" t="s">
        <v>329</v>
      </c>
      <c r="C104" s="2" t="s">
        <v>180</v>
      </c>
      <c r="D104" s="6" t="s">
        <v>66</v>
      </c>
      <c r="E104" s="6" t="s">
        <v>60</v>
      </c>
      <c r="F104" s="21">
        <v>1</v>
      </c>
      <c r="G104" s="20">
        <f>VLOOKUP(D104,단가!B:D,3,0)</f>
        <v>15000</v>
      </c>
      <c r="H104" s="20">
        <f t="shared" si="6"/>
        <v>15000</v>
      </c>
      <c r="I104" s="20"/>
      <c r="J104" s="23">
        <f t="shared" si="5"/>
        <v>15000</v>
      </c>
    </row>
    <row r="105" spans="1:11" ht="19" customHeight="1">
      <c r="A105" s="55" t="s">
        <v>329</v>
      </c>
      <c r="C105" s="2" t="s">
        <v>180</v>
      </c>
      <c r="D105" s="1" t="s">
        <v>182</v>
      </c>
      <c r="F105" s="21">
        <v>1</v>
      </c>
      <c r="G105" s="20">
        <f>VLOOKUP(D105,단가!B:D,3,0)</f>
        <v>3000</v>
      </c>
      <c r="H105" s="20">
        <f t="shared" si="6"/>
        <v>3000</v>
      </c>
      <c r="I105" s="20"/>
      <c r="J105" s="23">
        <f t="shared" si="5"/>
        <v>3000</v>
      </c>
    </row>
    <row r="106" spans="1:11" ht="19" customHeight="1">
      <c r="A106" s="55" t="s">
        <v>343</v>
      </c>
      <c r="C106" s="40" t="s">
        <v>142</v>
      </c>
      <c r="D106" s="41" t="s">
        <v>228</v>
      </c>
      <c r="E106" s="40" t="s">
        <v>57</v>
      </c>
      <c r="F106" s="21">
        <v>4</v>
      </c>
      <c r="G106" s="20">
        <f>VLOOKUP(D106,단가!B:D,3,0)</f>
        <v>25000</v>
      </c>
      <c r="H106" s="20">
        <f t="shared" si="6"/>
        <v>100000</v>
      </c>
      <c r="I106" s="20"/>
      <c r="J106" s="23">
        <f t="shared" si="5"/>
        <v>100000</v>
      </c>
    </row>
    <row r="107" spans="1:11" ht="19" customHeight="1">
      <c r="A107" s="55" t="s">
        <v>343</v>
      </c>
      <c r="C107" s="2" t="s">
        <v>180</v>
      </c>
      <c r="D107" s="1" t="s">
        <v>64</v>
      </c>
      <c r="E107" s="6" t="s">
        <v>60</v>
      </c>
      <c r="F107" s="21">
        <v>1</v>
      </c>
      <c r="G107" s="20">
        <f>VLOOKUP(D107,단가!B:D,3,0)</f>
        <v>15000</v>
      </c>
      <c r="H107" s="20">
        <f t="shared" si="6"/>
        <v>15000</v>
      </c>
      <c r="I107" s="20"/>
      <c r="J107" s="23">
        <f t="shared" si="5"/>
        <v>15000</v>
      </c>
    </row>
    <row r="108" spans="1:11" ht="19" customHeight="1">
      <c r="A108" s="55" t="s">
        <v>343</v>
      </c>
      <c r="C108" s="2" t="s">
        <v>180</v>
      </c>
      <c r="D108" s="6" t="s">
        <v>65</v>
      </c>
      <c r="E108" s="6" t="s">
        <v>60</v>
      </c>
      <c r="F108" s="21">
        <v>1</v>
      </c>
      <c r="G108" s="20">
        <f>VLOOKUP(D108,단가!B:D,3,0)</f>
        <v>15000</v>
      </c>
      <c r="H108" s="20">
        <f t="shared" si="6"/>
        <v>15000</v>
      </c>
      <c r="I108" s="20"/>
      <c r="J108" s="23">
        <f t="shared" si="5"/>
        <v>15000</v>
      </c>
    </row>
    <row r="109" spans="1:11" ht="19" customHeight="1">
      <c r="A109" s="55" t="s">
        <v>344</v>
      </c>
      <c r="C109" s="40" t="s">
        <v>142</v>
      </c>
      <c r="D109" s="41" t="s">
        <v>228</v>
      </c>
      <c r="E109" s="40" t="s">
        <v>57</v>
      </c>
      <c r="F109" s="21">
        <v>1</v>
      </c>
      <c r="G109" s="20">
        <f>VLOOKUP(D109,단가!B:D,3,0)</f>
        <v>25000</v>
      </c>
      <c r="H109" s="20">
        <f t="shared" si="6"/>
        <v>25000</v>
      </c>
      <c r="I109" s="20"/>
      <c r="J109" s="23">
        <f t="shared" si="5"/>
        <v>25000</v>
      </c>
    </row>
    <row r="110" spans="1:11" ht="19" customHeight="1">
      <c r="A110" s="55" t="s">
        <v>352</v>
      </c>
      <c r="C110" s="2" t="s">
        <v>180</v>
      </c>
      <c r="D110" s="6" t="s">
        <v>65</v>
      </c>
      <c r="E110" s="6" t="s">
        <v>60</v>
      </c>
      <c r="F110" s="21">
        <v>1</v>
      </c>
      <c r="G110" s="20">
        <f>VLOOKUP(D110,단가!B:D,3,0)</f>
        <v>15000</v>
      </c>
      <c r="H110" s="20">
        <f t="shared" si="6"/>
        <v>15000</v>
      </c>
      <c r="I110" s="20"/>
      <c r="J110" s="23">
        <f t="shared" si="5"/>
        <v>15000</v>
      </c>
    </row>
    <row r="111" spans="1:11" ht="19" customHeight="1">
      <c r="A111" s="55" t="s">
        <v>352</v>
      </c>
      <c r="C111" s="2" t="s">
        <v>180</v>
      </c>
      <c r="D111" s="6" t="s">
        <v>63</v>
      </c>
      <c r="E111" s="6" t="s">
        <v>60</v>
      </c>
      <c r="F111" s="21">
        <v>1</v>
      </c>
      <c r="G111" s="20">
        <f>VLOOKUP(D111,단가!B:D,3,0)</f>
        <v>15000</v>
      </c>
      <c r="H111" s="20">
        <f t="shared" si="6"/>
        <v>15000</v>
      </c>
      <c r="I111" s="20"/>
      <c r="J111" s="23">
        <f t="shared" si="5"/>
        <v>15000</v>
      </c>
    </row>
    <row r="112" spans="1:11" ht="19" customHeight="1">
      <c r="A112" s="55" t="s">
        <v>352</v>
      </c>
      <c r="C112" s="2" t="s">
        <v>180</v>
      </c>
      <c r="D112" s="1" t="s">
        <v>182</v>
      </c>
      <c r="F112" s="21">
        <v>1</v>
      </c>
      <c r="G112" s="20">
        <f>VLOOKUP(D112,단가!B:D,3,0)</f>
        <v>3000</v>
      </c>
      <c r="H112" s="20">
        <f t="shared" si="6"/>
        <v>3000</v>
      </c>
      <c r="I112" s="20"/>
      <c r="J112" s="23">
        <f t="shared" si="5"/>
        <v>3000</v>
      </c>
    </row>
    <row r="113" spans="1:13" ht="19" customHeight="1">
      <c r="A113" s="55" t="s">
        <v>363</v>
      </c>
      <c r="C113" s="2" t="s">
        <v>180</v>
      </c>
      <c r="D113" s="1" t="s">
        <v>64</v>
      </c>
      <c r="E113" s="6" t="s">
        <v>60</v>
      </c>
      <c r="F113" s="21">
        <v>1</v>
      </c>
      <c r="G113" s="20">
        <f>VLOOKUP(D113,단가!B:D,3,0)</f>
        <v>15000</v>
      </c>
      <c r="H113" s="20">
        <f t="shared" si="6"/>
        <v>15000</v>
      </c>
      <c r="I113" s="20"/>
      <c r="J113" s="23">
        <f t="shared" si="5"/>
        <v>15000</v>
      </c>
    </row>
    <row r="114" spans="1:13" ht="19" customHeight="1">
      <c r="A114" s="55" t="s">
        <v>363</v>
      </c>
      <c r="C114" s="2" t="s">
        <v>180</v>
      </c>
      <c r="D114" s="1" t="s">
        <v>182</v>
      </c>
      <c r="F114" s="21">
        <v>1</v>
      </c>
      <c r="G114" s="20">
        <f>VLOOKUP(D114,단가!B:D,3,0)</f>
        <v>3000</v>
      </c>
      <c r="H114" s="20">
        <f t="shared" si="6"/>
        <v>3000</v>
      </c>
      <c r="I114" s="20"/>
      <c r="J114" s="23">
        <f t="shared" si="5"/>
        <v>3000</v>
      </c>
    </row>
    <row r="115" spans="1:13" ht="19" customHeight="1">
      <c r="A115" s="55" t="s">
        <v>368</v>
      </c>
      <c r="C115" s="2" t="s">
        <v>180</v>
      </c>
      <c r="D115" s="1" t="s">
        <v>64</v>
      </c>
      <c r="E115" s="6" t="s">
        <v>60</v>
      </c>
      <c r="F115" s="21">
        <v>1</v>
      </c>
      <c r="G115" s="20">
        <f>VLOOKUP(D115,단가!B:D,3,0)</f>
        <v>15000</v>
      </c>
      <c r="H115" s="20">
        <f t="shared" si="6"/>
        <v>15000</v>
      </c>
      <c r="I115" s="20"/>
      <c r="J115" s="23">
        <f t="shared" si="5"/>
        <v>15000</v>
      </c>
    </row>
    <row r="116" spans="1:13" ht="19" customHeight="1">
      <c r="A116" s="55" t="s">
        <v>368</v>
      </c>
      <c r="C116" s="2" t="s">
        <v>180</v>
      </c>
      <c r="D116" s="6" t="s">
        <v>66</v>
      </c>
      <c r="E116" s="6" t="s">
        <v>60</v>
      </c>
      <c r="F116" s="21">
        <v>1</v>
      </c>
      <c r="G116" s="20">
        <f>VLOOKUP(D116,단가!B:D,3,0)</f>
        <v>15000</v>
      </c>
      <c r="H116" s="20">
        <f t="shared" si="6"/>
        <v>15000</v>
      </c>
      <c r="I116" s="20"/>
      <c r="J116" s="23">
        <f t="shared" si="5"/>
        <v>15000</v>
      </c>
    </row>
    <row r="117" spans="1:13" ht="19" customHeight="1">
      <c r="A117" s="55" t="s">
        <v>382</v>
      </c>
      <c r="C117" s="2" t="s">
        <v>180</v>
      </c>
      <c r="D117" s="6" t="s">
        <v>63</v>
      </c>
      <c r="E117" s="6" t="s">
        <v>60</v>
      </c>
      <c r="F117" s="21">
        <v>1</v>
      </c>
      <c r="G117" s="20">
        <f>VLOOKUP(D117,단가!B:D,3,0)</f>
        <v>15000</v>
      </c>
      <c r="H117" s="20">
        <f t="shared" si="6"/>
        <v>15000</v>
      </c>
      <c r="I117" s="20"/>
      <c r="J117" s="23">
        <f t="shared" si="5"/>
        <v>15000</v>
      </c>
    </row>
    <row r="118" spans="1:13" ht="19" customHeight="1">
      <c r="A118" s="55" t="s">
        <v>382</v>
      </c>
      <c r="C118" s="2" t="s">
        <v>180</v>
      </c>
      <c r="D118" s="1" t="s">
        <v>64</v>
      </c>
      <c r="E118" s="6" t="s">
        <v>219</v>
      </c>
      <c r="F118" s="21">
        <v>1</v>
      </c>
      <c r="G118" s="20">
        <f>VLOOKUP(D118,단가!B:D,3,0)/2</f>
        <v>7500</v>
      </c>
      <c r="H118" s="20">
        <f t="shared" si="6"/>
        <v>7500</v>
      </c>
      <c r="I118" s="20"/>
      <c r="J118" s="23">
        <f t="shared" si="5"/>
        <v>7500</v>
      </c>
    </row>
    <row r="119" spans="1:13" ht="19" customHeight="1">
      <c r="A119" s="55" t="s">
        <v>382</v>
      </c>
      <c r="C119" s="2" t="s">
        <v>180</v>
      </c>
      <c r="D119" s="1" t="s">
        <v>182</v>
      </c>
      <c r="G119" s="20">
        <f>VLOOKUP(D119,단가!B:D,3,0)</f>
        <v>3000</v>
      </c>
      <c r="H119" s="20">
        <f t="shared" si="6"/>
        <v>0</v>
      </c>
      <c r="I119" s="20"/>
      <c r="J119" s="23">
        <f t="shared" si="5"/>
        <v>0</v>
      </c>
      <c r="M119" s="28"/>
    </row>
    <row r="120" spans="1:13" ht="19" customHeight="1">
      <c r="A120" s="55" t="s">
        <v>382</v>
      </c>
      <c r="C120" s="2" t="s">
        <v>180</v>
      </c>
      <c r="D120" s="6" t="s">
        <v>63</v>
      </c>
      <c r="E120" s="6" t="s">
        <v>60</v>
      </c>
      <c r="F120" s="21">
        <v>1</v>
      </c>
      <c r="G120" s="20">
        <f>VLOOKUP(D120,단가!B:D,3,0)</f>
        <v>15000</v>
      </c>
      <c r="H120" s="20">
        <f t="shared" si="6"/>
        <v>15000</v>
      </c>
      <c r="I120" s="20"/>
      <c r="J120" s="23">
        <f t="shared" si="5"/>
        <v>15000</v>
      </c>
    </row>
    <row r="121" spans="1:13" ht="19" customHeight="1">
      <c r="A121" s="55" t="s">
        <v>382</v>
      </c>
      <c r="C121" s="2" t="s">
        <v>180</v>
      </c>
      <c r="D121" s="1" t="s">
        <v>64</v>
      </c>
      <c r="E121" s="6" t="s">
        <v>219</v>
      </c>
      <c r="F121" s="21">
        <v>1</v>
      </c>
      <c r="G121" s="20">
        <f>VLOOKUP(D121,단가!B:D,3,0)</f>
        <v>15000</v>
      </c>
      <c r="H121" s="20">
        <f t="shared" si="6"/>
        <v>15000</v>
      </c>
      <c r="I121" s="20"/>
      <c r="J121" s="23">
        <f t="shared" si="5"/>
        <v>15000</v>
      </c>
    </row>
    <row r="122" spans="1:13" ht="19" customHeight="1">
      <c r="A122" s="55" t="s">
        <v>382</v>
      </c>
      <c r="C122" s="2" t="s">
        <v>180</v>
      </c>
      <c r="D122" s="1" t="s">
        <v>182</v>
      </c>
      <c r="G122" s="20">
        <f>VLOOKUP(D122,단가!B:D,3,0)</f>
        <v>3000</v>
      </c>
      <c r="H122" s="20">
        <f t="shared" si="6"/>
        <v>0</v>
      </c>
      <c r="I122" s="20"/>
      <c r="J122" s="23">
        <f t="shared" si="5"/>
        <v>0</v>
      </c>
    </row>
    <row r="123" spans="1:13" ht="19" customHeight="1">
      <c r="A123" s="55" t="s">
        <v>389</v>
      </c>
      <c r="C123" s="2" t="s">
        <v>142</v>
      </c>
      <c r="D123" s="1" t="s">
        <v>228</v>
      </c>
      <c r="E123" s="40" t="s">
        <v>57</v>
      </c>
      <c r="F123" s="21">
        <v>3</v>
      </c>
      <c r="G123" s="20">
        <f>VLOOKUP(D123,단가!B:D,3,0)</f>
        <v>25000</v>
      </c>
      <c r="H123" s="20">
        <f t="shared" si="6"/>
        <v>75000</v>
      </c>
      <c r="I123" s="20"/>
      <c r="J123" s="23">
        <f t="shared" si="5"/>
        <v>75000</v>
      </c>
    </row>
    <row r="124" spans="1:13" ht="19" customHeight="1">
      <c r="A124" s="55" t="s">
        <v>390</v>
      </c>
      <c r="C124" s="2" t="s">
        <v>180</v>
      </c>
      <c r="D124" s="6" t="s">
        <v>63</v>
      </c>
      <c r="E124" s="6" t="s">
        <v>60</v>
      </c>
      <c r="F124" s="21">
        <v>1</v>
      </c>
      <c r="G124" s="20">
        <f>VLOOKUP(D124,단가!B:D,3,0)</f>
        <v>15000</v>
      </c>
      <c r="H124" s="20">
        <f t="shared" si="6"/>
        <v>15000</v>
      </c>
      <c r="I124" s="20"/>
      <c r="J124" s="23">
        <f t="shared" si="5"/>
        <v>15000</v>
      </c>
    </row>
    <row r="125" spans="1:13" ht="19" customHeight="1">
      <c r="A125" s="55" t="s">
        <v>390</v>
      </c>
      <c r="C125" s="2" t="s">
        <v>180</v>
      </c>
      <c r="D125" s="6" t="s">
        <v>66</v>
      </c>
      <c r="E125" s="6" t="s">
        <v>60</v>
      </c>
      <c r="F125" s="21">
        <v>1</v>
      </c>
      <c r="G125" s="20">
        <f>VLOOKUP(D125,단가!B:D,3,0)</f>
        <v>15000</v>
      </c>
      <c r="H125" s="20">
        <f t="shared" si="6"/>
        <v>15000</v>
      </c>
      <c r="I125" s="20"/>
      <c r="J125" s="23">
        <f t="shared" si="5"/>
        <v>15000</v>
      </c>
    </row>
    <row r="126" spans="1:13" ht="19" customHeight="1">
      <c r="A126" s="55" t="s">
        <v>390</v>
      </c>
      <c r="C126" s="2" t="s">
        <v>180</v>
      </c>
      <c r="D126" s="1" t="s">
        <v>182</v>
      </c>
      <c r="G126" s="20">
        <f>VLOOKUP(D126,단가!B:D,3,0)</f>
        <v>3000</v>
      </c>
      <c r="H126" s="20">
        <f t="shared" si="6"/>
        <v>0</v>
      </c>
      <c r="I126" s="20"/>
      <c r="J126" s="23">
        <f t="shared" si="5"/>
        <v>0</v>
      </c>
    </row>
    <row r="127" spans="1:13" ht="19" customHeight="1">
      <c r="A127" s="55" t="s">
        <v>391</v>
      </c>
      <c r="C127" s="2" t="s">
        <v>143</v>
      </c>
      <c r="D127" s="41" t="s">
        <v>228</v>
      </c>
      <c r="E127" s="40" t="s">
        <v>57</v>
      </c>
      <c r="F127" s="21">
        <v>1</v>
      </c>
      <c r="G127" s="20">
        <f>VLOOKUP(D127,단가!B:D,3,0)</f>
        <v>25000</v>
      </c>
      <c r="H127" s="20">
        <f t="shared" si="6"/>
        <v>25000</v>
      </c>
      <c r="I127" s="20"/>
      <c r="J127" s="23">
        <f t="shared" si="5"/>
        <v>25000</v>
      </c>
    </row>
    <row r="128" spans="1:13" ht="19" customHeight="1">
      <c r="A128" s="55" t="s">
        <v>407</v>
      </c>
      <c r="C128" s="2" t="s">
        <v>268</v>
      </c>
      <c r="D128" s="6" t="s">
        <v>222</v>
      </c>
      <c r="E128" s="6" t="s">
        <v>94</v>
      </c>
      <c r="F128" s="21">
        <v>1</v>
      </c>
      <c r="G128" s="20">
        <f>VLOOKUP(D128,단가!B:D,3,0)</f>
        <v>30000</v>
      </c>
      <c r="H128" s="20">
        <f t="shared" si="6"/>
        <v>30000</v>
      </c>
      <c r="I128" s="20"/>
      <c r="J128" s="23">
        <f t="shared" si="5"/>
        <v>30000</v>
      </c>
    </row>
    <row r="129" spans="1:13" ht="19" customHeight="1">
      <c r="A129" s="55" t="s">
        <v>411</v>
      </c>
      <c r="C129" s="2" t="s">
        <v>180</v>
      </c>
      <c r="D129" s="1" t="s">
        <v>414</v>
      </c>
      <c r="E129" s="6" t="s">
        <v>60</v>
      </c>
      <c r="F129" s="21">
        <v>1</v>
      </c>
      <c r="G129" s="20">
        <f>VLOOKUP(D129,단가!B:D,3,0)</f>
        <v>15000</v>
      </c>
      <c r="H129" s="20">
        <f t="shared" si="6"/>
        <v>15000</v>
      </c>
      <c r="I129" s="20"/>
      <c r="J129" s="23">
        <f t="shared" si="5"/>
        <v>15000</v>
      </c>
    </row>
    <row r="130" spans="1:13" ht="19" customHeight="1">
      <c r="A130" s="55" t="s">
        <v>411</v>
      </c>
      <c r="C130" s="2" t="s">
        <v>180</v>
      </c>
      <c r="D130" s="1" t="s">
        <v>413</v>
      </c>
      <c r="E130" s="6" t="s">
        <v>60</v>
      </c>
      <c r="F130" s="21">
        <v>1</v>
      </c>
      <c r="G130" s="20">
        <f>VLOOKUP(D130,단가!B:D,3,0)</f>
        <v>15000</v>
      </c>
      <c r="H130" s="20">
        <f t="shared" si="6"/>
        <v>15000</v>
      </c>
      <c r="I130" s="20"/>
      <c r="J130" s="23">
        <f t="shared" si="5"/>
        <v>15000</v>
      </c>
    </row>
    <row r="131" spans="1:13" ht="19" customHeight="1">
      <c r="A131" s="55" t="s">
        <v>431</v>
      </c>
      <c r="C131" s="2" t="s">
        <v>180</v>
      </c>
      <c r="D131" s="1" t="s">
        <v>65</v>
      </c>
      <c r="E131" s="6" t="s">
        <v>60</v>
      </c>
      <c r="F131" s="21">
        <v>1</v>
      </c>
      <c r="G131" s="20">
        <f>VLOOKUP(D131,단가!B:D,3,0)</f>
        <v>15000</v>
      </c>
      <c r="H131" s="20">
        <f t="shared" si="6"/>
        <v>15000</v>
      </c>
      <c r="I131" s="20"/>
      <c r="J131" s="23">
        <f t="shared" si="5"/>
        <v>15000</v>
      </c>
    </row>
    <row r="132" spans="1:13" ht="19" customHeight="1">
      <c r="A132" s="55" t="s">
        <v>431</v>
      </c>
      <c r="C132" s="2" t="s">
        <v>180</v>
      </c>
      <c r="D132" s="1" t="s">
        <v>432</v>
      </c>
      <c r="E132" s="6" t="s">
        <v>219</v>
      </c>
      <c r="F132" s="21">
        <v>1</v>
      </c>
      <c r="G132" s="20">
        <v>7500</v>
      </c>
      <c r="H132" s="20">
        <f t="shared" si="6"/>
        <v>7500</v>
      </c>
      <c r="I132" s="20"/>
      <c r="J132" s="23">
        <f t="shared" si="5"/>
        <v>7500</v>
      </c>
    </row>
    <row r="133" spans="1:13" ht="19" customHeight="1">
      <c r="A133" s="55" t="s">
        <v>431</v>
      </c>
      <c r="C133" s="2" t="s">
        <v>180</v>
      </c>
      <c r="D133" s="1" t="s">
        <v>182</v>
      </c>
      <c r="F133" s="21">
        <v>1</v>
      </c>
      <c r="G133" s="20">
        <f>VLOOKUP(D133,단가!B:D,3,0)</f>
        <v>3000</v>
      </c>
      <c r="H133" s="20">
        <f t="shared" si="6"/>
        <v>3000</v>
      </c>
      <c r="I133" s="20"/>
      <c r="J133" s="23">
        <f t="shared" si="5"/>
        <v>3000</v>
      </c>
    </row>
    <row r="134" spans="1:13" ht="19" customHeight="1">
      <c r="A134" s="55" t="s">
        <v>431</v>
      </c>
      <c r="C134" s="2" t="s">
        <v>180</v>
      </c>
      <c r="D134" s="1" t="s">
        <v>65</v>
      </c>
      <c r="E134" s="6" t="s">
        <v>60</v>
      </c>
      <c r="F134" s="21">
        <v>1</v>
      </c>
      <c r="G134" s="20">
        <f>VLOOKUP(D134,단가!B:D,3,0)</f>
        <v>15000</v>
      </c>
      <c r="H134" s="20">
        <f t="shared" si="6"/>
        <v>15000</v>
      </c>
      <c r="I134" s="20"/>
      <c r="J134" s="23">
        <f t="shared" si="5"/>
        <v>15000</v>
      </c>
    </row>
    <row r="135" spans="1:13" ht="19" customHeight="1">
      <c r="A135" s="55" t="s">
        <v>431</v>
      </c>
      <c r="C135" s="2" t="s">
        <v>180</v>
      </c>
      <c r="D135" s="1" t="s">
        <v>432</v>
      </c>
      <c r="E135" s="6" t="s">
        <v>219</v>
      </c>
      <c r="F135" s="21">
        <v>1</v>
      </c>
      <c r="G135" s="20">
        <f>VLOOKUP(D135,단가!B:D,3,0)</f>
        <v>15000</v>
      </c>
      <c r="H135" s="20">
        <f t="shared" si="6"/>
        <v>15000</v>
      </c>
      <c r="I135" s="20"/>
      <c r="J135" s="23">
        <f t="shared" si="5"/>
        <v>15000</v>
      </c>
    </row>
    <row r="136" spans="1:13" ht="19" customHeight="1">
      <c r="A136" s="55" t="s">
        <v>431</v>
      </c>
      <c r="C136" s="2" t="s">
        <v>180</v>
      </c>
      <c r="D136" s="1" t="s">
        <v>182</v>
      </c>
      <c r="F136" s="21">
        <v>1</v>
      </c>
      <c r="G136" s="20">
        <f>VLOOKUP(D136,단가!B:D,3,0)</f>
        <v>3000</v>
      </c>
      <c r="H136" s="20">
        <f t="shared" si="6"/>
        <v>3000</v>
      </c>
      <c r="I136" s="20"/>
      <c r="J136" s="23">
        <f t="shared" si="5"/>
        <v>3000</v>
      </c>
    </row>
    <row r="137" spans="1:13" ht="19" customHeight="1">
      <c r="A137" s="55" t="s">
        <v>457</v>
      </c>
      <c r="C137" s="2" t="s">
        <v>180</v>
      </c>
      <c r="D137" s="1" t="s">
        <v>66</v>
      </c>
      <c r="E137" s="6" t="s">
        <v>60</v>
      </c>
      <c r="F137" s="21">
        <v>1</v>
      </c>
      <c r="G137" s="20">
        <f>VLOOKUP(D137,단가!B:D,3,0)</f>
        <v>15000</v>
      </c>
      <c r="H137" s="20">
        <f t="shared" si="6"/>
        <v>15000</v>
      </c>
      <c r="I137" s="20"/>
      <c r="J137" s="23">
        <f t="shared" si="5"/>
        <v>15000</v>
      </c>
    </row>
    <row r="138" spans="1:13" ht="19" customHeight="1">
      <c r="A138" s="55" t="s">
        <v>457</v>
      </c>
      <c r="C138" s="2" t="s">
        <v>180</v>
      </c>
      <c r="D138" s="6" t="s">
        <v>63</v>
      </c>
      <c r="E138" s="6" t="s">
        <v>60</v>
      </c>
      <c r="F138" s="21">
        <v>1</v>
      </c>
      <c r="G138" s="20">
        <f>VLOOKUP(D138,단가!B:D,3,0)</f>
        <v>15000</v>
      </c>
      <c r="H138" s="20">
        <f t="shared" si="6"/>
        <v>15000</v>
      </c>
      <c r="I138" s="20"/>
      <c r="J138" s="23">
        <f t="shared" ref="J138:J201" si="7">H138+I138</f>
        <v>15000</v>
      </c>
    </row>
    <row r="139" spans="1:13" ht="19" customHeight="1">
      <c r="A139" s="55" t="s">
        <v>457</v>
      </c>
      <c r="C139" s="2" t="s">
        <v>180</v>
      </c>
      <c r="D139" s="1" t="s">
        <v>182</v>
      </c>
      <c r="G139" s="20">
        <f>VLOOKUP(D139,단가!B:D,3,0)</f>
        <v>3000</v>
      </c>
      <c r="H139" s="20">
        <f t="shared" ref="H139:H202" si="8">F139*G139</f>
        <v>0</v>
      </c>
      <c r="I139" s="20"/>
      <c r="J139" s="23">
        <f t="shared" si="7"/>
        <v>0</v>
      </c>
    </row>
    <row r="140" spans="1:13" ht="19" customHeight="1">
      <c r="A140" s="55" t="s">
        <v>458</v>
      </c>
      <c r="C140" s="2" t="s">
        <v>459</v>
      </c>
      <c r="D140" s="6" t="s">
        <v>222</v>
      </c>
      <c r="E140" s="6" t="s">
        <v>94</v>
      </c>
      <c r="F140" s="21">
        <v>1</v>
      </c>
      <c r="G140" s="20">
        <f>VLOOKUP(D140,단가!B:D,3,0)</f>
        <v>30000</v>
      </c>
      <c r="H140" s="20">
        <f t="shared" si="8"/>
        <v>30000</v>
      </c>
      <c r="I140" s="20"/>
      <c r="J140" s="23">
        <f t="shared" si="7"/>
        <v>30000</v>
      </c>
    </row>
    <row r="141" spans="1:13" ht="19" customHeight="1">
      <c r="A141" s="55" t="s">
        <v>527</v>
      </c>
      <c r="C141" s="2" t="s">
        <v>180</v>
      </c>
      <c r="D141" s="1" t="s">
        <v>528</v>
      </c>
      <c r="E141" s="6" t="s">
        <v>60</v>
      </c>
      <c r="F141" s="21">
        <v>1</v>
      </c>
      <c r="G141" s="20">
        <f>VLOOKUP(D141,단가!B:D,3,0)</f>
        <v>15000</v>
      </c>
      <c r="H141" s="20">
        <f t="shared" si="8"/>
        <v>15000</v>
      </c>
      <c r="I141" s="20"/>
      <c r="J141" s="23">
        <f t="shared" si="7"/>
        <v>15000</v>
      </c>
    </row>
    <row r="142" spans="1:13" ht="19" customHeight="1">
      <c r="A142" s="55" t="s">
        <v>527</v>
      </c>
      <c r="C142" s="2" t="s">
        <v>180</v>
      </c>
      <c r="D142" s="1" t="s">
        <v>529</v>
      </c>
      <c r="E142" s="6" t="s">
        <v>219</v>
      </c>
      <c r="F142" s="21">
        <v>1</v>
      </c>
      <c r="G142" s="20">
        <v>7500</v>
      </c>
      <c r="H142" s="20">
        <f t="shared" si="8"/>
        <v>7500</v>
      </c>
      <c r="I142" s="20"/>
      <c r="J142" s="23">
        <f t="shared" si="7"/>
        <v>7500</v>
      </c>
    </row>
    <row r="143" spans="1:13" ht="19" customHeight="1">
      <c r="A143" s="55" t="s">
        <v>527</v>
      </c>
      <c r="C143" s="2" t="s">
        <v>180</v>
      </c>
      <c r="D143" s="1" t="s">
        <v>182</v>
      </c>
      <c r="F143" s="21">
        <v>1</v>
      </c>
      <c r="G143" s="20">
        <f>VLOOKUP(D143,단가!B:D,3,0)</f>
        <v>3000</v>
      </c>
      <c r="H143" s="20">
        <f t="shared" si="8"/>
        <v>3000</v>
      </c>
      <c r="I143" s="20"/>
      <c r="J143" s="23">
        <f t="shared" si="7"/>
        <v>3000</v>
      </c>
      <c r="M143" s="28">
        <f>SUM(J141:J146)</f>
        <v>63000</v>
      </c>
    </row>
    <row r="144" spans="1:13" ht="19" customHeight="1">
      <c r="A144" s="55" t="s">
        <v>527</v>
      </c>
      <c r="C144" s="2" t="s">
        <v>180</v>
      </c>
      <c r="D144" s="1" t="s">
        <v>530</v>
      </c>
      <c r="E144" s="6" t="s">
        <v>60</v>
      </c>
      <c r="F144" s="21">
        <v>1</v>
      </c>
      <c r="G144" s="20">
        <f>VLOOKUP(D144,단가!B:D,3,0)</f>
        <v>15000</v>
      </c>
      <c r="H144" s="20">
        <f t="shared" si="8"/>
        <v>15000</v>
      </c>
      <c r="I144" s="20"/>
      <c r="J144" s="23">
        <f t="shared" si="7"/>
        <v>15000</v>
      </c>
    </row>
    <row r="145" spans="1:10" ht="19" customHeight="1">
      <c r="A145" s="55" t="s">
        <v>527</v>
      </c>
      <c r="C145" s="2" t="s">
        <v>180</v>
      </c>
      <c r="D145" s="1" t="s">
        <v>528</v>
      </c>
      <c r="E145" s="6" t="s">
        <v>60</v>
      </c>
      <c r="F145" s="21">
        <v>1</v>
      </c>
      <c r="G145" s="20">
        <f>VLOOKUP(D145,단가!B:D,3,0)</f>
        <v>15000</v>
      </c>
      <c r="H145" s="20">
        <f t="shared" si="8"/>
        <v>15000</v>
      </c>
      <c r="I145" s="20"/>
      <c r="J145" s="23">
        <f t="shared" si="7"/>
        <v>15000</v>
      </c>
    </row>
    <row r="146" spans="1:10" ht="19" customHeight="1">
      <c r="A146" s="55" t="s">
        <v>527</v>
      </c>
      <c r="C146" s="2" t="s">
        <v>180</v>
      </c>
      <c r="D146" s="1" t="s">
        <v>529</v>
      </c>
      <c r="E146" s="6" t="s">
        <v>219</v>
      </c>
      <c r="F146" s="21">
        <v>1</v>
      </c>
      <c r="G146" s="20">
        <v>7500</v>
      </c>
      <c r="H146" s="20">
        <f t="shared" si="8"/>
        <v>7500</v>
      </c>
      <c r="I146" s="20"/>
      <c r="J146" s="23">
        <f t="shared" si="7"/>
        <v>7500</v>
      </c>
    </row>
    <row r="147" spans="1:10" ht="19" customHeight="1">
      <c r="G147" s="20" t="e">
        <f>VLOOKUP(D147,단가!B:D,3,0)</f>
        <v>#N/A</v>
      </c>
      <c r="H147" s="20" t="e">
        <f t="shared" si="8"/>
        <v>#N/A</v>
      </c>
      <c r="I147" s="20"/>
      <c r="J147" s="23" t="e">
        <f t="shared" si="7"/>
        <v>#N/A</v>
      </c>
    </row>
    <row r="148" spans="1:10" ht="19" customHeight="1">
      <c r="G148" s="20" t="e">
        <f>VLOOKUP(D148,단가!B:D,3,0)</f>
        <v>#N/A</v>
      </c>
      <c r="H148" s="20" t="e">
        <f t="shared" si="8"/>
        <v>#N/A</v>
      </c>
      <c r="I148" s="20"/>
      <c r="J148" s="23" t="e">
        <f t="shared" si="7"/>
        <v>#N/A</v>
      </c>
    </row>
    <row r="149" spans="1:10" ht="19" customHeight="1">
      <c r="G149" s="20" t="e">
        <f>VLOOKUP(D149,단가!B:D,3,0)</f>
        <v>#N/A</v>
      </c>
      <c r="H149" s="20" t="e">
        <f t="shared" si="8"/>
        <v>#N/A</v>
      </c>
      <c r="I149" s="20"/>
      <c r="J149" s="23" t="e">
        <f t="shared" si="7"/>
        <v>#N/A</v>
      </c>
    </row>
    <row r="150" spans="1:10" ht="19" customHeight="1">
      <c r="G150" s="20" t="e">
        <f>VLOOKUP(D150,단가!B:D,3,0)</f>
        <v>#N/A</v>
      </c>
      <c r="H150" s="20" t="e">
        <f t="shared" si="8"/>
        <v>#N/A</v>
      </c>
      <c r="I150" s="20"/>
      <c r="J150" s="23" t="e">
        <f t="shared" si="7"/>
        <v>#N/A</v>
      </c>
    </row>
    <row r="151" spans="1:10" ht="19" customHeight="1">
      <c r="G151" s="20" t="e">
        <f>VLOOKUP(D151,단가!B:D,3,0)</f>
        <v>#N/A</v>
      </c>
      <c r="H151" s="20" t="e">
        <f t="shared" si="8"/>
        <v>#N/A</v>
      </c>
      <c r="I151" s="20"/>
      <c r="J151" s="23" t="e">
        <f t="shared" si="7"/>
        <v>#N/A</v>
      </c>
    </row>
    <row r="152" spans="1:10" ht="19" customHeight="1">
      <c r="G152" s="20" t="e">
        <f>VLOOKUP(D152,단가!B:D,3,0)</f>
        <v>#N/A</v>
      </c>
      <c r="H152" s="20" t="e">
        <f t="shared" si="8"/>
        <v>#N/A</v>
      </c>
      <c r="I152" s="20"/>
      <c r="J152" s="23" t="e">
        <f t="shared" si="7"/>
        <v>#N/A</v>
      </c>
    </row>
    <row r="153" spans="1:10" ht="19" customHeight="1">
      <c r="G153" s="20" t="e">
        <f>VLOOKUP(D153,단가!B:D,3,0)</f>
        <v>#N/A</v>
      </c>
      <c r="H153" s="20" t="e">
        <f t="shared" si="8"/>
        <v>#N/A</v>
      </c>
      <c r="I153" s="20"/>
      <c r="J153" s="23" t="e">
        <f t="shared" si="7"/>
        <v>#N/A</v>
      </c>
    </row>
    <row r="154" spans="1:10" ht="19" customHeight="1">
      <c r="G154" s="20" t="e">
        <f>VLOOKUP(D154,단가!B:D,3,0)</f>
        <v>#N/A</v>
      </c>
      <c r="H154" s="20" t="e">
        <f t="shared" si="8"/>
        <v>#N/A</v>
      </c>
      <c r="I154" s="20"/>
      <c r="J154" s="23" t="e">
        <f t="shared" si="7"/>
        <v>#N/A</v>
      </c>
    </row>
    <row r="155" spans="1:10" ht="19" customHeight="1">
      <c r="G155" s="20" t="e">
        <f>VLOOKUP(D155,단가!B:D,3,0)</f>
        <v>#N/A</v>
      </c>
      <c r="H155" s="20" t="e">
        <f t="shared" si="8"/>
        <v>#N/A</v>
      </c>
      <c r="I155" s="20"/>
      <c r="J155" s="23" t="e">
        <f t="shared" si="7"/>
        <v>#N/A</v>
      </c>
    </row>
    <row r="156" spans="1:10" ht="19" customHeight="1">
      <c r="G156" s="20" t="e">
        <f>VLOOKUP(D156,단가!B:D,3,0)</f>
        <v>#N/A</v>
      </c>
      <c r="H156" s="20" t="e">
        <f t="shared" si="8"/>
        <v>#N/A</v>
      </c>
      <c r="I156" s="20"/>
      <c r="J156" s="23" t="e">
        <f t="shared" si="7"/>
        <v>#N/A</v>
      </c>
    </row>
    <row r="157" spans="1:10" ht="19" customHeight="1">
      <c r="G157" s="20" t="e">
        <f>VLOOKUP(D157,단가!B:D,3,0)</f>
        <v>#N/A</v>
      </c>
      <c r="H157" s="20" t="e">
        <f t="shared" si="8"/>
        <v>#N/A</v>
      </c>
      <c r="I157" s="20"/>
      <c r="J157" s="23" t="e">
        <f t="shared" si="7"/>
        <v>#N/A</v>
      </c>
    </row>
    <row r="158" spans="1:10" ht="19" customHeight="1">
      <c r="G158" s="20" t="e">
        <f>VLOOKUP(D158,단가!B:D,3,0)</f>
        <v>#N/A</v>
      </c>
      <c r="H158" s="20" t="e">
        <f t="shared" si="8"/>
        <v>#N/A</v>
      </c>
      <c r="I158" s="20"/>
      <c r="J158" s="23" t="e">
        <f t="shared" si="7"/>
        <v>#N/A</v>
      </c>
    </row>
    <row r="159" spans="1:10" ht="19" customHeight="1">
      <c r="G159" s="20" t="e">
        <f>VLOOKUP(D159,단가!B:D,3,0)</f>
        <v>#N/A</v>
      </c>
      <c r="H159" s="20" t="e">
        <f t="shared" si="8"/>
        <v>#N/A</v>
      </c>
      <c r="I159" s="20"/>
      <c r="J159" s="23" t="e">
        <f t="shared" si="7"/>
        <v>#N/A</v>
      </c>
    </row>
    <row r="160" spans="1:10" ht="19" customHeight="1">
      <c r="G160" s="20" t="e">
        <f>VLOOKUP(D160,단가!B:D,3,0)</f>
        <v>#N/A</v>
      </c>
      <c r="H160" s="20" t="e">
        <f t="shared" si="8"/>
        <v>#N/A</v>
      </c>
      <c r="I160" s="20"/>
      <c r="J160" s="23" t="e">
        <f t="shared" si="7"/>
        <v>#N/A</v>
      </c>
    </row>
    <row r="161" spans="7:10" ht="19" customHeight="1">
      <c r="G161" s="20" t="e">
        <f>VLOOKUP(D161,단가!B:D,3,0)</f>
        <v>#N/A</v>
      </c>
      <c r="H161" s="20" t="e">
        <f t="shared" si="8"/>
        <v>#N/A</v>
      </c>
      <c r="I161" s="20"/>
      <c r="J161" s="23" t="e">
        <f t="shared" si="7"/>
        <v>#N/A</v>
      </c>
    </row>
    <row r="162" spans="7:10" ht="19" customHeight="1">
      <c r="G162" s="20" t="e">
        <f>VLOOKUP(D162,단가!B:D,3,0)</f>
        <v>#N/A</v>
      </c>
      <c r="H162" s="20" t="e">
        <f t="shared" si="8"/>
        <v>#N/A</v>
      </c>
      <c r="I162" s="20"/>
      <c r="J162" s="23" t="e">
        <f t="shared" si="7"/>
        <v>#N/A</v>
      </c>
    </row>
    <row r="163" spans="7:10" ht="19" customHeight="1">
      <c r="G163" s="20" t="e">
        <f>VLOOKUP(D163,단가!B:D,3,0)</f>
        <v>#N/A</v>
      </c>
      <c r="H163" s="20" t="e">
        <f t="shared" si="8"/>
        <v>#N/A</v>
      </c>
      <c r="I163" s="20"/>
      <c r="J163" s="23" t="e">
        <f t="shared" si="7"/>
        <v>#N/A</v>
      </c>
    </row>
    <row r="164" spans="7:10" ht="19" customHeight="1">
      <c r="G164" s="20" t="e">
        <f>VLOOKUP(D164,단가!B:D,3,0)</f>
        <v>#N/A</v>
      </c>
      <c r="H164" s="20" t="e">
        <f t="shared" si="8"/>
        <v>#N/A</v>
      </c>
      <c r="I164" s="20"/>
      <c r="J164" s="23" t="e">
        <f t="shared" si="7"/>
        <v>#N/A</v>
      </c>
    </row>
    <row r="165" spans="7:10" ht="19" customHeight="1">
      <c r="G165" s="20" t="e">
        <f>VLOOKUP(D165,단가!B:D,3,0)</f>
        <v>#N/A</v>
      </c>
      <c r="H165" s="20" t="e">
        <f t="shared" si="8"/>
        <v>#N/A</v>
      </c>
      <c r="I165" s="20"/>
      <c r="J165" s="23" t="e">
        <f t="shared" si="7"/>
        <v>#N/A</v>
      </c>
    </row>
    <row r="166" spans="7:10" ht="19" customHeight="1">
      <c r="G166" s="20" t="e">
        <f>VLOOKUP(D166,단가!B:D,3,0)</f>
        <v>#N/A</v>
      </c>
      <c r="H166" s="20" t="e">
        <f t="shared" si="8"/>
        <v>#N/A</v>
      </c>
      <c r="I166" s="20"/>
      <c r="J166" s="23" t="e">
        <f t="shared" si="7"/>
        <v>#N/A</v>
      </c>
    </row>
    <row r="167" spans="7:10" ht="19" customHeight="1">
      <c r="G167" s="20" t="e">
        <f>VLOOKUP(D167,단가!B:D,3,0)</f>
        <v>#N/A</v>
      </c>
      <c r="H167" s="20" t="e">
        <f t="shared" si="8"/>
        <v>#N/A</v>
      </c>
      <c r="I167" s="20"/>
      <c r="J167" s="23" t="e">
        <f t="shared" si="7"/>
        <v>#N/A</v>
      </c>
    </row>
    <row r="168" spans="7:10" ht="19" customHeight="1">
      <c r="G168" s="20" t="e">
        <f>VLOOKUP(D168,단가!B:D,3,0)</f>
        <v>#N/A</v>
      </c>
      <c r="H168" s="20" t="e">
        <f t="shared" si="8"/>
        <v>#N/A</v>
      </c>
      <c r="I168" s="20"/>
      <c r="J168" s="23" t="e">
        <f t="shared" si="7"/>
        <v>#N/A</v>
      </c>
    </row>
    <row r="169" spans="7:10" ht="19" customHeight="1">
      <c r="G169" s="20" t="e">
        <f>VLOOKUP(D169,단가!B:D,3,0)</f>
        <v>#N/A</v>
      </c>
      <c r="H169" s="20" t="e">
        <f t="shared" si="8"/>
        <v>#N/A</v>
      </c>
      <c r="I169" s="20"/>
      <c r="J169" s="23" t="e">
        <f t="shared" si="7"/>
        <v>#N/A</v>
      </c>
    </row>
    <row r="170" spans="7:10" ht="19" customHeight="1">
      <c r="G170" s="20" t="e">
        <f>VLOOKUP(D170,단가!B:D,3,0)</f>
        <v>#N/A</v>
      </c>
      <c r="H170" s="20" t="e">
        <f t="shared" si="8"/>
        <v>#N/A</v>
      </c>
      <c r="I170" s="20"/>
      <c r="J170" s="23" t="e">
        <f t="shared" si="7"/>
        <v>#N/A</v>
      </c>
    </row>
    <row r="171" spans="7:10" ht="19" customHeight="1">
      <c r="G171" s="20" t="e">
        <f>VLOOKUP(D171,단가!B:D,3,0)</f>
        <v>#N/A</v>
      </c>
      <c r="H171" s="20" t="e">
        <f t="shared" si="8"/>
        <v>#N/A</v>
      </c>
      <c r="I171" s="20"/>
      <c r="J171" s="23" t="e">
        <f t="shared" si="7"/>
        <v>#N/A</v>
      </c>
    </row>
    <row r="172" spans="7:10" ht="19" customHeight="1">
      <c r="G172" s="20" t="e">
        <f>VLOOKUP(D172,단가!B:D,3,0)</f>
        <v>#N/A</v>
      </c>
      <c r="H172" s="20" t="e">
        <f t="shared" si="8"/>
        <v>#N/A</v>
      </c>
      <c r="I172" s="20"/>
      <c r="J172" s="23" t="e">
        <f t="shared" si="7"/>
        <v>#N/A</v>
      </c>
    </row>
    <row r="173" spans="7:10" ht="19" customHeight="1">
      <c r="G173" s="20" t="e">
        <f>VLOOKUP(D173,단가!B:D,3,0)</f>
        <v>#N/A</v>
      </c>
      <c r="H173" s="20" t="e">
        <f t="shared" si="8"/>
        <v>#N/A</v>
      </c>
      <c r="I173" s="20"/>
      <c r="J173" s="23" t="e">
        <f t="shared" si="7"/>
        <v>#N/A</v>
      </c>
    </row>
    <row r="174" spans="7:10" ht="19" customHeight="1">
      <c r="G174" s="20" t="e">
        <f>VLOOKUP(D174,단가!B:D,3,0)</f>
        <v>#N/A</v>
      </c>
      <c r="H174" s="20" t="e">
        <f t="shared" si="8"/>
        <v>#N/A</v>
      </c>
      <c r="I174" s="20"/>
      <c r="J174" s="23" t="e">
        <f t="shared" si="7"/>
        <v>#N/A</v>
      </c>
    </row>
    <row r="175" spans="7:10" ht="19" customHeight="1">
      <c r="G175" s="20" t="e">
        <f>VLOOKUP(D175,단가!B:D,3,0)</f>
        <v>#N/A</v>
      </c>
      <c r="H175" s="20" t="e">
        <f t="shared" si="8"/>
        <v>#N/A</v>
      </c>
      <c r="I175" s="20"/>
      <c r="J175" s="23" t="e">
        <f t="shared" si="7"/>
        <v>#N/A</v>
      </c>
    </row>
    <row r="176" spans="7:10" ht="19" customHeight="1">
      <c r="G176" s="20" t="e">
        <f>VLOOKUP(D176,단가!B:D,3,0)</f>
        <v>#N/A</v>
      </c>
      <c r="H176" s="20" t="e">
        <f t="shared" si="8"/>
        <v>#N/A</v>
      </c>
      <c r="I176" s="20"/>
      <c r="J176" s="23" t="e">
        <f t="shared" si="7"/>
        <v>#N/A</v>
      </c>
    </row>
    <row r="177" spans="7:10" ht="19" customHeight="1">
      <c r="G177" s="20" t="e">
        <f>VLOOKUP(D177,단가!B:D,3,0)</f>
        <v>#N/A</v>
      </c>
      <c r="H177" s="20" t="e">
        <f t="shared" si="8"/>
        <v>#N/A</v>
      </c>
      <c r="I177" s="20"/>
      <c r="J177" s="23" t="e">
        <f t="shared" si="7"/>
        <v>#N/A</v>
      </c>
    </row>
    <row r="178" spans="7:10" ht="19" customHeight="1">
      <c r="G178" s="20" t="e">
        <f>VLOOKUP(D178,단가!B:D,3,0)</f>
        <v>#N/A</v>
      </c>
      <c r="H178" s="20" t="e">
        <f t="shared" si="8"/>
        <v>#N/A</v>
      </c>
      <c r="I178" s="20"/>
      <c r="J178" s="23" t="e">
        <f t="shared" si="7"/>
        <v>#N/A</v>
      </c>
    </row>
    <row r="179" spans="7:10" ht="19" customHeight="1">
      <c r="G179" s="20" t="e">
        <f>VLOOKUP(D179,단가!B:D,3,0)</f>
        <v>#N/A</v>
      </c>
      <c r="H179" s="20" t="e">
        <f t="shared" si="8"/>
        <v>#N/A</v>
      </c>
      <c r="I179" s="20"/>
      <c r="J179" s="23" t="e">
        <f t="shared" si="7"/>
        <v>#N/A</v>
      </c>
    </row>
    <row r="180" spans="7:10" ht="19" customHeight="1">
      <c r="G180" s="20" t="e">
        <f>VLOOKUP(D180,단가!B:D,3,0)</f>
        <v>#N/A</v>
      </c>
      <c r="H180" s="20" t="e">
        <f t="shared" si="8"/>
        <v>#N/A</v>
      </c>
      <c r="I180" s="20"/>
      <c r="J180" s="23" t="e">
        <f t="shared" si="7"/>
        <v>#N/A</v>
      </c>
    </row>
    <row r="181" spans="7:10" ht="19" customHeight="1">
      <c r="G181" s="20" t="e">
        <f>VLOOKUP(D181,단가!B:D,3,0)</f>
        <v>#N/A</v>
      </c>
      <c r="H181" s="20" t="e">
        <f t="shared" si="8"/>
        <v>#N/A</v>
      </c>
      <c r="I181" s="20"/>
      <c r="J181" s="23" t="e">
        <f t="shared" si="7"/>
        <v>#N/A</v>
      </c>
    </row>
    <row r="182" spans="7:10" ht="19" customHeight="1">
      <c r="G182" s="20" t="e">
        <f>VLOOKUP(D182,단가!B:D,3,0)</f>
        <v>#N/A</v>
      </c>
      <c r="H182" s="20" t="e">
        <f t="shared" si="8"/>
        <v>#N/A</v>
      </c>
      <c r="I182" s="20"/>
      <c r="J182" s="23" t="e">
        <f t="shared" si="7"/>
        <v>#N/A</v>
      </c>
    </row>
    <row r="183" spans="7:10" ht="19" customHeight="1">
      <c r="G183" s="20" t="e">
        <f>VLOOKUP(D183,단가!B:D,3,0)</f>
        <v>#N/A</v>
      </c>
      <c r="H183" s="20" t="e">
        <f t="shared" si="8"/>
        <v>#N/A</v>
      </c>
      <c r="I183" s="20"/>
      <c r="J183" s="23" t="e">
        <f t="shared" si="7"/>
        <v>#N/A</v>
      </c>
    </row>
    <row r="184" spans="7:10" ht="19" customHeight="1">
      <c r="G184" s="20" t="e">
        <f>VLOOKUP(D184,단가!B:D,3,0)</f>
        <v>#N/A</v>
      </c>
      <c r="H184" s="20" t="e">
        <f t="shared" si="8"/>
        <v>#N/A</v>
      </c>
      <c r="I184" s="20"/>
      <c r="J184" s="23" t="e">
        <f t="shared" si="7"/>
        <v>#N/A</v>
      </c>
    </row>
    <row r="185" spans="7:10" ht="19" customHeight="1">
      <c r="G185" s="20" t="e">
        <f>VLOOKUP(D185,단가!B:D,3,0)</f>
        <v>#N/A</v>
      </c>
      <c r="H185" s="20" t="e">
        <f t="shared" si="8"/>
        <v>#N/A</v>
      </c>
      <c r="I185" s="20"/>
      <c r="J185" s="23" t="e">
        <f t="shared" si="7"/>
        <v>#N/A</v>
      </c>
    </row>
    <row r="186" spans="7:10" ht="19" customHeight="1">
      <c r="G186" s="20" t="e">
        <f>VLOOKUP(D186,단가!B:D,3,0)</f>
        <v>#N/A</v>
      </c>
      <c r="H186" s="20" t="e">
        <f t="shared" si="8"/>
        <v>#N/A</v>
      </c>
      <c r="I186" s="20"/>
      <c r="J186" s="23" t="e">
        <f t="shared" si="7"/>
        <v>#N/A</v>
      </c>
    </row>
    <row r="187" spans="7:10" ht="19" customHeight="1">
      <c r="G187" s="20" t="e">
        <f>VLOOKUP(D187,단가!B:D,3,0)</f>
        <v>#N/A</v>
      </c>
      <c r="H187" s="20" t="e">
        <f t="shared" si="8"/>
        <v>#N/A</v>
      </c>
      <c r="I187" s="20"/>
      <c r="J187" s="23" t="e">
        <f t="shared" si="7"/>
        <v>#N/A</v>
      </c>
    </row>
    <row r="188" spans="7:10" ht="19" customHeight="1">
      <c r="G188" s="20" t="e">
        <f>VLOOKUP(D188,단가!B:D,3,0)</f>
        <v>#N/A</v>
      </c>
      <c r="H188" s="20" t="e">
        <f t="shared" si="8"/>
        <v>#N/A</v>
      </c>
      <c r="I188" s="20"/>
      <c r="J188" s="23" t="e">
        <f t="shared" si="7"/>
        <v>#N/A</v>
      </c>
    </row>
    <row r="189" spans="7:10" ht="19" customHeight="1">
      <c r="G189" s="20" t="e">
        <f>VLOOKUP(D189,단가!B:D,3,0)</f>
        <v>#N/A</v>
      </c>
      <c r="H189" s="20" t="e">
        <f t="shared" si="8"/>
        <v>#N/A</v>
      </c>
      <c r="I189" s="20"/>
      <c r="J189" s="23" t="e">
        <f t="shared" si="7"/>
        <v>#N/A</v>
      </c>
    </row>
    <row r="190" spans="7:10" ht="19" customHeight="1">
      <c r="G190" s="20" t="e">
        <f>VLOOKUP(D190,단가!B:D,3,0)</f>
        <v>#N/A</v>
      </c>
      <c r="H190" s="20" t="e">
        <f t="shared" si="8"/>
        <v>#N/A</v>
      </c>
      <c r="I190" s="20"/>
      <c r="J190" s="23" t="e">
        <f t="shared" si="7"/>
        <v>#N/A</v>
      </c>
    </row>
    <row r="191" spans="7:10" ht="19" customHeight="1">
      <c r="G191" s="20" t="e">
        <f>VLOOKUP(D191,단가!B:D,3,0)</f>
        <v>#N/A</v>
      </c>
      <c r="H191" s="20" t="e">
        <f t="shared" si="8"/>
        <v>#N/A</v>
      </c>
      <c r="I191" s="20"/>
      <c r="J191" s="23" t="e">
        <f t="shared" si="7"/>
        <v>#N/A</v>
      </c>
    </row>
    <row r="192" spans="7:10" ht="19" customHeight="1">
      <c r="G192" s="20" t="e">
        <f>VLOOKUP(D192,단가!B:D,3,0)</f>
        <v>#N/A</v>
      </c>
      <c r="H192" s="20" t="e">
        <f t="shared" si="8"/>
        <v>#N/A</v>
      </c>
      <c r="I192" s="20"/>
      <c r="J192" s="23" t="e">
        <f t="shared" si="7"/>
        <v>#N/A</v>
      </c>
    </row>
    <row r="193" spans="7:10" ht="19" customHeight="1">
      <c r="G193" s="20" t="e">
        <f>VLOOKUP(D193,단가!B:D,3,0)</f>
        <v>#N/A</v>
      </c>
      <c r="H193" s="20" t="e">
        <f t="shared" si="8"/>
        <v>#N/A</v>
      </c>
      <c r="I193" s="20"/>
      <c r="J193" s="23" t="e">
        <f t="shared" si="7"/>
        <v>#N/A</v>
      </c>
    </row>
    <row r="194" spans="7:10" ht="19" customHeight="1">
      <c r="G194" s="20" t="e">
        <f>VLOOKUP(D194,단가!B:D,3,0)</f>
        <v>#N/A</v>
      </c>
      <c r="H194" s="20" t="e">
        <f t="shared" si="8"/>
        <v>#N/A</v>
      </c>
      <c r="I194" s="20"/>
      <c r="J194" s="23" t="e">
        <f t="shared" si="7"/>
        <v>#N/A</v>
      </c>
    </row>
    <row r="195" spans="7:10" ht="19" customHeight="1">
      <c r="G195" s="20" t="e">
        <f>VLOOKUP(D195,단가!B:D,3,0)</f>
        <v>#N/A</v>
      </c>
      <c r="H195" s="20" t="e">
        <f t="shared" si="8"/>
        <v>#N/A</v>
      </c>
      <c r="I195" s="20"/>
      <c r="J195" s="23" t="e">
        <f t="shared" si="7"/>
        <v>#N/A</v>
      </c>
    </row>
    <row r="196" spans="7:10" ht="19" customHeight="1">
      <c r="G196" s="20" t="e">
        <f>VLOOKUP(D196,단가!B:D,3,0)</f>
        <v>#N/A</v>
      </c>
      <c r="H196" s="20" t="e">
        <f t="shared" si="8"/>
        <v>#N/A</v>
      </c>
      <c r="I196" s="20"/>
      <c r="J196" s="23" t="e">
        <f t="shared" si="7"/>
        <v>#N/A</v>
      </c>
    </row>
    <row r="197" spans="7:10" ht="19" customHeight="1">
      <c r="G197" s="20" t="e">
        <f>VLOOKUP(D197,단가!B:D,3,0)</f>
        <v>#N/A</v>
      </c>
      <c r="H197" s="20" t="e">
        <f t="shared" si="8"/>
        <v>#N/A</v>
      </c>
      <c r="I197" s="20"/>
      <c r="J197" s="23" t="e">
        <f t="shared" si="7"/>
        <v>#N/A</v>
      </c>
    </row>
    <row r="198" spans="7:10" ht="19" customHeight="1">
      <c r="G198" s="20" t="e">
        <f>VLOOKUP(D198,단가!B:D,3,0)</f>
        <v>#N/A</v>
      </c>
      <c r="H198" s="20" t="e">
        <f t="shared" si="8"/>
        <v>#N/A</v>
      </c>
      <c r="I198" s="20"/>
      <c r="J198" s="23" t="e">
        <f t="shared" si="7"/>
        <v>#N/A</v>
      </c>
    </row>
    <row r="199" spans="7:10" ht="19" customHeight="1">
      <c r="G199" s="20" t="e">
        <f>VLOOKUP(D199,단가!B:D,3,0)</f>
        <v>#N/A</v>
      </c>
      <c r="H199" s="20" t="e">
        <f t="shared" si="8"/>
        <v>#N/A</v>
      </c>
      <c r="I199" s="20"/>
      <c r="J199" s="23" t="e">
        <f t="shared" si="7"/>
        <v>#N/A</v>
      </c>
    </row>
    <row r="200" spans="7:10" ht="19" customHeight="1">
      <c r="G200" s="20" t="e">
        <f>VLOOKUP(D200,단가!B:D,3,0)</f>
        <v>#N/A</v>
      </c>
      <c r="H200" s="20" t="e">
        <f t="shared" si="8"/>
        <v>#N/A</v>
      </c>
      <c r="I200" s="20"/>
      <c r="J200" s="23" t="e">
        <f t="shared" si="7"/>
        <v>#N/A</v>
      </c>
    </row>
    <row r="201" spans="7:10" ht="19" customHeight="1">
      <c r="G201" s="20" t="e">
        <f>VLOOKUP(D201,단가!B:D,3,0)</f>
        <v>#N/A</v>
      </c>
      <c r="H201" s="20" t="e">
        <f t="shared" si="8"/>
        <v>#N/A</v>
      </c>
      <c r="I201" s="20"/>
      <c r="J201" s="23" t="e">
        <f t="shared" si="7"/>
        <v>#N/A</v>
      </c>
    </row>
    <row r="202" spans="7:10" ht="19" customHeight="1">
      <c r="G202" s="20" t="e">
        <f>VLOOKUP(D202,단가!B:D,3,0)</f>
        <v>#N/A</v>
      </c>
      <c r="H202" s="20" t="e">
        <f t="shared" si="8"/>
        <v>#N/A</v>
      </c>
      <c r="I202" s="20"/>
      <c r="J202" s="23" t="e">
        <f t="shared" ref="J202:J265" si="9">H202+I202</f>
        <v>#N/A</v>
      </c>
    </row>
    <row r="203" spans="7:10" ht="19" customHeight="1">
      <c r="G203" s="20" t="e">
        <f>VLOOKUP(D203,단가!B:D,3,0)</f>
        <v>#N/A</v>
      </c>
      <c r="H203" s="20" t="e">
        <f t="shared" ref="H203:H266" si="10">F203*G203</f>
        <v>#N/A</v>
      </c>
      <c r="I203" s="20"/>
      <c r="J203" s="23" t="e">
        <f t="shared" si="9"/>
        <v>#N/A</v>
      </c>
    </row>
    <row r="204" spans="7:10" ht="19" customHeight="1">
      <c r="G204" s="20" t="e">
        <f>VLOOKUP(D204,단가!B:D,3,0)</f>
        <v>#N/A</v>
      </c>
      <c r="H204" s="20" t="e">
        <f t="shared" si="10"/>
        <v>#N/A</v>
      </c>
      <c r="I204" s="20"/>
      <c r="J204" s="23" t="e">
        <f t="shared" si="9"/>
        <v>#N/A</v>
      </c>
    </row>
    <row r="205" spans="7:10" ht="19" customHeight="1">
      <c r="G205" s="20" t="e">
        <f>VLOOKUP(D205,단가!B:D,3,0)</f>
        <v>#N/A</v>
      </c>
      <c r="H205" s="20" t="e">
        <f t="shared" si="10"/>
        <v>#N/A</v>
      </c>
      <c r="I205" s="20"/>
      <c r="J205" s="23" t="e">
        <f t="shared" si="9"/>
        <v>#N/A</v>
      </c>
    </row>
    <row r="206" spans="7:10" ht="19" customHeight="1">
      <c r="G206" s="20" t="e">
        <f>VLOOKUP(D206,단가!B:D,3,0)</f>
        <v>#N/A</v>
      </c>
      <c r="H206" s="20" t="e">
        <f t="shared" si="10"/>
        <v>#N/A</v>
      </c>
      <c r="I206" s="20"/>
      <c r="J206" s="23" t="e">
        <f t="shared" si="9"/>
        <v>#N/A</v>
      </c>
    </row>
    <row r="207" spans="7:10" ht="19" customHeight="1">
      <c r="G207" s="20" t="e">
        <f>VLOOKUP(D207,단가!B:D,3,0)</f>
        <v>#N/A</v>
      </c>
      <c r="H207" s="20" t="e">
        <f t="shared" si="10"/>
        <v>#N/A</v>
      </c>
      <c r="I207" s="20"/>
      <c r="J207" s="23" t="e">
        <f t="shared" si="9"/>
        <v>#N/A</v>
      </c>
    </row>
    <row r="208" spans="7:10" ht="19" customHeight="1">
      <c r="G208" s="20" t="e">
        <f>VLOOKUP(D208,단가!B:D,3,0)</f>
        <v>#N/A</v>
      </c>
      <c r="H208" s="20" t="e">
        <f t="shared" si="10"/>
        <v>#N/A</v>
      </c>
      <c r="I208" s="20"/>
      <c r="J208" s="23" t="e">
        <f t="shared" si="9"/>
        <v>#N/A</v>
      </c>
    </row>
    <row r="209" spans="7:10" ht="19" customHeight="1">
      <c r="G209" s="20" t="e">
        <f>VLOOKUP(D209,단가!B:D,3,0)</f>
        <v>#N/A</v>
      </c>
      <c r="H209" s="20" t="e">
        <f t="shared" si="10"/>
        <v>#N/A</v>
      </c>
      <c r="I209" s="20"/>
      <c r="J209" s="23" t="e">
        <f t="shared" si="9"/>
        <v>#N/A</v>
      </c>
    </row>
    <row r="210" spans="7:10" ht="19" customHeight="1">
      <c r="G210" s="20" t="e">
        <f>VLOOKUP(D210,단가!B:D,3,0)</f>
        <v>#N/A</v>
      </c>
      <c r="H210" s="20" t="e">
        <f t="shared" si="10"/>
        <v>#N/A</v>
      </c>
      <c r="I210" s="20"/>
      <c r="J210" s="23" t="e">
        <f t="shared" si="9"/>
        <v>#N/A</v>
      </c>
    </row>
    <row r="211" spans="7:10" ht="19" customHeight="1">
      <c r="G211" s="20" t="e">
        <f>VLOOKUP(D211,단가!B:D,3,0)</f>
        <v>#N/A</v>
      </c>
      <c r="H211" s="20" t="e">
        <f t="shared" si="10"/>
        <v>#N/A</v>
      </c>
      <c r="I211" s="20"/>
      <c r="J211" s="23" t="e">
        <f t="shared" si="9"/>
        <v>#N/A</v>
      </c>
    </row>
    <row r="212" spans="7:10" ht="19" customHeight="1">
      <c r="G212" s="20" t="e">
        <f>VLOOKUP(D212,단가!B:D,3,0)</f>
        <v>#N/A</v>
      </c>
      <c r="H212" s="20" t="e">
        <f t="shared" si="10"/>
        <v>#N/A</v>
      </c>
      <c r="I212" s="20"/>
      <c r="J212" s="23" t="e">
        <f t="shared" si="9"/>
        <v>#N/A</v>
      </c>
    </row>
    <row r="213" spans="7:10" ht="19" customHeight="1">
      <c r="G213" s="20" t="e">
        <f>VLOOKUP(D213,단가!B:D,3,0)</f>
        <v>#N/A</v>
      </c>
      <c r="H213" s="20" t="e">
        <f t="shared" si="10"/>
        <v>#N/A</v>
      </c>
      <c r="I213" s="20"/>
      <c r="J213" s="23" t="e">
        <f t="shared" si="9"/>
        <v>#N/A</v>
      </c>
    </row>
    <row r="214" spans="7:10" ht="19" customHeight="1">
      <c r="G214" s="20" t="e">
        <f>VLOOKUP(D214,단가!B:D,3,0)</f>
        <v>#N/A</v>
      </c>
      <c r="H214" s="20" t="e">
        <f t="shared" si="10"/>
        <v>#N/A</v>
      </c>
      <c r="I214" s="20"/>
      <c r="J214" s="23" t="e">
        <f t="shared" si="9"/>
        <v>#N/A</v>
      </c>
    </row>
    <row r="215" spans="7:10" ht="19" customHeight="1">
      <c r="G215" s="20" t="e">
        <f>VLOOKUP(D215,단가!B:D,3,0)</f>
        <v>#N/A</v>
      </c>
      <c r="H215" s="20" t="e">
        <f t="shared" si="10"/>
        <v>#N/A</v>
      </c>
      <c r="I215" s="20"/>
      <c r="J215" s="23" t="e">
        <f t="shared" si="9"/>
        <v>#N/A</v>
      </c>
    </row>
    <row r="216" spans="7:10" ht="19" customHeight="1">
      <c r="G216" s="20" t="e">
        <f>VLOOKUP(D216,단가!B:D,3,0)</f>
        <v>#N/A</v>
      </c>
      <c r="H216" s="20" t="e">
        <f t="shared" si="10"/>
        <v>#N/A</v>
      </c>
      <c r="I216" s="20"/>
      <c r="J216" s="23" t="e">
        <f t="shared" si="9"/>
        <v>#N/A</v>
      </c>
    </row>
    <row r="217" spans="7:10" ht="19" customHeight="1">
      <c r="G217" s="20" t="e">
        <f>VLOOKUP(D217,단가!B:D,3,0)</f>
        <v>#N/A</v>
      </c>
      <c r="H217" s="20" t="e">
        <f t="shared" si="10"/>
        <v>#N/A</v>
      </c>
      <c r="I217" s="20"/>
      <c r="J217" s="23" t="e">
        <f t="shared" si="9"/>
        <v>#N/A</v>
      </c>
    </row>
    <row r="218" spans="7:10" ht="19" customHeight="1">
      <c r="G218" s="20" t="e">
        <f>VLOOKUP(D218,단가!B:D,3,0)</f>
        <v>#N/A</v>
      </c>
      <c r="H218" s="20" t="e">
        <f t="shared" si="10"/>
        <v>#N/A</v>
      </c>
      <c r="I218" s="20"/>
      <c r="J218" s="23" t="e">
        <f t="shared" si="9"/>
        <v>#N/A</v>
      </c>
    </row>
    <row r="219" spans="7:10" ht="19" customHeight="1">
      <c r="G219" s="20" t="e">
        <f>VLOOKUP(D219,단가!B:D,3,0)</f>
        <v>#N/A</v>
      </c>
      <c r="H219" s="20" t="e">
        <f t="shared" si="10"/>
        <v>#N/A</v>
      </c>
      <c r="I219" s="20"/>
      <c r="J219" s="23" t="e">
        <f t="shared" si="9"/>
        <v>#N/A</v>
      </c>
    </row>
    <row r="220" spans="7:10" ht="19" customHeight="1">
      <c r="G220" s="20" t="e">
        <f>VLOOKUP(D220,단가!B:D,3,0)</f>
        <v>#N/A</v>
      </c>
      <c r="H220" s="20" t="e">
        <f t="shared" si="10"/>
        <v>#N/A</v>
      </c>
      <c r="I220" s="20"/>
      <c r="J220" s="23" t="e">
        <f t="shared" si="9"/>
        <v>#N/A</v>
      </c>
    </row>
    <row r="221" spans="7:10" ht="19" customHeight="1">
      <c r="G221" s="20" t="e">
        <f>VLOOKUP(D221,단가!B:D,3,0)</f>
        <v>#N/A</v>
      </c>
      <c r="H221" s="20" t="e">
        <f t="shared" si="10"/>
        <v>#N/A</v>
      </c>
      <c r="I221" s="20"/>
      <c r="J221" s="23" t="e">
        <f t="shared" si="9"/>
        <v>#N/A</v>
      </c>
    </row>
    <row r="222" spans="7:10" ht="19" customHeight="1">
      <c r="G222" s="20" t="e">
        <f>VLOOKUP(D222,단가!B:D,3,0)</f>
        <v>#N/A</v>
      </c>
      <c r="H222" s="20" t="e">
        <f t="shared" si="10"/>
        <v>#N/A</v>
      </c>
      <c r="I222" s="20"/>
      <c r="J222" s="23" t="e">
        <f t="shared" si="9"/>
        <v>#N/A</v>
      </c>
    </row>
    <row r="223" spans="7:10" ht="19" customHeight="1">
      <c r="G223" s="20" t="e">
        <f>VLOOKUP(D223,단가!B:D,3,0)</f>
        <v>#N/A</v>
      </c>
      <c r="H223" s="20" t="e">
        <f t="shared" si="10"/>
        <v>#N/A</v>
      </c>
      <c r="I223" s="20"/>
      <c r="J223" s="23" t="e">
        <f t="shared" si="9"/>
        <v>#N/A</v>
      </c>
    </row>
    <row r="224" spans="7:10" ht="19" customHeight="1">
      <c r="G224" s="20" t="e">
        <f>VLOOKUP(D224,단가!B:D,3,0)</f>
        <v>#N/A</v>
      </c>
      <c r="H224" s="20" t="e">
        <f t="shared" si="10"/>
        <v>#N/A</v>
      </c>
      <c r="I224" s="20"/>
      <c r="J224" s="23" t="e">
        <f t="shared" si="9"/>
        <v>#N/A</v>
      </c>
    </row>
    <row r="225" spans="7:10" ht="19" customHeight="1">
      <c r="G225" s="20" t="e">
        <f>VLOOKUP(D225,단가!B:D,3,0)</f>
        <v>#N/A</v>
      </c>
      <c r="H225" s="20" t="e">
        <f t="shared" si="10"/>
        <v>#N/A</v>
      </c>
      <c r="I225" s="20"/>
      <c r="J225" s="23" t="e">
        <f t="shared" si="9"/>
        <v>#N/A</v>
      </c>
    </row>
    <row r="226" spans="7:10" ht="19" customHeight="1">
      <c r="G226" s="20" t="e">
        <f>VLOOKUP(D226,단가!B:D,3,0)</f>
        <v>#N/A</v>
      </c>
      <c r="H226" s="20" t="e">
        <f t="shared" si="10"/>
        <v>#N/A</v>
      </c>
      <c r="I226" s="20"/>
      <c r="J226" s="23" t="e">
        <f t="shared" si="9"/>
        <v>#N/A</v>
      </c>
    </row>
    <row r="227" spans="7:10" ht="19" customHeight="1">
      <c r="G227" s="20" t="e">
        <f>VLOOKUP(D227,단가!B:D,3,0)</f>
        <v>#N/A</v>
      </c>
      <c r="H227" s="20" t="e">
        <f t="shared" si="10"/>
        <v>#N/A</v>
      </c>
      <c r="I227" s="20"/>
      <c r="J227" s="23" t="e">
        <f t="shared" si="9"/>
        <v>#N/A</v>
      </c>
    </row>
    <row r="228" spans="7:10" ht="19" customHeight="1">
      <c r="G228" s="20" t="e">
        <f>VLOOKUP(D228,단가!B:D,3,0)</f>
        <v>#N/A</v>
      </c>
      <c r="H228" s="20" t="e">
        <f t="shared" si="10"/>
        <v>#N/A</v>
      </c>
      <c r="I228" s="20"/>
      <c r="J228" s="23" t="e">
        <f t="shared" si="9"/>
        <v>#N/A</v>
      </c>
    </row>
    <row r="229" spans="7:10" ht="19" customHeight="1">
      <c r="G229" s="20" t="e">
        <f>VLOOKUP(D229,단가!B:D,3,0)</f>
        <v>#N/A</v>
      </c>
      <c r="H229" s="20" t="e">
        <f t="shared" si="10"/>
        <v>#N/A</v>
      </c>
      <c r="I229" s="20"/>
      <c r="J229" s="23" t="e">
        <f t="shared" si="9"/>
        <v>#N/A</v>
      </c>
    </row>
    <row r="230" spans="7:10" ht="19" customHeight="1">
      <c r="G230" s="20" t="e">
        <f>VLOOKUP(D230,단가!B:D,3,0)</f>
        <v>#N/A</v>
      </c>
      <c r="H230" s="20" t="e">
        <f t="shared" si="10"/>
        <v>#N/A</v>
      </c>
      <c r="I230" s="20"/>
      <c r="J230" s="23" t="e">
        <f t="shared" si="9"/>
        <v>#N/A</v>
      </c>
    </row>
    <row r="231" spans="7:10" ht="19" customHeight="1">
      <c r="G231" s="20" t="e">
        <f>VLOOKUP(D231,단가!B:D,3,0)</f>
        <v>#N/A</v>
      </c>
      <c r="H231" s="20" t="e">
        <f t="shared" si="10"/>
        <v>#N/A</v>
      </c>
      <c r="I231" s="20"/>
      <c r="J231" s="23" t="e">
        <f t="shared" si="9"/>
        <v>#N/A</v>
      </c>
    </row>
    <row r="232" spans="7:10" ht="19" customHeight="1">
      <c r="G232" s="20" t="e">
        <f>VLOOKUP(D232,단가!B:D,3,0)</f>
        <v>#N/A</v>
      </c>
      <c r="H232" s="20" t="e">
        <f t="shared" si="10"/>
        <v>#N/A</v>
      </c>
      <c r="I232" s="20"/>
      <c r="J232" s="23" t="e">
        <f t="shared" si="9"/>
        <v>#N/A</v>
      </c>
    </row>
    <row r="233" spans="7:10" ht="19" customHeight="1">
      <c r="G233" s="20" t="e">
        <f>VLOOKUP(D233,단가!B:D,3,0)</f>
        <v>#N/A</v>
      </c>
      <c r="H233" s="20" t="e">
        <f t="shared" si="10"/>
        <v>#N/A</v>
      </c>
      <c r="I233" s="20"/>
      <c r="J233" s="23" t="e">
        <f t="shared" si="9"/>
        <v>#N/A</v>
      </c>
    </row>
    <row r="234" spans="7:10" ht="19" customHeight="1">
      <c r="G234" s="20" t="e">
        <f>VLOOKUP(D234,단가!B:D,3,0)</f>
        <v>#N/A</v>
      </c>
      <c r="H234" s="20" t="e">
        <f t="shared" si="10"/>
        <v>#N/A</v>
      </c>
      <c r="I234" s="20"/>
      <c r="J234" s="23" t="e">
        <f t="shared" si="9"/>
        <v>#N/A</v>
      </c>
    </row>
    <row r="235" spans="7:10" ht="19" customHeight="1">
      <c r="G235" s="20" t="e">
        <f>VLOOKUP(D235,단가!B:D,3,0)</f>
        <v>#N/A</v>
      </c>
      <c r="H235" s="20" t="e">
        <f t="shared" si="10"/>
        <v>#N/A</v>
      </c>
      <c r="I235" s="20"/>
      <c r="J235" s="23" t="e">
        <f t="shared" si="9"/>
        <v>#N/A</v>
      </c>
    </row>
    <row r="236" spans="7:10" ht="19" customHeight="1">
      <c r="G236" s="20" t="e">
        <f>VLOOKUP(D236,단가!B:D,3,0)</f>
        <v>#N/A</v>
      </c>
      <c r="H236" s="20" t="e">
        <f t="shared" si="10"/>
        <v>#N/A</v>
      </c>
      <c r="I236" s="20"/>
      <c r="J236" s="23" t="e">
        <f t="shared" si="9"/>
        <v>#N/A</v>
      </c>
    </row>
    <row r="237" spans="7:10" ht="19" customHeight="1">
      <c r="G237" s="20" t="e">
        <f>VLOOKUP(D237,단가!B:D,3,0)</f>
        <v>#N/A</v>
      </c>
      <c r="H237" s="20" t="e">
        <f t="shared" si="10"/>
        <v>#N/A</v>
      </c>
      <c r="I237" s="20"/>
      <c r="J237" s="23" t="e">
        <f t="shared" si="9"/>
        <v>#N/A</v>
      </c>
    </row>
    <row r="238" spans="7:10" ht="19" customHeight="1">
      <c r="G238" s="20" t="e">
        <f>VLOOKUP(D238,단가!B:D,3,0)</f>
        <v>#N/A</v>
      </c>
      <c r="H238" s="20" t="e">
        <f t="shared" si="10"/>
        <v>#N/A</v>
      </c>
      <c r="I238" s="20"/>
      <c r="J238" s="23" t="e">
        <f t="shared" si="9"/>
        <v>#N/A</v>
      </c>
    </row>
    <row r="239" spans="7:10" ht="19" customHeight="1">
      <c r="G239" s="20" t="e">
        <f>VLOOKUP(D239,단가!B:D,3,0)</f>
        <v>#N/A</v>
      </c>
      <c r="H239" s="20" t="e">
        <f t="shared" si="10"/>
        <v>#N/A</v>
      </c>
      <c r="I239" s="20"/>
      <c r="J239" s="23" t="e">
        <f t="shared" si="9"/>
        <v>#N/A</v>
      </c>
    </row>
    <row r="240" spans="7:10" ht="19" customHeight="1">
      <c r="G240" s="20" t="e">
        <f>VLOOKUP(D240,단가!B:D,3,0)</f>
        <v>#N/A</v>
      </c>
      <c r="H240" s="20" t="e">
        <f t="shared" si="10"/>
        <v>#N/A</v>
      </c>
      <c r="I240" s="20"/>
      <c r="J240" s="23" t="e">
        <f t="shared" si="9"/>
        <v>#N/A</v>
      </c>
    </row>
    <row r="241" spans="7:10" ht="19" customHeight="1">
      <c r="G241" s="20" t="e">
        <f>VLOOKUP(D241,단가!B:D,3,0)</f>
        <v>#N/A</v>
      </c>
      <c r="H241" s="20" t="e">
        <f t="shared" si="10"/>
        <v>#N/A</v>
      </c>
      <c r="I241" s="20"/>
      <c r="J241" s="23" t="e">
        <f t="shared" si="9"/>
        <v>#N/A</v>
      </c>
    </row>
    <row r="242" spans="7:10" ht="19" customHeight="1">
      <c r="G242" s="20" t="e">
        <f>VLOOKUP(D242,단가!B:D,3,0)</f>
        <v>#N/A</v>
      </c>
      <c r="H242" s="20" t="e">
        <f t="shared" si="10"/>
        <v>#N/A</v>
      </c>
      <c r="I242" s="20"/>
      <c r="J242" s="23" t="e">
        <f t="shared" si="9"/>
        <v>#N/A</v>
      </c>
    </row>
    <row r="243" spans="7:10" ht="19" customHeight="1">
      <c r="G243" s="20" t="e">
        <f>VLOOKUP(D243,단가!B:D,3,0)</f>
        <v>#N/A</v>
      </c>
      <c r="H243" s="20" t="e">
        <f t="shared" si="10"/>
        <v>#N/A</v>
      </c>
      <c r="I243" s="20"/>
      <c r="J243" s="23" t="e">
        <f t="shared" si="9"/>
        <v>#N/A</v>
      </c>
    </row>
    <row r="244" spans="7:10" ht="19" customHeight="1">
      <c r="G244" s="20" t="e">
        <f>VLOOKUP(D244,단가!B:D,3,0)</f>
        <v>#N/A</v>
      </c>
      <c r="H244" s="20" t="e">
        <f t="shared" si="10"/>
        <v>#N/A</v>
      </c>
      <c r="I244" s="20"/>
      <c r="J244" s="23" t="e">
        <f t="shared" si="9"/>
        <v>#N/A</v>
      </c>
    </row>
    <row r="245" spans="7:10" ht="19" customHeight="1">
      <c r="G245" s="20" t="e">
        <f>VLOOKUP(D245,단가!B:D,3,0)</f>
        <v>#N/A</v>
      </c>
      <c r="H245" s="20" t="e">
        <f t="shared" si="10"/>
        <v>#N/A</v>
      </c>
      <c r="I245" s="20"/>
      <c r="J245" s="23" t="e">
        <f t="shared" si="9"/>
        <v>#N/A</v>
      </c>
    </row>
    <row r="246" spans="7:10" ht="19" customHeight="1">
      <c r="G246" s="20" t="e">
        <f>VLOOKUP(D246,단가!B:D,3,0)</f>
        <v>#N/A</v>
      </c>
      <c r="H246" s="20" t="e">
        <f t="shared" si="10"/>
        <v>#N/A</v>
      </c>
      <c r="I246" s="20"/>
      <c r="J246" s="23" t="e">
        <f t="shared" si="9"/>
        <v>#N/A</v>
      </c>
    </row>
    <row r="247" spans="7:10" ht="19" customHeight="1">
      <c r="G247" s="20" t="e">
        <f>VLOOKUP(D247,단가!B:D,3,0)</f>
        <v>#N/A</v>
      </c>
      <c r="H247" s="20" t="e">
        <f t="shared" si="10"/>
        <v>#N/A</v>
      </c>
      <c r="I247" s="20"/>
      <c r="J247" s="23" t="e">
        <f t="shared" si="9"/>
        <v>#N/A</v>
      </c>
    </row>
    <row r="248" spans="7:10" ht="19" customHeight="1">
      <c r="G248" s="20" t="e">
        <f>VLOOKUP(D248,단가!B:D,3,0)</f>
        <v>#N/A</v>
      </c>
      <c r="H248" s="20" t="e">
        <f t="shared" si="10"/>
        <v>#N/A</v>
      </c>
      <c r="I248" s="20"/>
      <c r="J248" s="23" t="e">
        <f t="shared" si="9"/>
        <v>#N/A</v>
      </c>
    </row>
    <row r="249" spans="7:10" ht="19" customHeight="1">
      <c r="G249" s="20" t="e">
        <f>VLOOKUP(D249,단가!B:D,3,0)</f>
        <v>#N/A</v>
      </c>
      <c r="H249" s="20" t="e">
        <f t="shared" si="10"/>
        <v>#N/A</v>
      </c>
      <c r="I249" s="20"/>
      <c r="J249" s="23" t="e">
        <f t="shared" si="9"/>
        <v>#N/A</v>
      </c>
    </row>
    <row r="250" spans="7:10" ht="19" customHeight="1">
      <c r="G250" s="20" t="e">
        <f>VLOOKUP(D250,단가!B:D,3,0)</f>
        <v>#N/A</v>
      </c>
      <c r="H250" s="20" t="e">
        <f t="shared" si="10"/>
        <v>#N/A</v>
      </c>
      <c r="I250" s="20"/>
      <c r="J250" s="23" t="e">
        <f t="shared" si="9"/>
        <v>#N/A</v>
      </c>
    </row>
    <row r="251" spans="7:10" ht="19" customHeight="1">
      <c r="G251" s="20" t="e">
        <f>VLOOKUP(D251,단가!B:D,3,0)</f>
        <v>#N/A</v>
      </c>
      <c r="H251" s="20" t="e">
        <f t="shared" si="10"/>
        <v>#N/A</v>
      </c>
      <c r="I251" s="20"/>
      <c r="J251" s="23" t="e">
        <f t="shared" si="9"/>
        <v>#N/A</v>
      </c>
    </row>
    <row r="252" spans="7:10" ht="19" customHeight="1">
      <c r="G252" s="20" t="e">
        <f>VLOOKUP(D252,단가!B:D,3,0)</f>
        <v>#N/A</v>
      </c>
      <c r="H252" s="20" t="e">
        <f t="shared" si="10"/>
        <v>#N/A</v>
      </c>
      <c r="I252" s="20"/>
      <c r="J252" s="23" t="e">
        <f t="shared" si="9"/>
        <v>#N/A</v>
      </c>
    </row>
    <row r="253" spans="7:10" ht="19" customHeight="1">
      <c r="G253" s="20" t="e">
        <f>VLOOKUP(D253,단가!B:D,3,0)</f>
        <v>#N/A</v>
      </c>
      <c r="H253" s="20" t="e">
        <f t="shared" si="10"/>
        <v>#N/A</v>
      </c>
      <c r="I253" s="20"/>
      <c r="J253" s="23" t="e">
        <f t="shared" si="9"/>
        <v>#N/A</v>
      </c>
    </row>
    <row r="254" spans="7:10" ht="19" customHeight="1">
      <c r="G254" s="20" t="e">
        <f>VLOOKUP(D254,단가!B:D,3,0)</f>
        <v>#N/A</v>
      </c>
      <c r="H254" s="20" t="e">
        <f t="shared" si="10"/>
        <v>#N/A</v>
      </c>
      <c r="I254" s="20"/>
      <c r="J254" s="23" t="e">
        <f t="shared" si="9"/>
        <v>#N/A</v>
      </c>
    </row>
    <row r="255" spans="7:10" ht="19" customHeight="1">
      <c r="G255" s="20" t="e">
        <f>VLOOKUP(D255,단가!B:D,3,0)</f>
        <v>#N/A</v>
      </c>
      <c r="H255" s="20" t="e">
        <f t="shared" si="10"/>
        <v>#N/A</v>
      </c>
      <c r="I255" s="20"/>
      <c r="J255" s="23" t="e">
        <f t="shared" si="9"/>
        <v>#N/A</v>
      </c>
    </row>
    <row r="256" spans="7:10" ht="19" customHeight="1">
      <c r="G256" s="20" t="e">
        <f>VLOOKUP(D256,단가!B:D,3,0)</f>
        <v>#N/A</v>
      </c>
      <c r="H256" s="20" t="e">
        <f t="shared" si="10"/>
        <v>#N/A</v>
      </c>
      <c r="I256" s="20"/>
      <c r="J256" s="23" t="e">
        <f t="shared" si="9"/>
        <v>#N/A</v>
      </c>
    </row>
    <row r="257" spans="7:10" ht="19" customHeight="1">
      <c r="G257" s="20" t="e">
        <f>VLOOKUP(D257,단가!B:D,3,0)</f>
        <v>#N/A</v>
      </c>
      <c r="H257" s="20" t="e">
        <f t="shared" si="10"/>
        <v>#N/A</v>
      </c>
      <c r="I257" s="20"/>
      <c r="J257" s="23" t="e">
        <f t="shared" si="9"/>
        <v>#N/A</v>
      </c>
    </row>
    <row r="258" spans="7:10" ht="19" customHeight="1">
      <c r="G258" s="20" t="e">
        <f>VLOOKUP(D258,단가!B:D,3,0)</f>
        <v>#N/A</v>
      </c>
      <c r="H258" s="20" t="e">
        <f t="shared" si="10"/>
        <v>#N/A</v>
      </c>
      <c r="I258" s="20"/>
      <c r="J258" s="23" t="e">
        <f t="shared" si="9"/>
        <v>#N/A</v>
      </c>
    </row>
    <row r="259" spans="7:10" ht="19" customHeight="1">
      <c r="G259" s="20" t="e">
        <f>VLOOKUP(D259,단가!B:D,3,0)</f>
        <v>#N/A</v>
      </c>
      <c r="H259" s="20" t="e">
        <f t="shared" si="10"/>
        <v>#N/A</v>
      </c>
      <c r="I259" s="20"/>
      <c r="J259" s="23" t="e">
        <f t="shared" si="9"/>
        <v>#N/A</v>
      </c>
    </row>
    <row r="260" spans="7:10" ht="19" customHeight="1">
      <c r="G260" s="20" t="e">
        <f>VLOOKUP(D260,단가!B:D,3,0)</f>
        <v>#N/A</v>
      </c>
      <c r="H260" s="20" t="e">
        <f t="shared" si="10"/>
        <v>#N/A</v>
      </c>
      <c r="I260" s="20"/>
      <c r="J260" s="23" t="e">
        <f t="shared" si="9"/>
        <v>#N/A</v>
      </c>
    </row>
    <row r="261" spans="7:10" ht="19" customHeight="1">
      <c r="G261" s="20" t="e">
        <f>VLOOKUP(D261,단가!B:D,3,0)</f>
        <v>#N/A</v>
      </c>
      <c r="H261" s="20" t="e">
        <f t="shared" si="10"/>
        <v>#N/A</v>
      </c>
      <c r="I261" s="20"/>
      <c r="J261" s="23" t="e">
        <f t="shared" si="9"/>
        <v>#N/A</v>
      </c>
    </row>
    <row r="262" spans="7:10" ht="19" customHeight="1">
      <c r="G262" s="20" t="e">
        <f>VLOOKUP(D262,단가!B:D,3,0)</f>
        <v>#N/A</v>
      </c>
      <c r="H262" s="20" t="e">
        <f t="shared" si="10"/>
        <v>#N/A</v>
      </c>
      <c r="I262" s="20"/>
      <c r="J262" s="23" t="e">
        <f t="shared" si="9"/>
        <v>#N/A</v>
      </c>
    </row>
    <row r="263" spans="7:10" ht="19" customHeight="1">
      <c r="G263" s="20" t="e">
        <f>VLOOKUP(D263,단가!B:D,3,0)</f>
        <v>#N/A</v>
      </c>
      <c r="H263" s="20" t="e">
        <f t="shared" si="10"/>
        <v>#N/A</v>
      </c>
      <c r="I263" s="20"/>
      <c r="J263" s="23" t="e">
        <f t="shared" si="9"/>
        <v>#N/A</v>
      </c>
    </row>
    <row r="264" spans="7:10" ht="19" customHeight="1">
      <c r="G264" s="20" t="e">
        <f>VLOOKUP(D264,단가!B:D,3,0)</f>
        <v>#N/A</v>
      </c>
      <c r="H264" s="20" t="e">
        <f t="shared" si="10"/>
        <v>#N/A</v>
      </c>
      <c r="I264" s="20"/>
      <c r="J264" s="23" t="e">
        <f t="shared" si="9"/>
        <v>#N/A</v>
      </c>
    </row>
    <row r="265" spans="7:10" ht="19" customHeight="1">
      <c r="G265" s="20" t="e">
        <f>VLOOKUP(D265,단가!B:D,3,0)</f>
        <v>#N/A</v>
      </c>
      <c r="H265" s="20" t="e">
        <f t="shared" si="10"/>
        <v>#N/A</v>
      </c>
      <c r="I265" s="20"/>
      <c r="J265" s="23" t="e">
        <f t="shared" si="9"/>
        <v>#N/A</v>
      </c>
    </row>
    <row r="266" spans="7:10" ht="19" customHeight="1">
      <c r="G266" s="20" t="e">
        <f>VLOOKUP(D266,단가!B:D,3,0)</f>
        <v>#N/A</v>
      </c>
      <c r="H266" s="20" t="e">
        <f t="shared" si="10"/>
        <v>#N/A</v>
      </c>
      <c r="I266" s="20"/>
      <c r="J266" s="23" t="e">
        <f t="shared" ref="J266:J329" si="11">H266+I266</f>
        <v>#N/A</v>
      </c>
    </row>
    <row r="267" spans="7:10" ht="19" customHeight="1">
      <c r="G267" s="20" t="e">
        <f>VLOOKUP(D267,단가!B:D,3,0)</f>
        <v>#N/A</v>
      </c>
      <c r="H267" s="20" t="e">
        <f t="shared" ref="H267:H330" si="12">F267*G267</f>
        <v>#N/A</v>
      </c>
      <c r="I267" s="20"/>
      <c r="J267" s="23" t="e">
        <f t="shared" si="11"/>
        <v>#N/A</v>
      </c>
    </row>
    <row r="268" spans="7:10" ht="19" customHeight="1">
      <c r="G268" s="20" t="e">
        <f>VLOOKUP(D268,단가!B:D,3,0)</f>
        <v>#N/A</v>
      </c>
      <c r="H268" s="20" t="e">
        <f t="shared" si="12"/>
        <v>#N/A</v>
      </c>
      <c r="I268" s="20"/>
      <c r="J268" s="23" t="e">
        <f t="shared" si="11"/>
        <v>#N/A</v>
      </c>
    </row>
    <row r="269" spans="7:10" ht="19" customHeight="1">
      <c r="G269" s="20" t="e">
        <f>VLOOKUP(D269,단가!B:D,3,0)</f>
        <v>#N/A</v>
      </c>
      <c r="H269" s="20" t="e">
        <f t="shared" si="12"/>
        <v>#N/A</v>
      </c>
      <c r="I269" s="20"/>
      <c r="J269" s="23" t="e">
        <f t="shared" si="11"/>
        <v>#N/A</v>
      </c>
    </row>
    <row r="270" spans="7:10" ht="19" customHeight="1">
      <c r="G270" s="20" t="e">
        <f>VLOOKUP(D270,단가!B:D,3,0)</f>
        <v>#N/A</v>
      </c>
      <c r="H270" s="20" t="e">
        <f t="shared" si="12"/>
        <v>#N/A</v>
      </c>
      <c r="I270" s="20"/>
      <c r="J270" s="23" t="e">
        <f t="shared" si="11"/>
        <v>#N/A</v>
      </c>
    </row>
    <row r="271" spans="7:10" ht="19" customHeight="1">
      <c r="G271" s="20" t="e">
        <f>VLOOKUP(D271,단가!B:D,3,0)</f>
        <v>#N/A</v>
      </c>
      <c r="H271" s="20" t="e">
        <f t="shared" si="12"/>
        <v>#N/A</v>
      </c>
      <c r="I271" s="20"/>
      <c r="J271" s="23" t="e">
        <f t="shared" si="11"/>
        <v>#N/A</v>
      </c>
    </row>
    <row r="272" spans="7:10" ht="19" customHeight="1">
      <c r="G272" s="20" t="e">
        <f>VLOOKUP(D272,단가!B:D,3,0)</f>
        <v>#N/A</v>
      </c>
      <c r="H272" s="20" t="e">
        <f t="shared" si="12"/>
        <v>#N/A</v>
      </c>
      <c r="I272" s="20"/>
      <c r="J272" s="23" t="e">
        <f t="shared" si="11"/>
        <v>#N/A</v>
      </c>
    </row>
    <row r="273" spans="7:10" ht="19" customHeight="1">
      <c r="G273" s="20" t="e">
        <f>VLOOKUP(D273,단가!B:D,3,0)</f>
        <v>#N/A</v>
      </c>
      <c r="H273" s="20" t="e">
        <f t="shared" si="12"/>
        <v>#N/A</v>
      </c>
      <c r="I273" s="20"/>
      <c r="J273" s="23" t="e">
        <f t="shared" si="11"/>
        <v>#N/A</v>
      </c>
    </row>
    <row r="274" spans="7:10" ht="19" customHeight="1">
      <c r="G274" s="20" t="e">
        <f>VLOOKUP(D274,단가!B:D,3,0)</f>
        <v>#N/A</v>
      </c>
      <c r="H274" s="20" t="e">
        <f t="shared" si="12"/>
        <v>#N/A</v>
      </c>
      <c r="I274" s="20"/>
      <c r="J274" s="23" t="e">
        <f t="shared" si="11"/>
        <v>#N/A</v>
      </c>
    </row>
    <row r="275" spans="7:10" ht="19" customHeight="1">
      <c r="G275" s="20" t="e">
        <f>VLOOKUP(D275,단가!B:D,3,0)</f>
        <v>#N/A</v>
      </c>
      <c r="H275" s="20" t="e">
        <f t="shared" si="12"/>
        <v>#N/A</v>
      </c>
      <c r="I275" s="20"/>
      <c r="J275" s="23" t="e">
        <f t="shared" si="11"/>
        <v>#N/A</v>
      </c>
    </row>
    <row r="276" spans="7:10" ht="19" customHeight="1">
      <c r="G276" s="20" t="e">
        <f>VLOOKUP(D276,단가!B:D,3,0)</f>
        <v>#N/A</v>
      </c>
      <c r="H276" s="20" t="e">
        <f t="shared" si="12"/>
        <v>#N/A</v>
      </c>
      <c r="I276" s="20"/>
      <c r="J276" s="23" t="e">
        <f t="shared" si="11"/>
        <v>#N/A</v>
      </c>
    </row>
    <row r="277" spans="7:10" ht="19" customHeight="1">
      <c r="G277" s="20" t="e">
        <f>VLOOKUP(D277,단가!B:D,3,0)</f>
        <v>#N/A</v>
      </c>
      <c r="H277" s="20" t="e">
        <f t="shared" si="12"/>
        <v>#N/A</v>
      </c>
      <c r="I277" s="20"/>
      <c r="J277" s="23" t="e">
        <f t="shared" si="11"/>
        <v>#N/A</v>
      </c>
    </row>
    <row r="278" spans="7:10" ht="19" customHeight="1">
      <c r="G278" s="20" t="e">
        <f>VLOOKUP(D278,단가!B:D,3,0)</f>
        <v>#N/A</v>
      </c>
      <c r="H278" s="20" t="e">
        <f t="shared" si="12"/>
        <v>#N/A</v>
      </c>
      <c r="I278" s="20"/>
      <c r="J278" s="23" t="e">
        <f t="shared" si="11"/>
        <v>#N/A</v>
      </c>
    </row>
    <row r="279" spans="7:10" ht="19" customHeight="1">
      <c r="G279" s="20" t="e">
        <f>VLOOKUP(D279,단가!B:D,3,0)</f>
        <v>#N/A</v>
      </c>
      <c r="H279" s="20" t="e">
        <f t="shared" si="12"/>
        <v>#N/A</v>
      </c>
      <c r="I279" s="20"/>
      <c r="J279" s="23" t="e">
        <f t="shared" si="11"/>
        <v>#N/A</v>
      </c>
    </row>
    <row r="280" spans="7:10" ht="19" customHeight="1">
      <c r="G280" s="20" t="e">
        <f>VLOOKUP(D280,단가!B:D,3,0)</f>
        <v>#N/A</v>
      </c>
      <c r="H280" s="20" t="e">
        <f t="shared" si="12"/>
        <v>#N/A</v>
      </c>
      <c r="I280" s="20"/>
      <c r="J280" s="23" t="e">
        <f t="shared" si="11"/>
        <v>#N/A</v>
      </c>
    </row>
    <row r="281" spans="7:10" ht="19" customHeight="1">
      <c r="G281" s="20" t="e">
        <f>VLOOKUP(D281,단가!B:D,3,0)</f>
        <v>#N/A</v>
      </c>
      <c r="H281" s="20" t="e">
        <f t="shared" si="12"/>
        <v>#N/A</v>
      </c>
      <c r="I281" s="20"/>
      <c r="J281" s="23" t="e">
        <f t="shared" si="11"/>
        <v>#N/A</v>
      </c>
    </row>
    <row r="282" spans="7:10" ht="19" customHeight="1">
      <c r="G282" s="20" t="e">
        <f>VLOOKUP(D282,단가!B:D,3,0)</f>
        <v>#N/A</v>
      </c>
      <c r="H282" s="20" t="e">
        <f t="shared" si="12"/>
        <v>#N/A</v>
      </c>
      <c r="I282" s="20"/>
      <c r="J282" s="23" t="e">
        <f t="shared" si="11"/>
        <v>#N/A</v>
      </c>
    </row>
    <row r="283" spans="7:10" ht="19" customHeight="1">
      <c r="G283" s="20" t="e">
        <f>VLOOKUP(D283,단가!B:D,3,0)</f>
        <v>#N/A</v>
      </c>
      <c r="H283" s="20" t="e">
        <f t="shared" si="12"/>
        <v>#N/A</v>
      </c>
      <c r="I283" s="20"/>
      <c r="J283" s="23" t="e">
        <f t="shared" si="11"/>
        <v>#N/A</v>
      </c>
    </row>
    <row r="284" spans="7:10" ht="19" customHeight="1">
      <c r="G284" s="20" t="e">
        <f>VLOOKUP(D284,단가!B:D,3,0)</f>
        <v>#N/A</v>
      </c>
      <c r="H284" s="20" t="e">
        <f t="shared" si="12"/>
        <v>#N/A</v>
      </c>
      <c r="I284" s="20"/>
      <c r="J284" s="23" t="e">
        <f t="shared" si="11"/>
        <v>#N/A</v>
      </c>
    </row>
    <row r="285" spans="7:10" ht="19" customHeight="1">
      <c r="G285" s="20" t="e">
        <f>VLOOKUP(D285,단가!B:D,3,0)</f>
        <v>#N/A</v>
      </c>
      <c r="H285" s="20" t="e">
        <f t="shared" si="12"/>
        <v>#N/A</v>
      </c>
      <c r="I285" s="20"/>
      <c r="J285" s="23" t="e">
        <f t="shared" si="11"/>
        <v>#N/A</v>
      </c>
    </row>
    <row r="286" spans="7:10" ht="19" customHeight="1">
      <c r="G286" s="20" t="e">
        <f>VLOOKUP(D286,단가!B:D,3,0)</f>
        <v>#N/A</v>
      </c>
      <c r="H286" s="20" t="e">
        <f t="shared" si="12"/>
        <v>#N/A</v>
      </c>
      <c r="I286" s="20"/>
      <c r="J286" s="23" t="e">
        <f t="shared" si="11"/>
        <v>#N/A</v>
      </c>
    </row>
    <row r="287" spans="7:10" ht="19" customHeight="1">
      <c r="G287" s="20" t="e">
        <f>VLOOKUP(D287,단가!B:D,3,0)</f>
        <v>#N/A</v>
      </c>
      <c r="H287" s="20" t="e">
        <f t="shared" si="12"/>
        <v>#N/A</v>
      </c>
      <c r="I287" s="20"/>
      <c r="J287" s="23" t="e">
        <f t="shared" si="11"/>
        <v>#N/A</v>
      </c>
    </row>
    <row r="288" spans="7:10" ht="19" customHeight="1">
      <c r="G288" s="20" t="e">
        <f>VLOOKUP(D288,단가!B:D,3,0)</f>
        <v>#N/A</v>
      </c>
      <c r="H288" s="20" t="e">
        <f t="shared" si="12"/>
        <v>#N/A</v>
      </c>
      <c r="I288" s="20"/>
      <c r="J288" s="23" t="e">
        <f t="shared" si="11"/>
        <v>#N/A</v>
      </c>
    </row>
    <row r="289" spans="7:10" ht="19" customHeight="1">
      <c r="G289" s="20" t="e">
        <f>VLOOKUP(D289,단가!B:D,3,0)</f>
        <v>#N/A</v>
      </c>
      <c r="H289" s="20" t="e">
        <f t="shared" si="12"/>
        <v>#N/A</v>
      </c>
      <c r="I289" s="20"/>
      <c r="J289" s="23" t="e">
        <f t="shared" si="11"/>
        <v>#N/A</v>
      </c>
    </row>
    <row r="290" spans="7:10" ht="19" customHeight="1">
      <c r="G290" s="20" t="e">
        <f>VLOOKUP(D290,단가!B:D,3,0)</f>
        <v>#N/A</v>
      </c>
      <c r="H290" s="20" t="e">
        <f t="shared" si="12"/>
        <v>#N/A</v>
      </c>
      <c r="I290" s="20"/>
      <c r="J290" s="23" t="e">
        <f t="shared" si="11"/>
        <v>#N/A</v>
      </c>
    </row>
    <row r="291" spans="7:10" ht="19" customHeight="1">
      <c r="G291" s="20" t="e">
        <f>VLOOKUP(D291,단가!B:D,3,0)</f>
        <v>#N/A</v>
      </c>
      <c r="H291" s="20" t="e">
        <f t="shared" si="12"/>
        <v>#N/A</v>
      </c>
      <c r="I291" s="20"/>
      <c r="J291" s="23" t="e">
        <f t="shared" si="11"/>
        <v>#N/A</v>
      </c>
    </row>
    <row r="292" spans="7:10" ht="19" customHeight="1">
      <c r="G292" s="20" t="e">
        <f>VLOOKUP(D292,단가!B:D,3,0)</f>
        <v>#N/A</v>
      </c>
      <c r="H292" s="20" t="e">
        <f t="shared" si="12"/>
        <v>#N/A</v>
      </c>
      <c r="I292" s="20"/>
      <c r="J292" s="23" t="e">
        <f t="shared" si="11"/>
        <v>#N/A</v>
      </c>
    </row>
    <row r="293" spans="7:10" ht="19" customHeight="1">
      <c r="G293" s="20" t="e">
        <f>VLOOKUP(D293,단가!B:D,3,0)</f>
        <v>#N/A</v>
      </c>
      <c r="H293" s="20" t="e">
        <f t="shared" si="12"/>
        <v>#N/A</v>
      </c>
      <c r="I293" s="20"/>
      <c r="J293" s="23" t="e">
        <f t="shared" si="11"/>
        <v>#N/A</v>
      </c>
    </row>
    <row r="294" spans="7:10" ht="19" customHeight="1">
      <c r="G294" s="20" t="e">
        <f>VLOOKUP(D294,단가!B:D,3,0)</f>
        <v>#N/A</v>
      </c>
      <c r="H294" s="20" t="e">
        <f t="shared" si="12"/>
        <v>#N/A</v>
      </c>
      <c r="I294" s="20"/>
      <c r="J294" s="23" t="e">
        <f t="shared" si="11"/>
        <v>#N/A</v>
      </c>
    </row>
    <row r="295" spans="7:10" ht="19" customHeight="1">
      <c r="G295" s="20" t="e">
        <f>VLOOKUP(D295,단가!B:D,3,0)</f>
        <v>#N/A</v>
      </c>
      <c r="H295" s="20" t="e">
        <f t="shared" si="12"/>
        <v>#N/A</v>
      </c>
      <c r="I295" s="20"/>
      <c r="J295" s="23" t="e">
        <f t="shared" si="11"/>
        <v>#N/A</v>
      </c>
    </row>
    <row r="296" spans="7:10" ht="19" customHeight="1">
      <c r="G296" s="20" t="e">
        <f>VLOOKUP(D296,단가!B:D,3,0)</f>
        <v>#N/A</v>
      </c>
      <c r="H296" s="20" t="e">
        <f t="shared" si="12"/>
        <v>#N/A</v>
      </c>
      <c r="I296" s="20"/>
      <c r="J296" s="23" t="e">
        <f t="shared" si="11"/>
        <v>#N/A</v>
      </c>
    </row>
    <row r="297" spans="7:10" ht="19" customHeight="1">
      <c r="G297" s="20" t="e">
        <f>VLOOKUP(D297,단가!B:D,3,0)</f>
        <v>#N/A</v>
      </c>
      <c r="H297" s="20" t="e">
        <f t="shared" si="12"/>
        <v>#N/A</v>
      </c>
      <c r="I297" s="20"/>
      <c r="J297" s="23" t="e">
        <f t="shared" si="11"/>
        <v>#N/A</v>
      </c>
    </row>
    <row r="298" spans="7:10" ht="19" customHeight="1">
      <c r="G298" s="20" t="e">
        <f>VLOOKUP(D298,단가!B:D,3,0)</f>
        <v>#N/A</v>
      </c>
      <c r="H298" s="20" t="e">
        <f t="shared" si="12"/>
        <v>#N/A</v>
      </c>
      <c r="I298" s="20"/>
      <c r="J298" s="23" t="e">
        <f t="shared" si="11"/>
        <v>#N/A</v>
      </c>
    </row>
    <row r="299" spans="7:10" ht="19" customHeight="1">
      <c r="G299" s="20" t="e">
        <f>VLOOKUP(D299,단가!B:D,3,0)</f>
        <v>#N/A</v>
      </c>
      <c r="H299" s="20" t="e">
        <f t="shared" si="12"/>
        <v>#N/A</v>
      </c>
      <c r="I299" s="20"/>
      <c r="J299" s="23" t="e">
        <f t="shared" si="11"/>
        <v>#N/A</v>
      </c>
    </row>
    <row r="300" spans="7:10" ht="19" customHeight="1">
      <c r="G300" s="20" t="e">
        <f>VLOOKUP(D300,단가!B:D,3,0)</f>
        <v>#N/A</v>
      </c>
      <c r="H300" s="20" t="e">
        <f t="shared" si="12"/>
        <v>#N/A</v>
      </c>
      <c r="I300" s="20"/>
      <c r="J300" s="23" t="e">
        <f t="shared" si="11"/>
        <v>#N/A</v>
      </c>
    </row>
    <row r="301" spans="7:10" ht="19" customHeight="1">
      <c r="G301" s="20" t="e">
        <f>VLOOKUP(D301,단가!B:D,3,0)</f>
        <v>#N/A</v>
      </c>
      <c r="H301" s="20" t="e">
        <f t="shared" si="12"/>
        <v>#N/A</v>
      </c>
      <c r="I301" s="20"/>
      <c r="J301" s="23" t="e">
        <f t="shared" si="11"/>
        <v>#N/A</v>
      </c>
    </row>
    <row r="302" spans="7:10" ht="19" customHeight="1">
      <c r="G302" s="20" t="e">
        <f>VLOOKUP(D302,단가!B:D,3,0)</f>
        <v>#N/A</v>
      </c>
      <c r="H302" s="20" t="e">
        <f t="shared" si="12"/>
        <v>#N/A</v>
      </c>
      <c r="I302" s="20"/>
      <c r="J302" s="23" t="e">
        <f t="shared" si="11"/>
        <v>#N/A</v>
      </c>
    </row>
    <row r="303" spans="7:10" ht="19" customHeight="1">
      <c r="G303" s="20" t="e">
        <f>VLOOKUP(D303,단가!B:D,3,0)</f>
        <v>#N/A</v>
      </c>
      <c r="H303" s="20" t="e">
        <f t="shared" si="12"/>
        <v>#N/A</v>
      </c>
      <c r="I303" s="20"/>
      <c r="J303" s="23" t="e">
        <f t="shared" si="11"/>
        <v>#N/A</v>
      </c>
    </row>
    <row r="304" spans="7:10" ht="19" customHeight="1">
      <c r="G304" s="20" t="e">
        <f>VLOOKUP(D304,단가!B:D,3,0)</f>
        <v>#N/A</v>
      </c>
      <c r="H304" s="20" t="e">
        <f t="shared" si="12"/>
        <v>#N/A</v>
      </c>
      <c r="I304" s="20"/>
      <c r="J304" s="23" t="e">
        <f t="shared" si="11"/>
        <v>#N/A</v>
      </c>
    </row>
    <row r="305" spans="7:10" ht="19" customHeight="1">
      <c r="G305" s="20" t="e">
        <f>VLOOKUP(D305,단가!B:D,3,0)</f>
        <v>#N/A</v>
      </c>
      <c r="H305" s="20" t="e">
        <f t="shared" si="12"/>
        <v>#N/A</v>
      </c>
      <c r="I305" s="20"/>
      <c r="J305" s="23" t="e">
        <f t="shared" si="11"/>
        <v>#N/A</v>
      </c>
    </row>
    <row r="306" spans="7:10" ht="19" customHeight="1">
      <c r="G306" s="20" t="e">
        <f>VLOOKUP(D306,단가!B:D,3,0)</f>
        <v>#N/A</v>
      </c>
      <c r="H306" s="20" t="e">
        <f t="shared" si="12"/>
        <v>#N/A</v>
      </c>
      <c r="I306" s="20"/>
      <c r="J306" s="23" t="e">
        <f t="shared" si="11"/>
        <v>#N/A</v>
      </c>
    </row>
    <row r="307" spans="7:10" ht="19" customHeight="1">
      <c r="G307" s="20" t="e">
        <f>VLOOKUP(D307,단가!B:D,3,0)</f>
        <v>#N/A</v>
      </c>
      <c r="H307" s="20" t="e">
        <f t="shared" si="12"/>
        <v>#N/A</v>
      </c>
      <c r="I307" s="20"/>
      <c r="J307" s="23" t="e">
        <f t="shared" si="11"/>
        <v>#N/A</v>
      </c>
    </row>
    <row r="308" spans="7:10" ht="19" customHeight="1">
      <c r="G308" s="20" t="e">
        <f>VLOOKUP(D308,단가!B:D,3,0)</f>
        <v>#N/A</v>
      </c>
      <c r="H308" s="20" t="e">
        <f t="shared" si="12"/>
        <v>#N/A</v>
      </c>
      <c r="I308" s="20"/>
      <c r="J308" s="23" t="e">
        <f t="shared" si="11"/>
        <v>#N/A</v>
      </c>
    </row>
    <row r="309" spans="7:10" ht="19" customHeight="1">
      <c r="G309" s="20" t="e">
        <f>VLOOKUP(D309,단가!B:D,3,0)</f>
        <v>#N/A</v>
      </c>
      <c r="H309" s="20" t="e">
        <f t="shared" si="12"/>
        <v>#N/A</v>
      </c>
      <c r="I309" s="20"/>
      <c r="J309" s="23" t="e">
        <f t="shared" si="11"/>
        <v>#N/A</v>
      </c>
    </row>
    <row r="310" spans="7:10" ht="19" customHeight="1">
      <c r="G310" s="20" t="e">
        <f>VLOOKUP(D310,단가!B:D,3,0)</f>
        <v>#N/A</v>
      </c>
      <c r="H310" s="20" t="e">
        <f t="shared" si="12"/>
        <v>#N/A</v>
      </c>
      <c r="I310" s="20"/>
      <c r="J310" s="23" t="e">
        <f t="shared" si="11"/>
        <v>#N/A</v>
      </c>
    </row>
    <row r="311" spans="7:10" ht="19" customHeight="1">
      <c r="G311" s="20" t="e">
        <f>VLOOKUP(D311,단가!B:D,3,0)</f>
        <v>#N/A</v>
      </c>
      <c r="H311" s="20" t="e">
        <f t="shared" si="12"/>
        <v>#N/A</v>
      </c>
      <c r="I311" s="20"/>
      <c r="J311" s="23" t="e">
        <f t="shared" si="11"/>
        <v>#N/A</v>
      </c>
    </row>
    <row r="312" spans="7:10" ht="19" customHeight="1">
      <c r="G312" s="20" t="e">
        <f>VLOOKUP(D312,단가!B:D,3,0)</f>
        <v>#N/A</v>
      </c>
      <c r="H312" s="20" t="e">
        <f t="shared" si="12"/>
        <v>#N/A</v>
      </c>
      <c r="I312" s="20"/>
      <c r="J312" s="23" t="e">
        <f t="shared" si="11"/>
        <v>#N/A</v>
      </c>
    </row>
    <row r="313" spans="7:10" ht="19" customHeight="1">
      <c r="G313" s="20" t="e">
        <f>VLOOKUP(D313,단가!B:D,3,0)</f>
        <v>#N/A</v>
      </c>
      <c r="H313" s="20" t="e">
        <f t="shared" si="12"/>
        <v>#N/A</v>
      </c>
      <c r="I313" s="20"/>
      <c r="J313" s="23" t="e">
        <f t="shared" si="11"/>
        <v>#N/A</v>
      </c>
    </row>
    <row r="314" spans="7:10" ht="19" customHeight="1">
      <c r="G314" s="20" t="e">
        <f>VLOOKUP(D314,단가!B:D,3,0)</f>
        <v>#N/A</v>
      </c>
      <c r="H314" s="20" t="e">
        <f t="shared" si="12"/>
        <v>#N/A</v>
      </c>
      <c r="I314" s="20"/>
      <c r="J314" s="23" t="e">
        <f t="shared" si="11"/>
        <v>#N/A</v>
      </c>
    </row>
    <row r="315" spans="7:10" ht="19" customHeight="1">
      <c r="G315" s="20" t="e">
        <f>VLOOKUP(D315,단가!B:D,3,0)</f>
        <v>#N/A</v>
      </c>
      <c r="H315" s="20" t="e">
        <f t="shared" si="12"/>
        <v>#N/A</v>
      </c>
      <c r="I315" s="20" t="e">
        <f t="shared" ref="I315:I330" si="13">H315*0.1</f>
        <v>#N/A</v>
      </c>
      <c r="J315" s="23" t="e">
        <f t="shared" si="11"/>
        <v>#N/A</v>
      </c>
    </row>
    <row r="316" spans="7:10" ht="19" customHeight="1">
      <c r="G316" s="20" t="e">
        <f>VLOOKUP(D316,단가!B:D,3,0)</f>
        <v>#N/A</v>
      </c>
      <c r="H316" s="20" t="e">
        <f t="shared" si="12"/>
        <v>#N/A</v>
      </c>
      <c r="I316" s="20" t="e">
        <f t="shared" si="13"/>
        <v>#N/A</v>
      </c>
      <c r="J316" s="23" t="e">
        <f t="shared" si="11"/>
        <v>#N/A</v>
      </c>
    </row>
    <row r="317" spans="7:10" ht="19" customHeight="1">
      <c r="G317" s="20" t="e">
        <f>VLOOKUP(D317,단가!B:D,3,0)</f>
        <v>#N/A</v>
      </c>
      <c r="H317" s="20" t="e">
        <f t="shared" si="12"/>
        <v>#N/A</v>
      </c>
      <c r="I317" s="20" t="e">
        <f t="shared" si="13"/>
        <v>#N/A</v>
      </c>
      <c r="J317" s="23" t="e">
        <f t="shared" si="11"/>
        <v>#N/A</v>
      </c>
    </row>
    <row r="318" spans="7:10" ht="19" customHeight="1">
      <c r="G318" s="20" t="e">
        <f>VLOOKUP(D318,단가!B:D,3,0)</f>
        <v>#N/A</v>
      </c>
      <c r="H318" s="20" t="e">
        <f t="shared" si="12"/>
        <v>#N/A</v>
      </c>
      <c r="I318" s="20" t="e">
        <f t="shared" si="13"/>
        <v>#N/A</v>
      </c>
      <c r="J318" s="23" t="e">
        <f t="shared" si="11"/>
        <v>#N/A</v>
      </c>
    </row>
    <row r="319" spans="7:10" ht="19" customHeight="1">
      <c r="G319" s="20" t="e">
        <f>VLOOKUP(D319,단가!B:D,3,0)</f>
        <v>#N/A</v>
      </c>
      <c r="H319" s="20" t="e">
        <f t="shared" si="12"/>
        <v>#N/A</v>
      </c>
      <c r="I319" s="20" t="e">
        <f t="shared" si="13"/>
        <v>#N/A</v>
      </c>
      <c r="J319" s="23" t="e">
        <f t="shared" si="11"/>
        <v>#N/A</v>
      </c>
    </row>
    <row r="320" spans="7:10" ht="19" customHeight="1">
      <c r="G320" s="20" t="e">
        <f>VLOOKUP(D320,단가!B:D,3,0)</f>
        <v>#N/A</v>
      </c>
      <c r="H320" s="20" t="e">
        <f t="shared" si="12"/>
        <v>#N/A</v>
      </c>
      <c r="I320" s="20" t="e">
        <f t="shared" si="13"/>
        <v>#N/A</v>
      </c>
      <c r="J320" s="23" t="e">
        <f t="shared" si="11"/>
        <v>#N/A</v>
      </c>
    </row>
    <row r="321" spans="7:10" ht="19" customHeight="1">
      <c r="G321" s="20" t="e">
        <f>VLOOKUP(D321,단가!B:D,3,0)</f>
        <v>#N/A</v>
      </c>
      <c r="H321" s="20" t="e">
        <f t="shared" si="12"/>
        <v>#N/A</v>
      </c>
      <c r="I321" s="20" t="e">
        <f t="shared" si="13"/>
        <v>#N/A</v>
      </c>
      <c r="J321" s="23" t="e">
        <f t="shared" si="11"/>
        <v>#N/A</v>
      </c>
    </row>
    <row r="322" spans="7:10" ht="19" customHeight="1">
      <c r="G322" s="20" t="e">
        <f>VLOOKUP(D322,단가!B:D,3,0)</f>
        <v>#N/A</v>
      </c>
      <c r="H322" s="20" t="e">
        <f t="shared" si="12"/>
        <v>#N/A</v>
      </c>
      <c r="I322" s="20" t="e">
        <f t="shared" si="13"/>
        <v>#N/A</v>
      </c>
      <c r="J322" s="23" t="e">
        <f t="shared" si="11"/>
        <v>#N/A</v>
      </c>
    </row>
    <row r="323" spans="7:10" ht="19" customHeight="1">
      <c r="G323" s="20" t="e">
        <f>VLOOKUP(D323,단가!B:D,3,0)</f>
        <v>#N/A</v>
      </c>
      <c r="H323" s="20" t="e">
        <f t="shared" si="12"/>
        <v>#N/A</v>
      </c>
      <c r="I323" s="20" t="e">
        <f t="shared" si="13"/>
        <v>#N/A</v>
      </c>
      <c r="J323" s="23" t="e">
        <f t="shared" si="11"/>
        <v>#N/A</v>
      </c>
    </row>
    <row r="324" spans="7:10" ht="19" customHeight="1">
      <c r="G324" s="20" t="e">
        <f>VLOOKUP(D324,단가!B:D,3,0)</f>
        <v>#N/A</v>
      </c>
      <c r="H324" s="20" t="e">
        <f t="shared" si="12"/>
        <v>#N/A</v>
      </c>
      <c r="I324" s="20" t="e">
        <f t="shared" si="13"/>
        <v>#N/A</v>
      </c>
      <c r="J324" s="23" t="e">
        <f t="shared" si="11"/>
        <v>#N/A</v>
      </c>
    </row>
    <row r="325" spans="7:10" ht="19" customHeight="1">
      <c r="G325" s="20" t="e">
        <f>VLOOKUP(D325,단가!B:D,3,0)</f>
        <v>#N/A</v>
      </c>
      <c r="H325" s="20" t="e">
        <f t="shared" si="12"/>
        <v>#N/A</v>
      </c>
      <c r="I325" s="20" t="e">
        <f t="shared" si="13"/>
        <v>#N/A</v>
      </c>
      <c r="J325" s="23" t="e">
        <f t="shared" si="11"/>
        <v>#N/A</v>
      </c>
    </row>
    <row r="326" spans="7:10" ht="19" customHeight="1">
      <c r="G326" s="20" t="e">
        <f>VLOOKUP(D326,단가!B:D,3,0)</f>
        <v>#N/A</v>
      </c>
      <c r="H326" s="20" t="e">
        <f t="shared" si="12"/>
        <v>#N/A</v>
      </c>
      <c r="I326" s="20" t="e">
        <f t="shared" si="13"/>
        <v>#N/A</v>
      </c>
      <c r="J326" s="23" t="e">
        <f t="shared" si="11"/>
        <v>#N/A</v>
      </c>
    </row>
    <row r="327" spans="7:10" ht="19" customHeight="1">
      <c r="G327" s="20" t="e">
        <f>VLOOKUP(D327,단가!B:D,3,0)</f>
        <v>#N/A</v>
      </c>
      <c r="H327" s="20" t="e">
        <f t="shared" si="12"/>
        <v>#N/A</v>
      </c>
      <c r="I327" s="20" t="e">
        <f t="shared" si="13"/>
        <v>#N/A</v>
      </c>
      <c r="J327" s="23" t="e">
        <f t="shared" si="11"/>
        <v>#N/A</v>
      </c>
    </row>
    <row r="328" spans="7:10" ht="19" customHeight="1">
      <c r="G328" s="20" t="e">
        <f>VLOOKUP(D328,단가!B:D,3,0)</f>
        <v>#N/A</v>
      </c>
      <c r="H328" s="20" t="e">
        <f t="shared" si="12"/>
        <v>#N/A</v>
      </c>
      <c r="I328" s="20" t="e">
        <f t="shared" si="13"/>
        <v>#N/A</v>
      </c>
      <c r="J328" s="23" t="e">
        <f t="shared" si="11"/>
        <v>#N/A</v>
      </c>
    </row>
    <row r="329" spans="7:10" ht="19" customHeight="1">
      <c r="G329" s="20" t="e">
        <f>VLOOKUP(D329,단가!B:D,3,0)</f>
        <v>#N/A</v>
      </c>
      <c r="H329" s="20" t="e">
        <f t="shared" si="12"/>
        <v>#N/A</v>
      </c>
      <c r="I329" s="20" t="e">
        <f t="shared" si="13"/>
        <v>#N/A</v>
      </c>
      <c r="J329" s="23" t="e">
        <f t="shared" si="11"/>
        <v>#N/A</v>
      </c>
    </row>
    <row r="330" spans="7:10" ht="19" customHeight="1">
      <c r="G330" s="20" t="e">
        <f>VLOOKUP(D330,단가!B:D,3,0)</f>
        <v>#N/A</v>
      </c>
      <c r="H330" s="20" t="e">
        <f t="shared" si="12"/>
        <v>#N/A</v>
      </c>
      <c r="I330" s="20" t="e">
        <f t="shared" si="13"/>
        <v>#N/A</v>
      </c>
      <c r="J330" s="23" t="e">
        <f t="shared" ref="J330:J393" si="14">H330+I330</f>
        <v>#N/A</v>
      </c>
    </row>
    <row r="331" spans="7:10" ht="19" customHeight="1">
      <c r="G331" s="20" t="e">
        <f>VLOOKUP(D331,단가!B:D,3,0)</f>
        <v>#N/A</v>
      </c>
      <c r="H331" s="20" t="e">
        <f t="shared" ref="H331:H394" si="15">F331*G331</f>
        <v>#N/A</v>
      </c>
      <c r="I331" s="20" t="e">
        <f t="shared" ref="I331:I394" si="16">H331*0.1</f>
        <v>#N/A</v>
      </c>
      <c r="J331" s="23" t="e">
        <f t="shared" si="14"/>
        <v>#N/A</v>
      </c>
    </row>
    <row r="332" spans="7:10" ht="19" customHeight="1">
      <c r="G332" s="20" t="e">
        <f>VLOOKUP(D332,단가!B:D,3,0)</f>
        <v>#N/A</v>
      </c>
      <c r="H332" s="20" t="e">
        <f t="shared" si="15"/>
        <v>#N/A</v>
      </c>
      <c r="I332" s="20" t="e">
        <f t="shared" si="16"/>
        <v>#N/A</v>
      </c>
      <c r="J332" s="23" t="e">
        <f t="shared" si="14"/>
        <v>#N/A</v>
      </c>
    </row>
    <row r="333" spans="7:10" ht="19" customHeight="1">
      <c r="G333" s="20" t="e">
        <f>VLOOKUP(D333,단가!B:D,3,0)</f>
        <v>#N/A</v>
      </c>
      <c r="H333" s="20" t="e">
        <f t="shared" si="15"/>
        <v>#N/A</v>
      </c>
      <c r="I333" s="20" t="e">
        <f t="shared" si="16"/>
        <v>#N/A</v>
      </c>
      <c r="J333" s="23" t="e">
        <f t="shared" si="14"/>
        <v>#N/A</v>
      </c>
    </row>
    <row r="334" spans="7:10" ht="19" customHeight="1">
      <c r="G334" s="20" t="e">
        <f>VLOOKUP(D334,단가!B:D,3,0)</f>
        <v>#N/A</v>
      </c>
      <c r="H334" s="20" t="e">
        <f t="shared" si="15"/>
        <v>#N/A</v>
      </c>
      <c r="I334" s="20" t="e">
        <f t="shared" si="16"/>
        <v>#N/A</v>
      </c>
      <c r="J334" s="23" t="e">
        <f t="shared" si="14"/>
        <v>#N/A</v>
      </c>
    </row>
    <row r="335" spans="7:10" ht="19" customHeight="1">
      <c r="G335" s="20" t="e">
        <f>VLOOKUP(D335,단가!B:D,3,0)</f>
        <v>#N/A</v>
      </c>
      <c r="H335" s="20" t="e">
        <f t="shared" si="15"/>
        <v>#N/A</v>
      </c>
      <c r="I335" s="20" t="e">
        <f t="shared" si="16"/>
        <v>#N/A</v>
      </c>
      <c r="J335" s="23" t="e">
        <f t="shared" si="14"/>
        <v>#N/A</v>
      </c>
    </row>
    <row r="336" spans="7:10" ht="19" customHeight="1">
      <c r="G336" s="20" t="e">
        <f>VLOOKUP(D336,단가!B:D,3,0)</f>
        <v>#N/A</v>
      </c>
      <c r="H336" s="20" t="e">
        <f t="shared" si="15"/>
        <v>#N/A</v>
      </c>
      <c r="I336" s="20" t="e">
        <f t="shared" si="16"/>
        <v>#N/A</v>
      </c>
      <c r="J336" s="23" t="e">
        <f t="shared" si="14"/>
        <v>#N/A</v>
      </c>
    </row>
    <row r="337" spans="7:10" ht="19" customHeight="1">
      <c r="G337" s="20" t="e">
        <f>VLOOKUP(D337,단가!B:D,3,0)</f>
        <v>#N/A</v>
      </c>
      <c r="H337" s="20" t="e">
        <f t="shared" si="15"/>
        <v>#N/A</v>
      </c>
      <c r="I337" s="20" t="e">
        <f t="shared" si="16"/>
        <v>#N/A</v>
      </c>
      <c r="J337" s="23" t="e">
        <f t="shared" si="14"/>
        <v>#N/A</v>
      </c>
    </row>
    <row r="338" spans="7:10" ht="19" customHeight="1">
      <c r="G338" s="20" t="e">
        <f>VLOOKUP(D338,단가!B:D,3,0)</f>
        <v>#N/A</v>
      </c>
      <c r="H338" s="20" t="e">
        <f t="shared" si="15"/>
        <v>#N/A</v>
      </c>
      <c r="I338" s="20" t="e">
        <f t="shared" si="16"/>
        <v>#N/A</v>
      </c>
      <c r="J338" s="23" t="e">
        <f t="shared" si="14"/>
        <v>#N/A</v>
      </c>
    </row>
    <row r="339" spans="7:10" ht="19" customHeight="1">
      <c r="G339" s="20" t="e">
        <f>VLOOKUP(D339,단가!B:D,3,0)</f>
        <v>#N/A</v>
      </c>
      <c r="H339" s="20" t="e">
        <f t="shared" si="15"/>
        <v>#N/A</v>
      </c>
      <c r="I339" s="20" t="e">
        <f t="shared" si="16"/>
        <v>#N/A</v>
      </c>
      <c r="J339" s="23" t="e">
        <f t="shared" si="14"/>
        <v>#N/A</v>
      </c>
    </row>
    <row r="340" spans="7:10" ht="19" customHeight="1">
      <c r="G340" s="20" t="e">
        <f>VLOOKUP(D340,단가!B:D,3,0)</f>
        <v>#N/A</v>
      </c>
      <c r="H340" s="20" t="e">
        <f t="shared" si="15"/>
        <v>#N/A</v>
      </c>
      <c r="I340" s="20" t="e">
        <f t="shared" si="16"/>
        <v>#N/A</v>
      </c>
      <c r="J340" s="23" t="e">
        <f t="shared" si="14"/>
        <v>#N/A</v>
      </c>
    </row>
    <row r="341" spans="7:10" ht="19" customHeight="1">
      <c r="G341" s="20" t="e">
        <f>VLOOKUP(D341,단가!B:D,3,0)</f>
        <v>#N/A</v>
      </c>
      <c r="H341" s="20" t="e">
        <f t="shared" si="15"/>
        <v>#N/A</v>
      </c>
      <c r="I341" s="20" t="e">
        <f t="shared" si="16"/>
        <v>#N/A</v>
      </c>
      <c r="J341" s="23" t="e">
        <f t="shared" si="14"/>
        <v>#N/A</v>
      </c>
    </row>
    <row r="342" spans="7:10" ht="19" customHeight="1">
      <c r="G342" s="20" t="e">
        <f>VLOOKUP(D342,단가!B:D,3,0)</f>
        <v>#N/A</v>
      </c>
      <c r="H342" s="20" t="e">
        <f t="shared" si="15"/>
        <v>#N/A</v>
      </c>
      <c r="I342" s="20" t="e">
        <f t="shared" si="16"/>
        <v>#N/A</v>
      </c>
      <c r="J342" s="23" t="e">
        <f t="shared" si="14"/>
        <v>#N/A</v>
      </c>
    </row>
    <row r="343" spans="7:10" ht="19" customHeight="1">
      <c r="G343" s="20" t="e">
        <f>VLOOKUP(D343,단가!B:D,3,0)</f>
        <v>#N/A</v>
      </c>
      <c r="H343" s="20" t="e">
        <f t="shared" si="15"/>
        <v>#N/A</v>
      </c>
      <c r="I343" s="20" t="e">
        <f t="shared" si="16"/>
        <v>#N/A</v>
      </c>
      <c r="J343" s="23" t="e">
        <f t="shared" si="14"/>
        <v>#N/A</v>
      </c>
    </row>
    <row r="344" spans="7:10" ht="19" customHeight="1">
      <c r="G344" s="20" t="e">
        <f>VLOOKUP(D344,단가!B:D,3,0)</f>
        <v>#N/A</v>
      </c>
      <c r="H344" s="20" t="e">
        <f t="shared" si="15"/>
        <v>#N/A</v>
      </c>
      <c r="I344" s="20" t="e">
        <f t="shared" si="16"/>
        <v>#N/A</v>
      </c>
      <c r="J344" s="23" t="e">
        <f t="shared" si="14"/>
        <v>#N/A</v>
      </c>
    </row>
    <row r="345" spans="7:10" ht="19" customHeight="1">
      <c r="G345" s="20" t="e">
        <f>VLOOKUP(D345,단가!B:D,3,0)</f>
        <v>#N/A</v>
      </c>
      <c r="H345" s="20" t="e">
        <f t="shared" si="15"/>
        <v>#N/A</v>
      </c>
      <c r="I345" s="20" t="e">
        <f t="shared" si="16"/>
        <v>#N/A</v>
      </c>
      <c r="J345" s="23" t="e">
        <f t="shared" si="14"/>
        <v>#N/A</v>
      </c>
    </row>
    <row r="346" spans="7:10" ht="19" customHeight="1">
      <c r="G346" s="20" t="e">
        <f>VLOOKUP(D346,단가!B:D,3,0)</f>
        <v>#N/A</v>
      </c>
      <c r="H346" s="20" t="e">
        <f t="shared" si="15"/>
        <v>#N/A</v>
      </c>
      <c r="I346" s="20" t="e">
        <f t="shared" si="16"/>
        <v>#N/A</v>
      </c>
      <c r="J346" s="23" t="e">
        <f t="shared" si="14"/>
        <v>#N/A</v>
      </c>
    </row>
    <row r="347" spans="7:10" ht="19" customHeight="1">
      <c r="G347" s="20" t="e">
        <f>VLOOKUP(D347,단가!B:D,3,0)</f>
        <v>#N/A</v>
      </c>
      <c r="H347" s="20" t="e">
        <f t="shared" si="15"/>
        <v>#N/A</v>
      </c>
      <c r="I347" s="20" t="e">
        <f t="shared" si="16"/>
        <v>#N/A</v>
      </c>
      <c r="J347" s="23" t="e">
        <f t="shared" si="14"/>
        <v>#N/A</v>
      </c>
    </row>
    <row r="348" spans="7:10" ht="19" customHeight="1">
      <c r="G348" s="20" t="e">
        <f>VLOOKUP(D348,단가!B:D,3,0)</f>
        <v>#N/A</v>
      </c>
      <c r="H348" s="20" t="e">
        <f t="shared" si="15"/>
        <v>#N/A</v>
      </c>
      <c r="I348" s="20" t="e">
        <f t="shared" si="16"/>
        <v>#N/A</v>
      </c>
      <c r="J348" s="23" t="e">
        <f t="shared" si="14"/>
        <v>#N/A</v>
      </c>
    </row>
    <row r="349" spans="7:10" ht="19" customHeight="1">
      <c r="G349" s="20" t="e">
        <f>VLOOKUP(D349,단가!B:D,3,0)</f>
        <v>#N/A</v>
      </c>
      <c r="H349" s="20" t="e">
        <f t="shared" si="15"/>
        <v>#N/A</v>
      </c>
      <c r="I349" s="20" t="e">
        <f t="shared" si="16"/>
        <v>#N/A</v>
      </c>
      <c r="J349" s="23" t="e">
        <f t="shared" si="14"/>
        <v>#N/A</v>
      </c>
    </row>
    <row r="350" spans="7:10" ht="19" customHeight="1">
      <c r="G350" s="20" t="e">
        <f>VLOOKUP(D350,단가!B:D,3,0)</f>
        <v>#N/A</v>
      </c>
      <c r="H350" s="20" t="e">
        <f t="shared" si="15"/>
        <v>#N/A</v>
      </c>
      <c r="I350" s="20" t="e">
        <f t="shared" si="16"/>
        <v>#N/A</v>
      </c>
      <c r="J350" s="23" t="e">
        <f t="shared" si="14"/>
        <v>#N/A</v>
      </c>
    </row>
    <row r="351" spans="7:10" ht="19" customHeight="1">
      <c r="G351" s="20" t="e">
        <f>VLOOKUP(D351,단가!B:D,3,0)</f>
        <v>#N/A</v>
      </c>
      <c r="H351" s="20" t="e">
        <f t="shared" si="15"/>
        <v>#N/A</v>
      </c>
      <c r="I351" s="20" t="e">
        <f t="shared" si="16"/>
        <v>#N/A</v>
      </c>
      <c r="J351" s="23" t="e">
        <f t="shared" si="14"/>
        <v>#N/A</v>
      </c>
    </row>
    <row r="352" spans="7:10" ht="19" customHeight="1">
      <c r="G352" s="20" t="e">
        <f>VLOOKUP(D352,단가!B:D,3,0)</f>
        <v>#N/A</v>
      </c>
      <c r="H352" s="20" t="e">
        <f t="shared" si="15"/>
        <v>#N/A</v>
      </c>
      <c r="I352" s="20" t="e">
        <f t="shared" si="16"/>
        <v>#N/A</v>
      </c>
      <c r="J352" s="23" t="e">
        <f t="shared" si="14"/>
        <v>#N/A</v>
      </c>
    </row>
    <row r="353" spans="7:10" ht="19" customHeight="1">
      <c r="G353" s="20" t="e">
        <f>VLOOKUP(D353,단가!B:D,3,0)</f>
        <v>#N/A</v>
      </c>
      <c r="H353" s="20" t="e">
        <f t="shared" si="15"/>
        <v>#N/A</v>
      </c>
      <c r="I353" s="20" t="e">
        <f t="shared" si="16"/>
        <v>#N/A</v>
      </c>
      <c r="J353" s="23" t="e">
        <f t="shared" si="14"/>
        <v>#N/A</v>
      </c>
    </row>
    <row r="354" spans="7:10" ht="19" customHeight="1">
      <c r="G354" s="20" t="e">
        <f>VLOOKUP(D354,단가!B:D,3,0)</f>
        <v>#N/A</v>
      </c>
      <c r="H354" s="20" t="e">
        <f t="shared" si="15"/>
        <v>#N/A</v>
      </c>
      <c r="I354" s="20" t="e">
        <f t="shared" si="16"/>
        <v>#N/A</v>
      </c>
      <c r="J354" s="23" t="e">
        <f t="shared" si="14"/>
        <v>#N/A</v>
      </c>
    </row>
    <row r="355" spans="7:10" ht="19" customHeight="1">
      <c r="G355" s="20" t="e">
        <f>VLOOKUP(D355,단가!B:D,3,0)</f>
        <v>#N/A</v>
      </c>
      <c r="H355" s="20" t="e">
        <f t="shared" si="15"/>
        <v>#N/A</v>
      </c>
      <c r="I355" s="20" t="e">
        <f t="shared" si="16"/>
        <v>#N/A</v>
      </c>
      <c r="J355" s="23" t="e">
        <f t="shared" si="14"/>
        <v>#N/A</v>
      </c>
    </row>
    <row r="356" spans="7:10" ht="19" customHeight="1">
      <c r="G356" s="20" t="e">
        <f>VLOOKUP(D356,단가!B:D,3,0)</f>
        <v>#N/A</v>
      </c>
      <c r="H356" s="20" t="e">
        <f t="shared" si="15"/>
        <v>#N/A</v>
      </c>
      <c r="I356" s="20" t="e">
        <f t="shared" si="16"/>
        <v>#N/A</v>
      </c>
      <c r="J356" s="23" t="e">
        <f t="shared" si="14"/>
        <v>#N/A</v>
      </c>
    </row>
    <row r="357" spans="7:10" ht="19" customHeight="1">
      <c r="G357" s="20" t="e">
        <f>VLOOKUP(D357,단가!B:D,3,0)</f>
        <v>#N/A</v>
      </c>
      <c r="H357" s="20" t="e">
        <f t="shared" si="15"/>
        <v>#N/A</v>
      </c>
      <c r="I357" s="20" t="e">
        <f t="shared" si="16"/>
        <v>#N/A</v>
      </c>
      <c r="J357" s="23" t="e">
        <f t="shared" si="14"/>
        <v>#N/A</v>
      </c>
    </row>
    <row r="358" spans="7:10" ht="19" customHeight="1">
      <c r="G358" s="20" t="e">
        <f>VLOOKUP(D358,단가!B:D,3,0)</f>
        <v>#N/A</v>
      </c>
      <c r="H358" s="20" t="e">
        <f t="shared" si="15"/>
        <v>#N/A</v>
      </c>
      <c r="I358" s="20" t="e">
        <f t="shared" si="16"/>
        <v>#N/A</v>
      </c>
      <c r="J358" s="23" t="e">
        <f t="shared" si="14"/>
        <v>#N/A</v>
      </c>
    </row>
    <row r="359" spans="7:10" ht="19" customHeight="1">
      <c r="G359" s="20" t="e">
        <f>VLOOKUP(D359,단가!B:D,3,0)</f>
        <v>#N/A</v>
      </c>
      <c r="H359" s="20" t="e">
        <f t="shared" si="15"/>
        <v>#N/A</v>
      </c>
      <c r="I359" s="20" t="e">
        <f t="shared" si="16"/>
        <v>#N/A</v>
      </c>
      <c r="J359" s="23" t="e">
        <f t="shared" si="14"/>
        <v>#N/A</v>
      </c>
    </row>
    <row r="360" spans="7:10" ht="19" customHeight="1">
      <c r="G360" s="20" t="e">
        <f>VLOOKUP(D360,단가!B:D,3,0)</f>
        <v>#N/A</v>
      </c>
      <c r="H360" s="20" t="e">
        <f t="shared" si="15"/>
        <v>#N/A</v>
      </c>
      <c r="I360" s="20" t="e">
        <f t="shared" si="16"/>
        <v>#N/A</v>
      </c>
      <c r="J360" s="23" t="e">
        <f t="shared" si="14"/>
        <v>#N/A</v>
      </c>
    </row>
    <row r="361" spans="7:10" ht="19" customHeight="1">
      <c r="G361" s="20" t="e">
        <f>VLOOKUP(D361,단가!B:D,3,0)</f>
        <v>#N/A</v>
      </c>
      <c r="H361" s="20" t="e">
        <f t="shared" si="15"/>
        <v>#N/A</v>
      </c>
      <c r="I361" s="20" t="e">
        <f t="shared" si="16"/>
        <v>#N/A</v>
      </c>
      <c r="J361" s="23" t="e">
        <f t="shared" si="14"/>
        <v>#N/A</v>
      </c>
    </row>
    <row r="362" spans="7:10" ht="19" customHeight="1">
      <c r="G362" s="20" t="e">
        <f>VLOOKUP(D362,단가!B:D,3,0)</f>
        <v>#N/A</v>
      </c>
      <c r="H362" s="20" t="e">
        <f t="shared" si="15"/>
        <v>#N/A</v>
      </c>
      <c r="I362" s="20" t="e">
        <f t="shared" si="16"/>
        <v>#N/A</v>
      </c>
      <c r="J362" s="23" t="e">
        <f t="shared" si="14"/>
        <v>#N/A</v>
      </c>
    </row>
    <row r="363" spans="7:10" ht="19" customHeight="1">
      <c r="G363" s="20" t="e">
        <f>VLOOKUP(D363,단가!B:D,3,0)</f>
        <v>#N/A</v>
      </c>
      <c r="H363" s="20" t="e">
        <f t="shared" si="15"/>
        <v>#N/A</v>
      </c>
      <c r="I363" s="20" t="e">
        <f t="shared" si="16"/>
        <v>#N/A</v>
      </c>
      <c r="J363" s="23" t="e">
        <f t="shared" si="14"/>
        <v>#N/A</v>
      </c>
    </row>
    <row r="364" spans="7:10" ht="19" customHeight="1">
      <c r="G364" s="20" t="e">
        <f>VLOOKUP(D364,단가!B:D,3,0)</f>
        <v>#N/A</v>
      </c>
      <c r="H364" s="20" t="e">
        <f t="shared" si="15"/>
        <v>#N/A</v>
      </c>
      <c r="I364" s="20" t="e">
        <f t="shared" si="16"/>
        <v>#N/A</v>
      </c>
      <c r="J364" s="23" t="e">
        <f t="shared" si="14"/>
        <v>#N/A</v>
      </c>
    </row>
    <row r="365" spans="7:10" ht="19" customHeight="1">
      <c r="G365" s="20" t="e">
        <f>VLOOKUP(D365,단가!B:D,3,0)</f>
        <v>#N/A</v>
      </c>
      <c r="H365" s="20" t="e">
        <f t="shared" si="15"/>
        <v>#N/A</v>
      </c>
      <c r="I365" s="20" t="e">
        <f t="shared" si="16"/>
        <v>#N/A</v>
      </c>
      <c r="J365" s="23" t="e">
        <f t="shared" si="14"/>
        <v>#N/A</v>
      </c>
    </row>
    <row r="366" spans="7:10" ht="19" customHeight="1">
      <c r="G366" s="20" t="e">
        <f>VLOOKUP(D366,단가!B:D,3,0)</f>
        <v>#N/A</v>
      </c>
      <c r="H366" s="20" t="e">
        <f t="shared" si="15"/>
        <v>#N/A</v>
      </c>
      <c r="I366" s="20" t="e">
        <f t="shared" si="16"/>
        <v>#N/A</v>
      </c>
      <c r="J366" s="23" t="e">
        <f t="shared" si="14"/>
        <v>#N/A</v>
      </c>
    </row>
    <row r="367" spans="7:10" ht="19" customHeight="1">
      <c r="G367" s="20" t="e">
        <f>VLOOKUP(D367,단가!B:D,3,0)</f>
        <v>#N/A</v>
      </c>
      <c r="H367" s="20" t="e">
        <f t="shared" si="15"/>
        <v>#N/A</v>
      </c>
      <c r="I367" s="20" t="e">
        <f t="shared" si="16"/>
        <v>#N/A</v>
      </c>
      <c r="J367" s="23" t="e">
        <f t="shared" si="14"/>
        <v>#N/A</v>
      </c>
    </row>
    <row r="368" spans="7:10" ht="19" customHeight="1">
      <c r="G368" s="20" t="e">
        <f>VLOOKUP(D368,단가!B:D,3,0)</f>
        <v>#N/A</v>
      </c>
      <c r="H368" s="20" t="e">
        <f t="shared" si="15"/>
        <v>#N/A</v>
      </c>
      <c r="I368" s="20" t="e">
        <f t="shared" si="16"/>
        <v>#N/A</v>
      </c>
      <c r="J368" s="23" t="e">
        <f t="shared" si="14"/>
        <v>#N/A</v>
      </c>
    </row>
    <row r="369" spans="7:10" ht="19" customHeight="1">
      <c r="G369" s="20" t="e">
        <f>VLOOKUP(D369,단가!B:D,3,0)</f>
        <v>#N/A</v>
      </c>
      <c r="H369" s="20" t="e">
        <f t="shared" si="15"/>
        <v>#N/A</v>
      </c>
      <c r="I369" s="20" t="e">
        <f t="shared" si="16"/>
        <v>#N/A</v>
      </c>
      <c r="J369" s="23" t="e">
        <f t="shared" si="14"/>
        <v>#N/A</v>
      </c>
    </row>
    <row r="370" spans="7:10" ht="19" customHeight="1">
      <c r="G370" s="20" t="e">
        <f>VLOOKUP(D370,단가!B:D,3,0)</f>
        <v>#N/A</v>
      </c>
      <c r="H370" s="20" t="e">
        <f t="shared" si="15"/>
        <v>#N/A</v>
      </c>
      <c r="I370" s="20" t="e">
        <f t="shared" si="16"/>
        <v>#N/A</v>
      </c>
      <c r="J370" s="23" t="e">
        <f t="shared" si="14"/>
        <v>#N/A</v>
      </c>
    </row>
    <row r="371" spans="7:10" ht="19" customHeight="1">
      <c r="G371" s="20" t="e">
        <f>VLOOKUP(D371,단가!B:D,3,0)</f>
        <v>#N/A</v>
      </c>
      <c r="H371" s="20" t="e">
        <f t="shared" si="15"/>
        <v>#N/A</v>
      </c>
      <c r="I371" s="20" t="e">
        <f t="shared" si="16"/>
        <v>#N/A</v>
      </c>
      <c r="J371" s="23" t="e">
        <f t="shared" si="14"/>
        <v>#N/A</v>
      </c>
    </row>
    <row r="372" spans="7:10" ht="19" customHeight="1">
      <c r="G372" s="20" t="e">
        <f>VLOOKUP(D372,단가!B:D,3,0)</f>
        <v>#N/A</v>
      </c>
      <c r="H372" s="20" t="e">
        <f t="shared" si="15"/>
        <v>#N/A</v>
      </c>
      <c r="I372" s="20" t="e">
        <f t="shared" si="16"/>
        <v>#N/A</v>
      </c>
      <c r="J372" s="23" t="e">
        <f t="shared" si="14"/>
        <v>#N/A</v>
      </c>
    </row>
    <row r="373" spans="7:10" ht="19" customHeight="1">
      <c r="G373" s="20" t="e">
        <f>VLOOKUP(D373,단가!B:D,3,0)</f>
        <v>#N/A</v>
      </c>
      <c r="H373" s="20" t="e">
        <f t="shared" si="15"/>
        <v>#N/A</v>
      </c>
      <c r="I373" s="20" t="e">
        <f t="shared" si="16"/>
        <v>#N/A</v>
      </c>
      <c r="J373" s="23" t="e">
        <f t="shared" si="14"/>
        <v>#N/A</v>
      </c>
    </row>
    <row r="374" spans="7:10" ht="19" customHeight="1">
      <c r="G374" s="20" t="e">
        <f>VLOOKUP(D374,단가!B:D,3,0)</f>
        <v>#N/A</v>
      </c>
      <c r="H374" s="20" t="e">
        <f t="shared" si="15"/>
        <v>#N/A</v>
      </c>
      <c r="I374" s="20" t="e">
        <f t="shared" si="16"/>
        <v>#N/A</v>
      </c>
      <c r="J374" s="23" t="e">
        <f t="shared" si="14"/>
        <v>#N/A</v>
      </c>
    </row>
    <row r="375" spans="7:10" ht="19" customHeight="1">
      <c r="G375" s="20" t="e">
        <f>VLOOKUP(D375,단가!B:D,3,0)</f>
        <v>#N/A</v>
      </c>
      <c r="H375" s="20" t="e">
        <f t="shared" si="15"/>
        <v>#N/A</v>
      </c>
      <c r="I375" s="20" t="e">
        <f t="shared" si="16"/>
        <v>#N/A</v>
      </c>
      <c r="J375" s="23" t="e">
        <f t="shared" si="14"/>
        <v>#N/A</v>
      </c>
    </row>
    <row r="376" spans="7:10" ht="19" customHeight="1">
      <c r="G376" s="20" t="e">
        <f>VLOOKUP(D376,단가!B:D,3,0)</f>
        <v>#N/A</v>
      </c>
      <c r="H376" s="20" t="e">
        <f t="shared" si="15"/>
        <v>#N/A</v>
      </c>
      <c r="I376" s="20" t="e">
        <f t="shared" si="16"/>
        <v>#N/A</v>
      </c>
      <c r="J376" s="23" t="e">
        <f t="shared" si="14"/>
        <v>#N/A</v>
      </c>
    </row>
    <row r="377" spans="7:10" ht="19" customHeight="1">
      <c r="G377" s="20" t="e">
        <f>VLOOKUP(D377,단가!B:D,3,0)</f>
        <v>#N/A</v>
      </c>
      <c r="H377" s="20" t="e">
        <f t="shared" si="15"/>
        <v>#N/A</v>
      </c>
      <c r="I377" s="20" t="e">
        <f t="shared" si="16"/>
        <v>#N/A</v>
      </c>
      <c r="J377" s="23" t="e">
        <f t="shared" si="14"/>
        <v>#N/A</v>
      </c>
    </row>
    <row r="378" spans="7:10" ht="19" customHeight="1">
      <c r="G378" s="20" t="e">
        <f>VLOOKUP(D378,단가!B:D,3,0)</f>
        <v>#N/A</v>
      </c>
      <c r="H378" s="20" t="e">
        <f t="shared" si="15"/>
        <v>#N/A</v>
      </c>
      <c r="I378" s="20" t="e">
        <f t="shared" si="16"/>
        <v>#N/A</v>
      </c>
      <c r="J378" s="23" t="e">
        <f t="shared" si="14"/>
        <v>#N/A</v>
      </c>
    </row>
    <row r="379" spans="7:10" ht="19" customHeight="1">
      <c r="G379" s="20" t="e">
        <f>VLOOKUP(D379,단가!B:D,3,0)</f>
        <v>#N/A</v>
      </c>
      <c r="H379" s="20" t="e">
        <f t="shared" si="15"/>
        <v>#N/A</v>
      </c>
      <c r="I379" s="20" t="e">
        <f t="shared" si="16"/>
        <v>#N/A</v>
      </c>
      <c r="J379" s="23" t="e">
        <f t="shared" si="14"/>
        <v>#N/A</v>
      </c>
    </row>
    <row r="380" spans="7:10" ht="19" customHeight="1">
      <c r="G380" s="20" t="e">
        <f>VLOOKUP(D380,단가!B:D,3,0)</f>
        <v>#N/A</v>
      </c>
      <c r="H380" s="20" t="e">
        <f t="shared" si="15"/>
        <v>#N/A</v>
      </c>
      <c r="I380" s="20" t="e">
        <f t="shared" si="16"/>
        <v>#N/A</v>
      </c>
      <c r="J380" s="23" t="e">
        <f t="shared" si="14"/>
        <v>#N/A</v>
      </c>
    </row>
    <row r="381" spans="7:10" ht="19" customHeight="1">
      <c r="G381" s="20" t="e">
        <f>VLOOKUP(D381,단가!B:D,3,0)</f>
        <v>#N/A</v>
      </c>
      <c r="H381" s="20" t="e">
        <f t="shared" si="15"/>
        <v>#N/A</v>
      </c>
      <c r="I381" s="20" t="e">
        <f t="shared" si="16"/>
        <v>#N/A</v>
      </c>
      <c r="J381" s="23" t="e">
        <f t="shared" si="14"/>
        <v>#N/A</v>
      </c>
    </row>
    <row r="382" spans="7:10" ht="19" customHeight="1">
      <c r="G382" s="20" t="e">
        <f>VLOOKUP(D382,단가!B:D,3,0)</f>
        <v>#N/A</v>
      </c>
      <c r="H382" s="20" t="e">
        <f t="shared" si="15"/>
        <v>#N/A</v>
      </c>
      <c r="I382" s="20" t="e">
        <f t="shared" si="16"/>
        <v>#N/A</v>
      </c>
      <c r="J382" s="23" t="e">
        <f t="shared" si="14"/>
        <v>#N/A</v>
      </c>
    </row>
    <row r="383" spans="7:10" ht="19" customHeight="1">
      <c r="G383" s="20" t="e">
        <f>VLOOKUP(D383,단가!B:D,3,0)</f>
        <v>#N/A</v>
      </c>
      <c r="H383" s="20" t="e">
        <f t="shared" si="15"/>
        <v>#N/A</v>
      </c>
      <c r="I383" s="20" t="e">
        <f t="shared" si="16"/>
        <v>#N/A</v>
      </c>
      <c r="J383" s="23" t="e">
        <f t="shared" si="14"/>
        <v>#N/A</v>
      </c>
    </row>
    <row r="384" spans="7:10" ht="19" customHeight="1">
      <c r="G384" s="20" t="e">
        <f>VLOOKUP(D384,단가!B:D,3,0)</f>
        <v>#N/A</v>
      </c>
      <c r="H384" s="20" t="e">
        <f t="shared" si="15"/>
        <v>#N/A</v>
      </c>
      <c r="I384" s="20" t="e">
        <f t="shared" si="16"/>
        <v>#N/A</v>
      </c>
      <c r="J384" s="23" t="e">
        <f t="shared" si="14"/>
        <v>#N/A</v>
      </c>
    </row>
    <row r="385" spans="7:10" ht="19" customHeight="1">
      <c r="G385" s="20" t="e">
        <f>VLOOKUP(D385,단가!B:D,3,0)</f>
        <v>#N/A</v>
      </c>
      <c r="H385" s="20" t="e">
        <f t="shared" si="15"/>
        <v>#N/A</v>
      </c>
      <c r="I385" s="20" t="e">
        <f t="shared" si="16"/>
        <v>#N/A</v>
      </c>
      <c r="J385" s="23" t="e">
        <f t="shared" si="14"/>
        <v>#N/A</v>
      </c>
    </row>
    <row r="386" spans="7:10" ht="19" customHeight="1">
      <c r="G386" s="20" t="e">
        <f>VLOOKUP(D386,단가!B:D,3,0)</f>
        <v>#N/A</v>
      </c>
      <c r="H386" s="20" t="e">
        <f t="shared" si="15"/>
        <v>#N/A</v>
      </c>
      <c r="I386" s="20" t="e">
        <f t="shared" si="16"/>
        <v>#N/A</v>
      </c>
      <c r="J386" s="23" t="e">
        <f t="shared" si="14"/>
        <v>#N/A</v>
      </c>
    </row>
    <row r="387" spans="7:10" ht="19" customHeight="1">
      <c r="G387" s="20" t="e">
        <f>VLOOKUP(D387,단가!B:D,3,0)</f>
        <v>#N/A</v>
      </c>
      <c r="H387" s="20" t="e">
        <f t="shared" si="15"/>
        <v>#N/A</v>
      </c>
      <c r="I387" s="20" t="e">
        <f t="shared" si="16"/>
        <v>#N/A</v>
      </c>
      <c r="J387" s="23" t="e">
        <f t="shared" si="14"/>
        <v>#N/A</v>
      </c>
    </row>
    <row r="388" spans="7:10" ht="19" customHeight="1">
      <c r="G388" s="20" t="e">
        <f>VLOOKUP(D388,단가!B:D,3,0)</f>
        <v>#N/A</v>
      </c>
      <c r="H388" s="20" t="e">
        <f t="shared" si="15"/>
        <v>#N/A</v>
      </c>
      <c r="I388" s="20" t="e">
        <f t="shared" si="16"/>
        <v>#N/A</v>
      </c>
      <c r="J388" s="23" t="e">
        <f t="shared" si="14"/>
        <v>#N/A</v>
      </c>
    </row>
    <row r="389" spans="7:10" ht="19" customHeight="1">
      <c r="G389" s="20" t="e">
        <f>VLOOKUP(D389,단가!B:D,3,0)</f>
        <v>#N/A</v>
      </c>
      <c r="H389" s="20" t="e">
        <f t="shared" si="15"/>
        <v>#N/A</v>
      </c>
      <c r="I389" s="20" t="e">
        <f t="shared" si="16"/>
        <v>#N/A</v>
      </c>
      <c r="J389" s="23" t="e">
        <f t="shared" si="14"/>
        <v>#N/A</v>
      </c>
    </row>
    <row r="390" spans="7:10" ht="19" customHeight="1">
      <c r="G390" s="20" t="e">
        <f>VLOOKUP(D390,단가!B:D,3,0)</f>
        <v>#N/A</v>
      </c>
      <c r="H390" s="20" t="e">
        <f t="shared" si="15"/>
        <v>#N/A</v>
      </c>
      <c r="I390" s="20" t="e">
        <f t="shared" si="16"/>
        <v>#N/A</v>
      </c>
      <c r="J390" s="23" t="e">
        <f t="shared" si="14"/>
        <v>#N/A</v>
      </c>
    </row>
    <row r="391" spans="7:10" ht="19" customHeight="1">
      <c r="G391" s="20" t="e">
        <f>VLOOKUP(D391,단가!B:D,3,0)</f>
        <v>#N/A</v>
      </c>
      <c r="H391" s="20" t="e">
        <f t="shared" si="15"/>
        <v>#N/A</v>
      </c>
      <c r="I391" s="20" t="e">
        <f t="shared" si="16"/>
        <v>#N/A</v>
      </c>
      <c r="J391" s="23" t="e">
        <f t="shared" si="14"/>
        <v>#N/A</v>
      </c>
    </row>
    <row r="392" spans="7:10" ht="19" customHeight="1">
      <c r="G392" s="20" t="e">
        <f>VLOOKUP(D392,단가!B:D,3,0)</f>
        <v>#N/A</v>
      </c>
      <c r="H392" s="20" t="e">
        <f t="shared" si="15"/>
        <v>#N/A</v>
      </c>
      <c r="I392" s="20" t="e">
        <f t="shared" si="16"/>
        <v>#N/A</v>
      </c>
      <c r="J392" s="23" t="e">
        <f t="shared" si="14"/>
        <v>#N/A</v>
      </c>
    </row>
    <row r="393" spans="7:10" ht="19" customHeight="1">
      <c r="G393" s="20" t="e">
        <f>VLOOKUP(D393,단가!B:D,3,0)</f>
        <v>#N/A</v>
      </c>
      <c r="H393" s="20" t="e">
        <f t="shared" si="15"/>
        <v>#N/A</v>
      </c>
      <c r="I393" s="20" t="e">
        <f t="shared" si="16"/>
        <v>#N/A</v>
      </c>
      <c r="J393" s="23" t="e">
        <f t="shared" si="14"/>
        <v>#N/A</v>
      </c>
    </row>
    <row r="394" spans="7:10" ht="19" customHeight="1">
      <c r="G394" s="20" t="e">
        <f>VLOOKUP(D394,단가!B:D,3,0)</f>
        <v>#N/A</v>
      </c>
      <c r="H394" s="20" t="e">
        <f t="shared" si="15"/>
        <v>#N/A</v>
      </c>
      <c r="I394" s="20" t="e">
        <f t="shared" si="16"/>
        <v>#N/A</v>
      </c>
      <c r="J394" s="23" t="e">
        <f t="shared" ref="J394:J457" si="17">H394+I394</f>
        <v>#N/A</v>
      </c>
    </row>
    <row r="395" spans="7:10" ht="19" customHeight="1">
      <c r="G395" s="20" t="e">
        <f>VLOOKUP(D395,단가!B:D,3,0)</f>
        <v>#N/A</v>
      </c>
      <c r="H395" s="20" t="e">
        <f t="shared" ref="H395:H458" si="18">F395*G395</f>
        <v>#N/A</v>
      </c>
      <c r="I395" s="20" t="e">
        <f t="shared" ref="I395:I458" si="19">H395*0.1</f>
        <v>#N/A</v>
      </c>
      <c r="J395" s="23" t="e">
        <f t="shared" si="17"/>
        <v>#N/A</v>
      </c>
    </row>
    <row r="396" spans="7:10" ht="19" customHeight="1">
      <c r="G396" s="20" t="e">
        <f>VLOOKUP(D396,단가!B:D,3,0)</f>
        <v>#N/A</v>
      </c>
      <c r="H396" s="20" t="e">
        <f t="shared" si="18"/>
        <v>#N/A</v>
      </c>
      <c r="I396" s="20" t="e">
        <f t="shared" si="19"/>
        <v>#N/A</v>
      </c>
      <c r="J396" s="23" t="e">
        <f t="shared" si="17"/>
        <v>#N/A</v>
      </c>
    </row>
    <row r="397" spans="7:10" ht="19" customHeight="1">
      <c r="G397" s="20" t="e">
        <f>VLOOKUP(D397,단가!B:D,3,0)</f>
        <v>#N/A</v>
      </c>
      <c r="H397" s="20" t="e">
        <f t="shared" si="18"/>
        <v>#N/A</v>
      </c>
      <c r="I397" s="20" t="e">
        <f t="shared" si="19"/>
        <v>#N/A</v>
      </c>
      <c r="J397" s="23" t="e">
        <f t="shared" si="17"/>
        <v>#N/A</v>
      </c>
    </row>
    <row r="398" spans="7:10" ht="19" customHeight="1">
      <c r="G398" s="20" t="e">
        <f>VLOOKUP(D398,단가!B:D,3,0)</f>
        <v>#N/A</v>
      </c>
      <c r="H398" s="20" t="e">
        <f t="shared" si="18"/>
        <v>#N/A</v>
      </c>
      <c r="I398" s="20" t="e">
        <f t="shared" si="19"/>
        <v>#N/A</v>
      </c>
      <c r="J398" s="23" t="e">
        <f t="shared" si="17"/>
        <v>#N/A</v>
      </c>
    </row>
    <row r="399" spans="7:10" ht="19" customHeight="1">
      <c r="G399" s="20" t="e">
        <f>VLOOKUP(D399,단가!B:D,3,0)</f>
        <v>#N/A</v>
      </c>
      <c r="H399" s="20" t="e">
        <f t="shared" si="18"/>
        <v>#N/A</v>
      </c>
      <c r="I399" s="20" t="e">
        <f t="shared" si="19"/>
        <v>#N/A</v>
      </c>
      <c r="J399" s="23" t="e">
        <f t="shared" si="17"/>
        <v>#N/A</v>
      </c>
    </row>
    <row r="400" spans="7:10" ht="19" customHeight="1">
      <c r="G400" s="20" t="e">
        <f>VLOOKUP(D400,단가!B:D,3,0)</f>
        <v>#N/A</v>
      </c>
      <c r="H400" s="20" t="e">
        <f t="shared" si="18"/>
        <v>#N/A</v>
      </c>
      <c r="I400" s="20" t="e">
        <f t="shared" si="19"/>
        <v>#N/A</v>
      </c>
      <c r="J400" s="23" t="e">
        <f t="shared" si="17"/>
        <v>#N/A</v>
      </c>
    </row>
    <row r="401" spans="7:10" ht="19" customHeight="1">
      <c r="G401" s="20" t="e">
        <f>VLOOKUP(D401,단가!B:D,3,0)</f>
        <v>#N/A</v>
      </c>
      <c r="H401" s="20" t="e">
        <f t="shared" si="18"/>
        <v>#N/A</v>
      </c>
      <c r="I401" s="20" t="e">
        <f t="shared" si="19"/>
        <v>#N/A</v>
      </c>
      <c r="J401" s="23" t="e">
        <f t="shared" si="17"/>
        <v>#N/A</v>
      </c>
    </row>
    <row r="402" spans="7:10" ht="19" customHeight="1">
      <c r="G402" s="20" t="e">
        <f>VLOOKUP(D402,단가!B:D,3,0)</f>
        <v>#N/A</v>
      </c>
      <c r="H402" s="20" t="e">
        <f t="shared" si="18"/>
        <v>#N/A</v>
      </c>
      <c r="I402" s="20" t="e">
        <f t="shared" si="19"/>
        <v>#N/A</v>
      </c>
      <c r="J402" s="23" t="e">
        <f t="shared" si="17"/>
        <v>#N/A</v>
      </c>
    </row>
    <row r="403" spans="7:10" ht="19" customHeight="1">
      <c r="G403" s="20" t="e">
        <f>VLOOKUP(D403,단가!B:D,3,0)</f>
        <v>#N/A</v>
      </c>
      <c r="H403" s="20" t="e">
        <f t="shared" si="18"/>
        <v>#N/A</v>
      </c>
      <c r="I403" s="20" t="e">
        <f t="shared" si="19"/>
        <v>#N/A</v>
      </c>
      <c r="J403" s="23" t="e">
        <f t="shared" si="17"/>
        <v>#N/A</v>
      </c>
    </row>
    <row r="404" spans="7:10" ht="19" customHeight="1">
      <c r="G404" s="20" t="e">
        <f>VLOOKUP(D404,단가!B:D,3,0)</f>
        <v>#N/A</v>
      </c>
      <c r="H404" s="20" t="e">
        <f t="shared" si="18"/>
        <v>#N/A</v>
      </c>
      <c r="I404" s="20" t="e">
        <f t="shared" si="19"/>
        <v>#N/A</v>
      </c>
      <c r="J404" s="23" t="e">
        <f t="shared" si="17"/>
        <v>#N/A</v>
      </c>
    </row>
    <row r="405" spans="7:10" ht="19" customHeight="1">
      <c r="G405" s="20" t="e">
        <f>VLOOKUP(D405,단가!B:D,3,0)</f>
        <v>#N/A</v>
      </c>
      <c r="H405" s="20" t="e">
        <f t="shared" si="18"/>
        <v>#N/A</v>
      </c>
      <c r="I405" s="20" t="e">
        <f t="shared" si="19"/>
        <v>#N/A</v>
      </c>
      <c r="J405" s="23" t="e">
        <f t="shared" si="17"/>
        <v>#N/A</v>
      </c>
    </row>
    <row r="406" spans="7:10" ht="19" customHeight="1">
      <c r="G406" s="20" t="e">
        <f>VLOOKUP(D406,단가!B:D,3,0)</f>
        <v>#N/A</v>
      </c>
      <c r="H406" s="20" t="e">
        <f t="shared" si="18"/>
        <v>#N/A</v>
      </c>
      <c r="I406" s="20" t="e">
        <f t="shared" si="19"/>
        <v>#N/A</v>
      </c>
      <c r="J406" s="23" t="e">
        <f t="shared" si="17"/>
        <v>#N/A</v>
      </c>
    </row>
    <row r="407" spans="7:10" ht="19" customHeight="1">
      <c r="G407" s="20" t="e">
        <f>VLOOKUP(D407,단가!B:D,3,0)</f>
        <v>#N/A</v>
      </c>
      <c r="H407" s="20" t="e">
        <f t="shared" si="18"/>
        <v>#N/A</v>
      </c>
      <c r="I407" s="20" t="e">
        <f t="shared" si="19"/>
        <v>#N/A</v>
      </c>
      <c r="J407" s="23" t="e">
        <f t="shared" si="17"/>
        <v>#N/A</v>
      </c>
    </row>
    <row r="408" spans="7:10" ht="19" customHeight="1">
      <c r="G408" s="20" t="e">
        <f>VLOOKUP(D408,단가!B:D,3,0)</f>
        <v>#N/A</v>
      </c>
      <c r="H408" s="20" t="e">
        <f t="shared" si="18"/>
        <v>#N/A</v>
      </c>
      <c r="I408" s="20" t="e">
        <f t="shared" si="19"/>
        <v>#N/A</v>
      </c>
      <c r="J408" s="23" t="e">
        <f t="shared" si="17"/>
        <v>#N/A</v>
      </c>
    </row>
    <row r="409" spans="7:10" ht="19" customHeight="1">
      <c r="G409" s="20" t="e">
        <f>VLOOKUP(D409,단가!B:D,3,0)</f>
        <v>#N/A</v>
      </c>
      <c r="H409" s="20" t="e">
        <f t="shared" si="18"/>
        <v>#N/A</v>
      </c>
      <c r="I409" s="20" t="e">
        <f t="shared" si="19"/>
        <v>#N/A</v>
      </c>
      <c r="J409" s="23" t="e">
        <f t="shared" si="17"/>
        <v>#N/A</v>
      </c>
    </row>
    <row r="410" spans="7:10" ht="19" customHeight="1">
      <c r="G410" s="20" t="e">
        <f>VLOOKUP(D410,단가!B:D,3,0)</f>
        <v>#N/A</v>
      </c>
      <c r="H410" s="20" t="e">
        <f t="shared" si="18"/>
        <v>#N/A</v>
      </c>
      <c r="I410" s="20" t="e">
        <f t="shared" si="19"/>
        <v>#N/A</v>
      </c>
      <c r="J410" s="23" t="e">
        <f t="shared" si="17"/>
        <v>#N/A</v>
      </c>
    </row>
    <row r="411" spans="7:10" ht="19" customHeight="1">
      <c r="G411" s="20" t="e">
        <f>VLOOKUP(D411,단가!B:D,3,0)</f>
        <v>#N/A</v>
      </c>
      <c r="H411" s="20" t="e">
        <f t="shared" si="18"/>
        <v>#N/A</v>
      </c>
      <c r="I411" s="20" t="e">
        <f t="shared" si="19"/>
        <v>#N/A</v>
      </c>
      <c r="J411" s="23" t="e">
        <f t="shared" si="17"/>
        <v>#N/A</v>
      </c>
    </row>
    <row r="412" spans="7:10" ht="19" customHeight="1">
      <c r="G412" s="20" t="e">
        <f>VLOOKUP(D412,단가!B:D,3,0)</f>
        <v>#N/A</v>
      </c>
      <c r="H412" s="20" t="e">
        <f t="shared" si="18"/>
        <v>#N/A</v>
      </c>
      <c r="I412" s="20" t="e">
        <f t="shared" si="19"/>
        <v>#N/A</v>
      </c>
      <c r="J412" s="23" t="e">
        <f t="shared" si="17"/>
        <v>#N/A</v>
      </c>
    </row>
    <row r="413" spans="7:10" ht="19" customHeight="1">
      <c r="G413" s="20" t="e">
        <f>VLOOKUP(D413,단가!B:D,3,0)</f>
        <v>#N/A</v>
      </c>
      <c r="H413" s="20" t="e">
        <f t="shared" si="18"/>
        <v>#N/A</v>
      </c>
      <c r="I413" s="20" t="e">
        <f t="shared" si="19"/>
        <v>#N/A</v>
      </c>
      <c r="J413" s="23" t="e">
        <f t="shared" si="17"/>
        <v>#N/A</v>
      </c>
    </row>
    <row r="414" spans="7:10" ht="19" customHeight="1">
      <c r="G414" s="20" t="e">
        <f>VLOOKUP(D414,단가!B:D,3,0)</f>
        <v>#N/A</v>
      </c>
      <c r="H414" s="20" t="e">
        <f t="shared" si="18"/>
        <v>#N/A</v>
      </c>
      <c r="I414" s="20" t="e">
        <f t="shared" si="19"/>
        <v>#N/A</v>
      </c>
      <c r="J414" s="23" t="e">
        <f t="shared" si="17"/>
        <v>#N/A</v>
      </c>
    </row>
    <row r="415" spans="7:10" ht="19" customHeight="1">
      <c r="G415" s="20" t="e">
        <f>VLOOKUP(D415,단가!B:D,3,0)</f>
        <v>#N/A</v>
      </c>
      <c r="H415" s="20" t="e">
        <f t="shared" si="18"/>
        <v>#N/A</v>
      </c>
      <c r="I415" s="20" t="e">
        <f t="shared" si="19"/>
        <v>#N/A</v>
      </c>
      <c r="J415" s="23" t="e">
        <f t="shared" si="17"/>
        <v>#N/A</v>
      </c>
    </row>
    <row r="416" spans="7:10" ht="19" customHeight="1">
      <c r="G416" s="20" t="e">
        <f>VLOOKUP(D416,단가!B:D,3,0)</f>
        <v>#N/A</v>
      </c>
      <c r="H416" s="20" t="e">
        <f t="shared" si="18"/>
        <v>#N/A</v>
      </c>
      <c r="I416" s="20" t="e">
        <f t="shared" si="19"/>
        <v>#N/A</v>
      </c>
      <c r="J416" s="23" t="e">
        <f t="shared" si="17"/>
        <v>#N/A</v>
      </c>
    </row>
    <row r="417" spans="7:10" ht="19" customHeight="1">
      <c r="G417" s="20" t="e">
        <f>VLOOKUP(D417,단가!B:D,3,0)</f>
        <v>#N/A</v>
      </c>
      <c r="H417" s="20" t="e">
        <f t="shared" si="18"/>
        <v>#N/A</v>
      </c>
      <c r="I417" s="20" t="e">
        <f t="shared" si="19"/>
        <v>#N/A</v>
      </c>
      <c r="J417" s="23" t="e">
        <f t="shared" si="17"/>
        <v>#N/A</v>
      </c>
    </row>
    <row r="418" spans="7:10" ht="19" customHeight="1">
      <c r="G418" s="20" t="e">
        <f>VLOOKUP(D418,단가!B:D,3,0)</f>
        <v>#N/A</v>
      </c>
      <c r="H418" s="20" t="e">
        <f t="shared" si="18"/>
        <v>#N/A</v>
      </c>
      <c r="I418" s="20" t="e">
        <f t="shared" si="19"/>
        <v>#N/A</v>
      </c>
      <c r="J418" s="23" t="e">
        <f t="shared" si="17"/>
        <v>#N/A</v>
      </c>
    </row>
    <row r="419" spans="7:10" ht="19" customHeight="1">
      <c r="G419" s="20" t="e">
        <f>VLOOKUP(D419,단가!B:D,3,0)</f>
        <v>#N/A</v>
      </c>
      <c r="H419" s="20" t="e">
        <f t="shared" si="18"/>
        <v>#N/A</v>
      </c>
      <c r="I419" s="20" t="e">
        <f t="shared" si="19"/>
        <v>#N/A</v>
      </c>
      <c r="J419" s="23" t="e">
        <f t="shared" si="17"/>
        <v>#N/A</v>
      </c>
    </row>
    <row r="420" spans="7:10" ht="19" customHeight="1">
      <c r="G420" s="20" t="e">
        <f>VLOOKUP(D420,단가!B:D,3,0)</f>
        <v>#N/A</v>
      </c>
      <c r="H420" s="20" t="e">
        <f t="shared" si="18"/>
        <v>#N/A</v>
      </c>
      <c r="I420" s="20" t="e">
        <f t="shared" si="19"/>
        <v>#N/A</v>
      </c>
      <c r="J420" s="23" t="e">
        <f t="shared" si="17"/>
        <v>#N/A</v>
      </c>
    </row>
    <row r="421" spans="7:10" ht="19" customHeight="1">
      <c r="G421" s="20" t="e">
        <f>VLOOKUP(D421,단가!B:D,3,0)</f>
        <v>#N/A</v>
      </c>
      <c r="H421" s="20" t="e">
        <f t="shared" si="18"/>
        <v>#N/A</v>
      </c>
      <c r="I421" s="20" t="e">
        <f t="shared" si="19"/>
        <v>#N/A</v>
      </c>
      <c r="J421" s="23" t="e">
        <f t="shared" si="17"/>
        <v>#N/A</v>
      </c>
    </row>
    <row r="422" spans="7:10" ht="19" customHeight="1">
      <c r="G422" s="20" t="e">
        <f>VLOOKUP(D422,단가!B:D,3,0)</f>
        <v>#N/A</v>
      </c>
      <c r="H422" s="20" t="e">
        <f t="shared" si="18"/>
        <v>#N/A</v>
      </c>
      <c r="I422" s="20" t="e">
        <f t="shared" si="19"/>
        <v>#N/A</v>
      </c>
      <c r="J422" s="23" t="e">
        <f t="shared" si="17"/>
        <v>#N/A</v>
      </c>
    </row>
    <row r="423" spans="7:10" ht="19" customHeight="1">
      <c r="G423" s="20" t="e">
        <f>VLOOKUP(D423,단가!B:D,3,0)</f>
        <v>#N/A</v>
      </c>
      <c r="H423" s="20" t="e">
        <f t="shared" si="18"/>
        <v>#N/A</v>
      </c>
      <c r="I423" s="20" t="e">
        <f t="shared" si="19"/>
        <v>#N/A</v>
      </c>
      <c r="J423" s="23" t="e">
        <f t="shared" si="17"/>
        <v>#N/A</v>
      </c>
    </row>
    <row r="424" spans="7:10" ht="19" customHeight="1">
      <c r="G424" s="20" t="e">
        <f>VLOOKUP(D424,단가!B:D,3,0)</f>
        <v>#N/A</v>
      </c>
      <c r="H424" s="20" t="e">
        <f t="shared" si="18"/>
        <v>#N/A</v>
      </c>
      <c r="I424" s="20" t="e">
        <f t="shared" si="19"/>
        <v>#N/A</v>
      </c>
      <c r="J424" s="23" t="e">
        <f t="shared" si="17"/>
        <v>#N/A</v>
      </c>
    </row>
    <row r="425" spans="7:10" ht="19" customHeight="1">
      <c r="G425" s="20" t="e">
        <f>VLOOKUP(D425,단가!B:D,3,0)</f>
        <v>#N/A</v>
      </c>
      <c r="H425" s="20" t="e">
        <f t="shared" si="18"/>
        <v>#N/A</v>
      </c>
      <c r="I425" s="20" t="e">
        <f t="shared" si="19"/>
        <v>#N/A</v>
      </c>
      <c r="J425" s="23" t="e">
        <f t="shared" si="17"/>
        <v>#N/A</v>
      </c>
    </row>
    <row r="426" spans="7:10" ht="19" customHeight="1">
      <c r="G426" s="20" t="e">
        <f>VLOOKUP(D426,단가!B:D,3,0)</f>
        <v>#N/A</v>
      </c>
      <c r="H426" s="20" t="e">
        <f t="shared" si="18"/>
        <v>#N/A</v>
      </c>
      <c r="I426" s="20" t="e">
        <f t="shared" si="19"/>
        <v>#N/A</v>
      </c>
      <c r="J426" s="23" t="e">
        <f t="shared" si="17"/>
        <v>#N/A</v>
      </c>
    </row>
    <row r="427" spans="7:10" ht="19" customHeight="1">
      <c r="G427" s="20" t="e">
        <f>VLOOKUP(D427,단가!B:D,3,0)</f>
        <v>#N/A</v>
      </c>
      <c r="H427" s="20" t="e">
        <f t="shared" si="18"/>
        <v>#N/A</v>
      </c>
      <c r="I427" s="20" t="e">
        <f t="shared" si="19"/>
        <v>#N/A</v>
      </c>
      <c r="J427" s="23" t="e">
        <f t="shared" si="17"/>
        <v>#N/A</v>
      </c>
    </row>
    <row r="428" spans="7:10" ht="19" customHeight="1">
      <c r="G428" s="20" t="e">
        <f>VLOOKUP(D428,단가!B:D,3,0)</f>
        <v>#N/A</v>
      </c>
      <c r="H428" s="20" t="e">
        <f t="shared" si="18"/>
        <v>#N/A</v>
      </c>
      <c r="I428" s="20" t="e">
        <f t="shared" si="19"/>
        <v>#N/A</v>
      </c>
      <c r="J428" s="23" t="e">
        <f t="shared" si="17"/>
        <v>#N/A</v>
      </c>
    </row>
    <row r="429" spans="7:10" ht="19" customHeight="1">
      <c r="G429" s="20" t="e">
        <f>VLOOKUP(D429,단가!B:D,3,0)</f>
        <v>#N/A</v>
      </c>
      <c r="H429" s="20" t="e">
        <f t="shared" si="18"/>
        <v>#N/A</v>
      </c>
      <c r="I429" s="20" t="e">
        <f t="shared" si="19"/>
        <v>#N/A</v>
      </c>
      <c r="J429" s="23" t="e">
        <f t="shared" si="17"/>
        <v>#N/A</v>
      </c>
    </row>
    <row r="430" spans="7:10" ht="19" customHeight="1">
      <c r="G430" s="20" t="e">
        <f>VLOOKUP(D430,단가!B:D,3,0)</f>
        <v>#N/A</v>
      </c>
      <c r="H430" s="20" t="e">
        <f t="shared" si="18"/>
        <v>#N/A</v>
      </c>
      <c r="I430" s="20" t="e">
        <f t="shared" si="19"/>
        <v>#N/A</v>
      </c>
      <c r="J430" s="23" t="e">
        <f t="shared" si="17"/>
        <v>#N/A</v>
      </c>
    </row>
    <row r="431" spans="7:10" ht="19" customHeight="1">
      <c r="G431" s="20" t="e">
        <f>VLOOKUP(D431,단가!B:D,3,0)</f>
        <v>#N/A</v>
      </c>
      <c r="H431" s="20" t="e">
        <f t="shared" si="18"/>
        <v>#N/A</v>
      </c>
      <c r="I431" s="20" t="e">
        <f t="shared" si="19"/>
        <v>#N/A</v>
      </c>
      <c r="J431" s="23" t="e">
        <f t="shared" si="17"/>
        <v>#N/A</v>
      </c>
    </row>
    <row r="432" spans="7:10" ht="19" customHeight="1">
      <c r="G432" s="20" t="e">
        <f>VLOOKUP(D432,단가!B:D,3,0)</f>
        <v>#N/A</v>
      </c>
      <c r="H432" s="20" t="e">
        <f t="shared" si="18"/>
        <v>#N/A</v>
      </c>
      <c r="I432" s="20" t="e">
        <f t="shared" si="19"/>
        <v>#N/A</v>
      </c>
      <c r="J432" s="23" t="e">
        <f t="shared" si="17"/>
        <v>#N/A</v>
      </c>
    </row>
    <row r="433" spans="7:10" ht="19" customHeight="1">
      <c r="G433" s="20" t="e">
        <f>VLOOKUP(D433,단가!B:D,3,0)</f>
        <v>#N/A</v>
      </c>
      <c r="H433" s="20" t="e">
        <f t="shared" si="18"/>
        <v>#N/A</v>
      </c>
      <c r="I433" s="20" t="e">
        <f t="shared" si="19"/>
        <v>#N/A</v>
      </c>
      <c r="J433" s="23" t="e">
        <f t="shared" si="17"/>
        <v>#N/A</v>
      </c>
    </row>
    <row r="434" spans="7:10" ht="19" customHeight="1">
      <c r="G434" s="20" t="e">
        <f>VLOOKUP(D434,단가!B:D,3,0)</f>
        <v>#N/A</v>
      </c>
      <c r="H434" s="20" t="e">
        <f t="shared" si="18"/>
        <v>#N/A</v>
      </c>
      <c r="I434" s="20" t="e">
        <f t="shared" si="19"/>
        <v>#N/A</v>
      </c>
      <c r="J434" s="23" t="e">
        <f t="shared" si="17"/>
        <v>#N/A</v>
      </c>
    </row>
    <row r="435" spans="7:10" ht="19" customHeight="1">
      <c r="G435" s="20" t="e">
        <f>VLOOKUP(D435,단가!B:D,3,0)</f>
        <v>#N/A</v>
      </c>
      <c r="H435" s="20" t="e">
        <f t="shared" si="18"/>
        <v>#N/A</v>
      </c>
      <c r="I435" s="20" t="e">
        <f t="shared" si="19"/>
        <v>#N/A</v>
      </c>
      <c r="J435" s="23" t="e">
        <f t="shared" si="17"/>
        <v>#N/A</v>
      </c>
    </row>
    <row r="436" spans="7:10" ht="19" customHeight="1">
      <c r="G436" s="20" t="e">
        <f>VLOOKUP(D436,단가!B:D,3,0)</f>
        <v>#N/A</v>
      </c>
      <c r="H436" s="20" t="e">
        <f t="shared" si="18"/>
        <v>#N/A</v>
      </c>
      <c r="I436" s="20" t="e">
        <f t="shared" si="19"/>
        <v>#N/A</v>
      </c>
      <c r="J436" s="23" t="e">
        <f t="shared" si="17"/>
        <v>#N/A</v>
      </c>
    </row>
    <row r="437" spans="7:10" ht="19" customHeight="1">
      <c r="G437" s="20" t="e">
        <f>VLOOKUP(D437,단가!B:D,3,0)</f>
        <v>#N/A</v>
      </c>
      <c r="H437" s="20" t="e">
        <f t="shared" si="18"/>
        <v>#N/A</v>
      </c>
      <c r="I437" s="20" t="e">
        <f t="shared" si="19"/>
        <v>#N/A</v>
      </c>
      <c r="J437" s="23" t="e">
        <f t="shared" si="17"/>
        <v>#N/A</v>
      </c>
    </row>
    <row r="438" spans="7:10" ht="19" customHeight="1">
      <c r="G438" s="20" t="e">
        <f>VLOOKUP(D438,단가!B:D,3,0)</f>
        <v>#N/A</v>
      </c>
      <c r="H438" s="20" t="e">
        <f t="shared" si="18"/>
        <v>#N/A</v>
      </c>
      <c r="I438" s="20" t="e">
        <f t="shared" si="19"/>
        <v>#N/A</v>
      </c>
      <c r="J438" s="23" t="e">
        <f t="shared" si="17"/>
        <v>#N/A</v>
      </c>
    </row>
    <row r="439" spans="7:10" ht="19" customHeight="1">
      <c r="G439" s="20" t="e">
        <f>VLOOKUP(D439,단가!B:D,3,0)</f>
        <v>#N/A</v>
      </c>
      <c r="H439" s="20" t="e">
        <f t="shared" si="18"/>
        <v>#N/A</v>
      </c>
      <c r="I439" s="20" t="e">
        <f t="shared" si="19"/>
        <v>#N/A</v>
      </c>
      <c r="J439" s="23" t="e">
        <f t="shared" si="17"/>
        <v>#N/A</v>
      </c>
    </row>
    <row r="440" spans="7:10" ht="19" customHeight="1">
      <c r="G440" s="20" t="e">
        <f>VLOOKUP(D440,단가!B:D,3,0)</f>
        <v>#N/A</v>
      </c>
      <c r="H440" s="20" t="e">
        <f t="shared" si="18"/>
        <v>#N/A</v>
      </c>
      <c r="I440" s="20" t="e">
        <f t="shared" si="19"/>
        <v>#N/A</v>
      </c>
      <c r="J440" s="23" t="e">
        <f t="shared" si="17"/>
        <v>#N/A</v>
      </c>
    </row>
    <row r="441" spans="7:10" ht="19" customHeight="1">
      <c r="G441" s="20" t="e">
        <f>VLOOKUP(D441,단가!B:D,3,0)</f>
        <v>#N/A</v>
      </c>
      <c r="H441" s="20" t="e">
        <f t="shared" si="18"/>
        <v>#N/A</v>
      </c>
      <c r="I441" s="20" t="e">
        <f t="shared" si="19"/>
        <v>#N/A</v>
      </c>
      <c r="J441" s="23" t="e">
        <f t="shared" si="17"/>
        <v>#N/A</v>
      </c>
    </row>
    <row r="442" spans="7:10" ht="19" customHeight="1">
      <c r="G442" s="20" t="e">
        <f>VLOOKUP(D442,단가!B:D,3,0)</f>
        <v>#N/A</v>
      </c>
      <c r="H442" s="20" t="e">
        <f t="shared" si="18"/>
        <v>#N/A</v>
      </c>
      <c r="I442" s="20" t="e">
        <f t="shared" si="19"/>
        <v>#N/A</v>
      </c>
      <c r="J442" s="23" t="e">
        <f t="shared" si="17"/>
        <v>#N/A</v>
      </c>
    </row>
    <row r="443" spans="7:10" ht="19" customHeight="1">
      <c r="G443" s="20" t="e">
        <f>VLOOKUP(D443,단가!B:D,3,0)</f>
        <v>#N/A</v>
      </c>
      <c r="H443" s="20" t="e">
        <f t="shared" si="18"/>
        <v>#N/A</v>
      </c>
      <c r="I443" s="20" t="e">
        <f t="shared" si="19"/>
        <v>#N/A</v>
      </c>
      <c r="J443" s="23" t="e">
        <f t="shared" si="17"/>
        <v>#N/A</v>
      </c>
    </row>
    <row r="444" spans="7:10" ht="19" customHeight="1">
      <c r="G444" s="20" t="e">
        <f>VLOOKUP(D444,단가!B:D,3,0)</f>
        <v>#N/A</v>
      </c>
      <c r="H444" s="20" t="e">
        <f t="shared" si="18"/>
        <v>#N/A</v>
      </c>
      <c r="I444" s="20" t="e">
        <f t="shared" si="19"/>
        <v>#N/A</v>
      </c>
      <c r="J444" s="23" t="e">
        <f t="shared" si="17"/>
        <v>#N/A</v>
      </c>
    </row>
    <row r="445" spans="7:10" ht="19" customHeight="1">
      <c r="G445" s="20" t="e">
        <f>VLOOKUP(D445,단가!B:D,3,0)</f>
        <v>#N/A</v>
      </c>
      <c r="H445" s="20" t="e">
        <f t="shared" si="18"/>
        <v>#N/A</v>
      </c>
      <c r="I445" s="20" t="e">
        <f t="shared" si="19"/>
        <v>#N/A</v>
      </c>
      <c r="J445" s="23" t="e">
        <f t="shared" si="17"/>
        <v>#N/A</v>
      </c>
    </row>
    <row r="446" spans="7:10" ht="19" customHeight="1">
      <c r="G446" s="20" t="e">
        <f>VLOOKUP(D446,단가!B:D,3,0)</f>
        <v>#N/A</v>
      </c>
      <c r="H446" s="20" t="e">
        <f t="shared" si="18"/>
        <v>#N/A</v>
      </c>
      <c r="I446" s="20" t="e">
        <f t="shared" si="19"/>
        <v>#N/A</v>
      </c>
      <c r="J446" s="23" t="e">
        <f t="shared" si="17"/>
        <v>#N/A</v>
      </c>
    </row>
    <row r="447" spans="7:10" ht="19" customHeight="1">
      <c r="G447" s="20" t="e">
        <f>VLOOKUP(D447,단가!B:D,3,0)</f>
        <v>#N/A</v>
      </c>
      <c r="H447" s="20" t="e">
        <f t="shared" si="18"/>
        <v>#N/A</v>
      </c>
      <c r="I447" s="20" t="e">
        <f t="shared" si="19"/>
        <v>#N/A</v>
      </c>
      <c r="J447" s="23" t="e">
        <f t="shared" si="17"/>
        <v>#N/A</v>
      </c>
    </row>
    <row r="448" spans="7:10" ht="19" customHeight="1">
      <c r="G448" s="20" t="e">
        <f>VLOOKUP(D448,단가!B:D,3,0)</f>
        <v>#N/A</v>
      </c>
      <c r="H448" s="20" t="e">
        <f t="shared" si="18"/>
        <v>#N/A</v>
      </c>
      <c r="I448" s="20" t="e">
        <f t="shared" si="19"/>
        <v>#N/A</v>
      </c>
      <c r="J448" s="23" t="e">
        <f t="shared" si="17"/>
        <v>#N/A</v>
      </c>
    </row>
    <row r="449" spans="7:10" ht="19" customHeight="1">
      <c r="G449" s="20" t="e">
        <f>VLOOKUP(D449,단가!B:D,3,0)</f>
        <v>#N/A</v>
      </c>
      <c r="H449" s="20" t="e">
        <f t="shared" si="18"/>
        <v>#N/A</v>
      </c>
      <c r="I449" s="20" t="e">
        <f t="shared" si="19"/>
        <v>#N/A</v>
      </c>
      <c r="J449" s="23" t="e">
        <f t="shared" si="17"/>
        <v>#N/A</v>
      </c>
    </row>
    <row r="450" spans="7:10" ht="19" customHeight="1">
      <c r="G450" s="20" t="e">
        <f>VLOOKUP(D450,단가!B:D,3,0)</f>
        <v>#N/A</v>
      </c>
      <c r="H450" s="20" t="e">
        <f t="shared" si="18"/>
        <v>#N/A</v>
      </c>
      <c r="I450" s="20" t="e">
        <f t="shared" si="19"/>
        <v>#N/A</v>
      </c>
      <c r="J450" s="23" t="e">
        <f t="shared" si="17"/>
        <v>#N/A</v>
      </c>
    </row>
    <row r="451" spans="7:10" ht="19" customHeight="1">
      <c r="G451" s="20" t="e">
        <f>VLOOKUP(D451,단가!B:D,3,0)</f>
        <v>#N/A</v>
      </c>
      <c r="H451" s="20" t="e">
        <f t="shared" si="18"/>
        <v>#N/A</v>
      </c>
      <c r="I451" s="20" t="e">
        <f t="shared" si="19"/>
        <v>#N/A</v>
      </c>
      <c r="J451" s="23" t="e">
        <f t="shared" si="17"/>
        <v>#N/A</v>
      </c>
    </row>
    <row r="452" spans="7:10" ht="19" customHeight="1">
      <c r="G452" s="20" t="e">
        <f>VLOOKUP(D452,단가!B:D,3,0)</f>
        <v>#N/A</v>
      </c>
      <c r="H452" s="20" t="e">
        <f t="shared" si="18"/>
        <v>#N/A</v>
      </c>
      <c r="I452" s="20" t="e">
        <f t="shared" si="19"/>
        <v>#N/A</v>
      </c>
      <c r="J452" s="23" t="e">
        <f t="shared" si="17"/>
        <v>#N/A</v>
      </c>
    </row>
    <row r="453" spans="7:10" ht="19" customHeight="1">
      <c r="G453" s="20" t="e">
        <f>VLOOKUP(D453,단가!B:D,3,0)</f>
        <v>#N/A</v>
      </c>
      <c r="H453" s="20" t="e">
        <f t="shared" si="18"/>
        <v>#N/A</v>
      </c>
      <c r="I453" s="20" t="e">
        <f t="shared" si="19"/>
        <v>#N/A</v>
      </c>
      <c r="J453" s="23" t="e">
        <f t="shared" si="17"/>
        <v>#N/A</v>
      </c>
    </row>
    <row r="454" spans="7:10" ht="19" customHeight="1">
      <c r="G454" s="20" t="e">
        <f>VLOOKUP(D454,단가!B:D,3,0)</f>
        <v>#N/A</v>
      </c>
      <c r="H454" s="20" t="e">
        <f t="shared" si="18"/>
        <v>#N/A</v>
      </c>
      <c r="I454" s="20" t="e">
        <f t="shared" si="19"/>
        <v>#N/A</v>
      </c>
      <c r="J454" s="23" t="e">
        <f t="shared" si="17"/>
        <v>#N/A</v>
      </c>
    </row>
    <row r="455" spans="7:10" ht="19" customHeight="1">
      <c r="G455" s="20" t="e">
        <f>VLOOKUP(D455,단가!B:D,3,0)</f>
        <v>#N/A</v>
      </c>
      <c r="H455" s="20" t="e">
        <f t="shared" si="18"/>
        <v>#N/A</v>
      </c>
      <c r="I455" s="20" t="e">
        <f t="shared" si="19"/>
        <v>#N/A</v>
      </c>
      <c r="J455" s="23" t="e">
        <f t="shared" si="17"/>
        <v>#N/A</v>
      </c>
    </row>
    <row r="456" spans="7:10" ht="19" customHeight="1">
      <c r="G456" s="20" t="e">
        <f>VLOOKUP(D456,단가!B:D,3,0)</f>
        <v>#N/A</v>
      </c>
      <c r="H456" s="20" t="e">
        <f t="shared" si="18"/>
        <v>#N/A</v>
      </c>
      <c r="I456" s="20" t="e">
        <f t="shared" si="19"/>
        <v>#N/A</v>
      </c>
      <c r="J456" s="23" t="e">
        <f t="shared" si="17"/>
        <v>#N/A</v>
      </c>
    </row>
    <row r="457" spans="7:10" ht="19" customHeight="1">
      <c r="G457" s="20" t="e">
        <f>VLOOKUP(D457,단가!B:D,3,0)</f>
        <v>#N/A</v>
      </c>
      <c r="H457" s="20" t="e">
        <f t="shared" si="18"/>
        <v>#N/A</v>
      </c>
      <c r="I457" s="20" t="e">
        <f t="shared" si="19"/>
        <v>#N/A</v>
      </c>
      <c r="J457" s="23" t="e">
        <f t="shared" si="17"/>
        <v>#N/A</v>
      </c>
    </row>
    <row r="458" spans="7:10" ht="19" customHeight="1">
      <c r="G458" s="20" t="e">
        <f>VLOOKUP(D458,단가!B:D,3,0)</f>
        <v>#N/A</v>
      </c>
      <c r="H458" s="20" t="e">
        <f t="shared" si="18"/>
        <v>#N/A</v>
      </c>
      <c r="I458" s="20" t="e">
        <f t="shared" si="19"/>
        <v>#N/A</v>
      </c>
      <c r="J458" s="23" t="e">
        <f t="shared" ref="J458:J521" si="20">H458+I458</f>
        <v>#N/A</v>
      </c>
    </row>
    <row r="459" spans="7:10" ht="19" customHeight="1">
      <c r="G459" s="20" t="e">
        <f>VLOOKUP(D459,단가!B:D,3,0)</f>
        <v>#N/A</v>
      </c>
      <c r="H459" s="20" t="e">
        <f t="shared" ref="H459:H522" si="21">F459*G459</f>
        <v>#N/A</v>
      </c>
      <c r="I459" s="20" t="e">
        <f t="shared" ref="I459:I522" si="22">H459*0.1</f>
        <v>#N/A</v>
      </c>
      <c r="J459" s="23" t="e">
        <f t="shared" si="20"/>
        <v>#N/A</v>
      </c>
    </row>
    <row r="460" spans="7:10" ht="19" customHeight="1">
      <c r="G460" s="20" t="e">
        <f>VLOOKUP(D460,단가!B:D,3,0)</f>
        <v>#N/A</v>
      </c>
      <c r="H460" s="20" t="e">
        <f t="shared" si="21"/>
        <v>#N/A</v>
      </c>
      <c r="I460" s="20" t="e">
        <f t="shared" si="22"/>
        <v>#N/A</v>
      </c>
      <c r="J460" s="23" t="e">
        <f t="shared" si="20"/>
        <v>#N/A</v>
      </c>
    </row>
    <row r="461" spans="7:10" ht="19" customHeight="1">
      <c r="G461" s="20" t="e">
        <f>VLOOKUP(D461,단가!B:D,3,0)</f>
        <v>#N/A</v>
      </c>
      <c r="H461" s="20" t="e">
        <f t="shared" si="21"/>
        <v>#N/A</v>
      </c>
      <c r="I461" s="20" t="e">
        <f t="shared" si="22"/>
        <v>#N/A</v>
      </c>
      <c r="J461" s="23" t="e">
        <f t="shared" si="20"/>
        <v>#N/A</v>
      </c>
    </row>
    <row r="462" spans="7:10" ht="19" customHeight="1">
      <c r="G462" s="20" t="e">
        <f>VLOOKUP(D462,단가!B:D,3,0)</f>
        <v>#N/A</v>
      </c>
      <c r="H462" s="20" t="e">
        <f t="shared" si="21"/>
        <v>#N/A</v>
      </c>
      <c r="I462" s="20" t="e">
        <f t="shared" si="22"/>
        <v>#N/A</v>
      </c>
      <c r="J462" s="23" t="e">
        <f t="shared" si="20"/>
        <v>#N/A</v>
      </c>
    </row>
    <row r="463" spans="7:10" ht="19" customHeight="1">
      <c r="G463" s="20" t="e">
        <f>VLOOKUP(D463,단가!B:D,3,0)</f>
        <v>#N/A</v>
      </c>
      <c r="H463" s="20" t="e">
        <f t="shared" si="21"/>
        <v>#N/A</v>
      </c>
      <c r="I463" s="20" t="e">
        <f t="shared" si="22"/>
        <v>#N/A</v>
      </c>
      <c r="J463" s="23" t="e">
        <f t="shared" si="20"/>
        <v>#N/A</v>
      </c>
    </row>
    <row r="464" spans="7:10" ht="19" customHeight="1">
      <c r="G464" s="20" t="e">
        <f>VLOOKUP(D464,단가!B:D,3,0)</f>
        <v>#N/A</v>
      </c>
      <c r="H464" s="20" t="e">
        <f t="shared" si="21"/>
        <v>#N/A</v>
      </c>
      <c r="I464" s="20" t="e">
        <f t="shared" si="22"/>
        <v>#N/A</v>
      </c>
      <c r="J464" s="23" t="e">
        <f t="shared" si="20"/>
        <v>#N/A</v>
      </c>
    </row>
    <row r="465" spans="7:10" ht="19" customHeight="1">
      <c r="G465" s="20" t="e">
        <f>VLOOKUP(D465,단가!B:D,3,0)</f>
        <v>#N/A</v>
      </c>
      <c r="H465" s="20" t="e">
        <f t="shared" si="21"/>
        <v>#N/A</v>
      </c>
      <c r="I465" s="20" t="e">
        <f t="shared" si="22"/>
        <v>#N/A</v>
      </c>
      <c r="J465" s="23" t="e">
        <f t="shared" si="20"/>
        <v>#N/A</v>
      </c>
    </row>
    <row r="466" spans="7:10" ht="19" customHeight="1">
      <c r="G466" s="20" t="e">
        <f>VLOOKUP(D466,단가!B:D,3,0)</f>
        <v>#N/A</v>
      </c>
      <c r="H466" s="20" t="e">
        <f t="shared" si="21"/>
        <v>#N/A</v>
      </c>
      <c r="I466" s="20" t="e">
        <f t="shared" si="22"/>
        <v>#N/A</v>
      </c>
      <c r="J466" s="23" t="e">
        <f t="shared" si="20"/>
        <v>#N/A</v>
      </c>
    </row>
    <row r="467" spans="7:10" ht="19" customHeight="1">
      <c r="G467" s="20" t="e">
        <f>VLOOKUP(D467,단가!B:D,3,0)</f>
        <v>#N/A</v>
      </c>
      <c r="H467" s="20" t="e">
        <f t="shared" si="21"/>
        <v>#N/A</v>
      </c>
      <c r="I467" s="20" t="e">
        <f t="shared" si="22"/>
        <v>#N/A</v>
      </c>
      <c r="J467" s="23" t="e">
        <f t="shared" si="20"/>
        <v>#N/A</v>
      </c>
    </row>
    <row r="468" spans="7:10" ht="19" customHeight="1">
      <c r="G468" s="20" t="e">
        <f>VLOOKUP(D468,단가!B:D,3,0)</f>
        <v>#N/A</v>
      </c>
      <c r="H468" s="20" t="e">
        <f t="shared" si="21"/>
        <v>#N/A</v>
      </c>
      <c r="I468" s="20" t="e">
        <f t="shared" si="22"/>
        <v>#N/A</v>
      </c>
      <c r="J468" s="23" t="e">
        <f t="shared" si="20"/>
        <v>#N/A</v>
      </c>
    </row>
    <row r="469" spans="7:10" ht="19" customHeight="1">
      <c r="G469" s="20" t="e">
        <f>VLOOKUP(D469,단가!B:D,3,0)</f>
        <v>#N/A</v>
      </c>
      <c r="H469" s="20" t="e">
        <f t="shared" si="21"/>
        <v>#N/A</v>
      </c>
      <c r="I469" s="20" t="e">
        <f t="shared" si="22"/>
        <v>#N/A</v>
      </c>
      <c r="J469" s="23" t="e">
        <f t="shared" si="20"/>
        <v>#N/A</v>
      </c>
    </row>
    <row r="470" spans="7:10" ht="19" customHeight="1">
      <c r="G470" s="20" t="e">
        <f>VLOOKUP(D470,단가!B:D,3,0)</f>
        <v>#N/A</v>
      </c>
      <c r="H470" s="20" t="e">
        <f t="shared" si="21"/>
        <v>#N/A</v>
      </c>
      <c r="I470" s="20" t="e">
        <f t="shared" si="22"/>
        <v>#N/A</v>
      </c>
      <c r="J470" s="23" t="e">
        <f t="shared" si="20"/>
        <v>#N/A</v>
      </c>
    </row>
    <row r="471" spans="7:10" ht="19" customHeight="1">
      <c r="G471" s="20" t="e">
        <f>VLOOKUP(D471,단가!B:D,3,0)</f>
        <v>#N/A</v>
      </c>
      <c r="H471" s="20" t="e">
        <f t="shared" si="21"/>
        <v>#N/A</v>
      </c>
      <c r="I471" s="20" t="e">
        <f t="shared" si="22"/>
        <v>#N/A</v>
      </c>
      <c r="J471" s="23" t="e">
        <f t="shared" si="20"/>
        <v>#N/A</v>
      </c>
    </row>
    <row r="472" spans="7:10" ht="19" customHeight="1">
      <c r="G472" s="20" t="e">
        <f>VLOOKUP(D472,단가!B:D,3,0)</f>
        <v>#N/A</v>
      </c>
      <c r="H472" s="20" t="e">
        <f t="shared" si="21"/>
        <v>#N/A</v>
      </c>
      <c r="I472" s="20" t="e">
        <f t="shared" si="22"/>
        <v>#N/A</v>
      </c>
      <c r="J472" s="23" t="e">
        <f t="shared" si="20"/>
        <v>#N/A</v>
      </c>
    </row>
    <row r="473" spans="7:10" ht="19" customHeight="1">
      <c r="G473" s="20" t="e">
        <f>VLOOKUP(D473,단가!B:D,3,0)</f>
        <v>#N/A</v>
      </c>
      <c r="H473" s="20" t="e">
        <f t="shared" si="21"/>
        <v>#N/A</v>
      </c>
      <c r="I473" s="20" t="e">
        <f t="shared" si="22"/>
        <v>#N/A</v>
      </c>
      <c r="J473" s="23" t="e">
        <f t="shared" si="20"/>
        <v>#N/A</v>
      </c>
    </row>
    <row r="474" spans="7:10" ht="19" customHeight="1">
      <c r="G474" s="20" t="e">
        <f>VLOOKUP(D474,단가!B:D,3,0)</f>
        <v>#N/A</v>
      </c>
      <c r="H474" s="20" t="e">
        <f t="shared" si="21"/>
        <v>#N/A</v>
      </c>
      <c r="I474" s="20" t="e">
        <f t="shared" si="22"/>
        <v>#N/A</v>
      </c>
      <c r="J474" s="23" t="e">
        <f t="shared" si="20"/>
        <v>#N/A</v>
      </c>
    </row>
    <row r="475" spans="7:10" ht="19" customHeight="1">
      <c r="G475" s="20" t="e">
        <f>VLOOKUP(D475,단가!B:D,3,0)</f>
        <v>#N/A</v>
      </c>
      <c r="H475" s="20" t="e">
        <f t="shared" si="21"/>
        <v>#N/A</v>
      </c>
      <c r="I475" s="20" t="e">
        <f t="shared" si="22"/>
        <v>#N/A</v>
      </c>
      <c r="J475" s="23" t="e">
        <f t="shared" si="20"/>
        <v>#N/A</v>
      </c>
    </row>
    <row r="476" spans="7:10" ht="19" customHeight="1">
      <c r="G476" s="20" t="e">
        <f>VLOOKUP(D476,단가!B:D,3,0)</f>
        <v>#N/A</v>
      </c>
      <c r="H476" s="20" t="e">
        <f t="shared" si="21"/>
        <v>#N/A</v>
      </c>
      <c r="I476" s="20" t="e">
        <f t="shared" si="22"/>
        <v>#N/A</v>
      </c>
      <c r="J476" s="23" t="e">
        <f t="shared" si="20"/>
        <v>#N/A</v>
      </c>
    </row>
    <row r="477" spans="7:10" ht="19" customHeight="1">
      <c r="G477" s="20" t="e">
        <f>VLOOKUP(D477,단가!B:D,3,0)</f>
        <v>#N/A</v>
      </c>
      <c r="H477" s="20" t="e">
        <f t="shared" si="21"/>
        <v>#N/A</v>
      </c>
      <c r="I477" s="20" t="e">
        <f t="shared" si="22"/>
        <v>#N/A</v>
      </c>
      <c r="J477" s="23" t="e">
        <f t="shared" si="20"/>
        <v>#N/A</v>
      </c>
    </row>
    <row r="478" spans="7:10" ht="19" customHeight="1">
      <c r="G478" s="20" t="e">
        <f>VLOOKUP(D478,단가!B:D,3,0)</f>
        <v>#N/A</v>
      </c>
      <c r="H478" s="20" t="e">
        <f t="shared" si="21"/>
        <v>#N/A</v>
      </c>
      <c r="I478" s="20" t="e">
        <f t="shared" si="22"/>
        <v>#N/A</v>
      </c>
      <c r="J478" s="23" t="e">
        <f t="shared" si="20"/>
        <v>#N/A</v>
      </c>
    </row>
    <row r="479" spans="7:10" ht="19" customHeight="1">
      <c r="G479" s="20" t="e">
        <f>VLOOKUP(D479,단가!B:D,3,0)</f>
        <v>#N/A</v>
      </c>
      <c r="H479" s="20" t="e">
        <f t="shared" si="21"/>
        <v>#N/A</v>
      </c>
      <c r="I479" s="20" t="e">
        <f t="shared" si="22"/>
        <v>#N/A</v>
      </c>
      <c r="J479" s="23" t="e">
        <f t="shared" si="20"/>
        <v>#N/A</v>
      </c>
    </row>
    <row r="480" spans="7:10" ht="19" customHeight="1">
      <c r="G480" s="20" t="e">
        <f>VLOOKUP(D480,단가!B:D,3,0)</f>
        <v>#N/A</v>
      </c>
      <c r="H480" s="20" t="e">
        <f t="shared" si="21"/>
        <v>#N/A</v>
      </c>
      <c r="I480" s="20" t="e">
        <f t="shared" si="22"/>
        <v>#N/A</v>
      </c>
      <c r="J480" s="23" t="e">
        <f t="shared" si="20"/>
        <v>#N/A</v>
      </c>
    </row>
    <row r="481" spans="7:10" ht="19" customHeight="1">
      <c r="G481" s="20" t="e">
        <f>VLOOKUP(D481,단가!B:D,3,0)</f>
        <v>#N/A</v>
      </c>
      <c r="H481" s="20" t="e">
        <f t="shared" si="21"/>
        <v>#N/A</v>
      </c>
      <c r="I481" s="20" t="e">
        <f t="shared" si="22"/>
        <v>#N/A</v>
      </c>
      <c r="J481" s="23" t="e">
        <f t="shared" si="20"/>
        <v>#N/A</v>
      </c>
    </row>
    <row r="482" spans="7:10" ht="19" customHeight="1">
      <c r="G482" s="20" t="e">
        <f>VLOOKUP(D482,단가!B:D,3,0)</f>
        <v>#N/A</v>
      </c>
      <c r="H482" s="20" t="e">
        <f t="shared" si="21"/>
        <v>#N/A</v>
      </c>
      <c r="I482" s="20" t="e">
        <f t="shared" si="22"/>
        <v>#N/A</v>
      </c>
      <c r="J482" s="23" t="e">
        <f t="shared" si="20"/>
        <v>#N/A</v>
      </c>
    </row>
    <row r="483" spans="7:10" ht="19" customHeight="1">
      <c r="G483" s="20" t="e">
        <f>VLOOKUP(D483,단가!B:D,3,0)</f>
        <v>#N/A</v>
      </c>
      <c r="H483" s="20" t="e">
        <f t="shared" si="21"/>
        <v>#N/A</v>
      </c>
      <c r="I483" s="20" t="e">
        <f t="shared" si="22"/>
        <v>#N/A</v>
      </c>
      <c r="J483" s="23" t="e">
        <f t="shared" si="20"/>
        <v>#N/A</v>
      </c>
    </row>
    <row r="484" spans="7:10" ht="19" customHeight="1">
      <c r="G484" s="20" t="e">
        <f>VLOOKUP(D484,단가!B:D,3,0)</f>
        <v>#N/A</v>
      </c>
      <c r="H484" s="20" t="e">
        <f t="shared" si="21"/>
        <v>#N/A</v>
      </c>
      <c r="I484" s="20" t="e">
        <f t="shared" si="22"/>
        <v>#N/A</v>
      </c>
      <c r="J484" s="23" t="e">
        <f t="shared" si="20"/>
        <v>#N/A</v>
      </c>
    </row>
    <row r="485" spans="7:10" ht="19" customHeight="1">
      <c r="G485" s="20" t="e">
        <f>VLOOKUP(D485,단가!B:D,3,0)</f>
        <v>#N/A</v>
      </c>
      <c r="H485" s="20" t="e">
        <f t="shared" si="21"/>
        <v>#N/A</v>
      </c>
      <c r="I485" s="20" t="e">
        <f t="shared" si="22"/>
        <v>#N/A</v>
      </c>
      <c r="J485" s="23" t="e">
        <f t="shared" si="20"/>
        <v>#N/A</v>
      </c>
    </row>
    <row r="486" spans="7:10" ht="19" customHeight="1">
      <c r="G486" s="20" t="e">
        <f>VLOOKUP(D486,단가!B:D,3,0)</f>
        <v>#N/A</v>
      </c>
      <c r="H486" s="20" t="e">
        <f t="shared" si="21"/>
        <v>#N/A</v>
      </c>
      <c r="I486" s="20" t="e">
        <f t="shared" si="22"/>
        <v>#N/A</v>
      </c>
      <c r="J486" s="23" t="e">
        <f t="shared" si="20"/>
        <v>#N/A</v>
      </c>
    </row>
    <row r="487" spans="7:10" ht="19" customHeight="1">
      <c r="G487" s="20" t="e">
        <f>VLOOKUP(D487,단가!B:D,3,0)</f>
        <v>#N/A</v>
      </c>
      <c r="H487" s="20" t="e">
        <f t="shared" si="21"/>
        <v>#N/A</v>
      </c>
      <c r="I487" s="20" t="e">
        <f t="shared" si="22"/>
        <v>#N/A</v>
      </c>
      <c r="J487" s="23" t="e">
        <f t="shared" si="20"/>
        <v>#N/A</v>
      </c>
    </row>
    <row r="488" spans="7:10" ht="19" customHeight="1">
      <c r="G488" s="20" t="e">
        <f>VLOOKUP(D488,단가!B:D,3,0)</f>
        <v>#N/A</v>
      </c>
      <c r="H488" s="20" t="e">
        <f t="shared" si="21"/>
        <v>#N/A</v>
      </c>
      <c r="I488" s="20" t="e">
        <f t="shared" si="22"/>
        <v>#N/A</v>
      </c>
      <c r="J488" s="23" t="e">
        <f t="shared" si="20"/>
        <v>#N/A</v>
      </c>
    </row>
    <row r="489" spans="7:10" ht="19" customHeight="1">
      <c r="G489" s="20" t="e">
        <f>VLOOKUP(D489,단가!B:D,3,0)</f>
        <v>#N/A</v>
      </c>
      <c r="H489" s="20" t="e">
        <f t="shared" si="21"/>
        <v>#N/A</v>
      </c>
      <c r="I489" s="20" t="e">
        <f t="shared" si="22"/>
        <v>#N/A</v>
      </c>
      <c r="J489" s="23" t="e">
        <f t="shared" si="20"/>
        <v>#N/A</v>
      </c>
    </row>
    <row r="490" spans="7:10" ht="19" customHeight="1">
      <c r="G490" s="20" t="e">
        <f>VLOOKUP(D490,단가!B:D,3,0)</f>
        <v>#N/A</v>
      </c>
      <c r="H490" s="20" t="e">
        <f t="shared" si="21"/>
        <v>#N/A</v>
      </c>
      <c r="I490" s="20" t="e">
        <f t="shared" si="22"/>
        <v>#N/A</v>
      </c>
      <c r="J490" s="23" t="e">
        <f t="shared" si="20"/>
        <v>#N/A</v>
      </c>
    </row>
    <row r="491" spans="7:10" ht="19" customHeight="1">
      <c r="G491" s="20" t="e">
        <f>VLOOKUP(D491,단가!B:D,3,0)</f>
        <v>#N/A</v>
      </c>
      <c r="H491" s="20" t="e">
        <f t="shared" si="21"/>
        <v>#N/A</v>
      </c>
      <c r="I491" s="20" t="e">
        <f t="shared" si="22"/>
        <v>#N/A</v>
      </c>
      <c r="J491" s="23" t="e">
        <f t="shared" si="20"/>
        <v>#N/A</v>
      </c>
    </row>
    <row r="492" spans="7:10" ht="19" customHeight="1">
      <c r="G492" s="20" t="e">
        <f>VLOOKUP(D492,단가!B:D,3,0)</f>
        <v>#N/A</v>
      </c>
      <c r="H492" s="20" t="e">
        <f t="shared" si="21"/>
        <v>#N/A</v>
      </c>
      <c r="I492" s="20" t="e">
        <f t="shared" si="22"/>
        <v>#N/A</v>
      </c>
      <c r="J492" s="23" t="e">
        <f t="shared" si="20"/>
        <v>#N/A</v>
      </c>
    </row>
    <row r="493" spans="7:10" ht="19" customHeight="1">
      <c r="G493" s="20" t="e">
        <f>VLOOKUP(D493,단가!B:D,3,0)</f>
        <v>#N/A</v>
      </c>
      <c r="H493" s="20" t="e">
        <f t="shared" si="21"/>
        <v>#N/A</v>
      </c>
      <c r="I493" s="20" t="e">
        <f t="shared" si="22"/>
        <v>#N/A</v>
      </c>
      <c r="J493" s="23" t="e">
        <f t="shared" si="20"/>
        <v>#N/A</v>
      </c>
    </row>
    <row r="494" spans="7:10" ht="19" customHeight="1">
      <c r="G494" s="20" t="e">
        <f>VLOOKUP(D494,단가!B:D,3,0)</f>
        <v>#N/A</v>
      </c>
      <c r="H494" s="20" t="e">
        <f t="shared" si="21"/>
        <v>#N/A</v>
      </c>
      <c r="I494" s="20" t="e">
        <f t="shared" si="22"/>
        <v>#N/A</v>
      </c>
      <c r="J494" s="23" t="e">
        <f t="shared" si="20"/>
        <v>#N/A</v>
      </c>
    </row>
    <row r="495" spans="7:10" ht="19" customHeight="1">
      <c r="G495" s="20" t="e">
        <f>VLOOKUP(D495,단가!B:D,3,0)</f>
        <v>#N/A</v>
      </c>
      <c r="H495" s="20" t="e">
        <f t="shared" si="21"/>
        <v>#N/A</v>
      </c>
      <c r="I495" s="20" t="e">
        <f t="shared" si="22"/>
        <v>#N/A</v>
      </c>
      <c r="J495" s="23" t="e">
        <f t="shared" si="20"/>
        <v>#N/A</v>
      </c>
    </row>
    <row r="496" spans="7:10" ht="19" customHeight="1">
      <c r="G496" s="20" t="e">
        <f>VLOOKUP(D496,단가!B:D,3,0)</f>
        <v>#N/A</v>
      </c>
      <c r="H496" s="20" t="e">
        <f t="shared" si="21"/>
        <v>#N/A</v>
      </c>
      <c r="I496" s="20" t="e">
        <f t="shared" si="22"/>
        <v>#N/A</v>
      </c>
      <c r="J496" s="23" t="e">
        <f t="shared" si="20"/>
        <v>#N/A</v>
      </c>
    </row>
    <row r="497" spans="7:10" ht="19" customHeight="1">
      <c r="G497" s="20" t="e">
        <f>VLOOKUP(D497,단가!B:D,3,0)</f>
        <v>#N/A</v>
      </c>
      <c r="H497" s="20" t="e">
        <f t="shared" si="21"/>
        <v>#N/A</v>
      </c>
      <c r="I497" s="20" t="e">
        <f t="shared" si="22"/>
        <v>#N/A</v>
      </c>
      <c r="J497" s="23" t="e">
        <f t="shared" si="20"/>
        <v>#N/A</v>
      </c>
    </row>
    <row r="498" spans="7:10" ht="19" customHeight="1">
      <c r="G498" s="20" t="e">
        <f>VLOOKUP(D498,단가!B:D,3,0)</f>
        <v>#N/A</v>
      </c>
      <c r="H498" s="20" t="e">
        <f t="shared" si="21"/>
        <v>#N/A</v>
      </c>
      <c r="I498" s="20" t="e">
        <f t="shared" si="22"/>
        <v>#N/A</v>
      </c>
      <c r="J498" s="23" t="e">
        <f t="shared" si="20"/>
        <v>#N/A</v>
      </c>
    </row>
    <row r="499" spans="7:10" ht="19" customHeight="1">
      <c r="G499" s="20" t="e">
        <f>VLOOKUP(D499,단가!B:D,3,0)</f>
        <v>#N/A</v>
      </c>
      <c r="H499" s="20" t="e">
        <f t="shared" si="21"/>
        <v>#N/A</v>
      </c>
      <c r="I499" s="20" t="e">
        <f t="shared" si="22"/>
        <v>#N/A</v>
      </c>
      <c r="J499" s="23" t="e">
        <f t="shared" si="20"/>
        <v>#N/A</v>
      </c>
    </row>
    <row r="500" spans="7:10" ht="19" customHeight="1">
      <c r="G500" s="20" t="e">
        <f>VLOOKUP(D500,단가!B:D,3,0)</f>
        <v>#N/A</v>
      </c>
      <c r="H500" s="20" t="e">
        <f t="shared" si="21"/>
        <v>#N/A</v>
      </c>
      <c r="I500" s="20" t="e">
        <f t="shared" si="22"/>
        <v>#N/A</v>
      </c>
      <c r="J500" s="23" t="e">
        <f t="shared" si="20"/>
        <v>#N/A</v>
      </c>
    </row>
    <row r="501" spans="7:10" ht="19" customHeight="1">
      <c r="G501" s="20" t="e">
        <f>VLOOKUP(D501,단가!B:D,3,0)</f>
        <v>#N/A</v>
      </c>
      <c r="H501" s="20" t="e">
        <f t="shared" si="21"/>
        <v>#N/A</v>
      </c>
      <c r="I501" s="20" t="e">
        <f t="shared" si="22"/>
        <v>#N/A</v>
      </c>
      <c r="J501" s="23" t="e">
        <f t="shared" si="20"/>
        <v>#N/A</v>
      </c>
    </row>
    <row r="502" spans="7:10" ht="19" customHeight="1">
      <c r="G502" s="20" t="e">
        <f>VLOOKUP(D502,단가!B:D,3,0)</f>
        <v>#N/A</v>
      </c>
      <c r="H502" s="20" t="e">
        <f t="shared" si="21"/>
        <v>#N/A</v>
      </c>
      <c r="I502" s="20" t="e">
        <f t="shared" si="22"/>
        <v>#N/A</v>
      </c>
      <c r="J502" s="23" t="e">
        <f t="shared" si="20"/>
        <v>#N/A</v>
      </c>
    </row>
    <row r="503" spans="7:10" ht="19" customHeight="1">
      <c r="G503" s="20" t="e">
        <f>VLOOKUP(D503,단가!B:D,3,0)</f>
        <v>#N/A</v>
      </c>
      <c r="H503" s="20" t="e">
        <f t="shared" si="21"/>
        <v>#N/A</v>
      </c>
      <c r="I503" s="20" t="e">
        <f t="shared" si="22"/>
        <v>#N/A</v>
      </c>
      <c r="J503" s="23" t="e">
        <f t="shared" si="20"/>
        <v>#N/A</v>
      </c>
    </row>
    <row r="504" spans="7:10" ht="19" customHeight="1">
      <c r="G504" s="20" t="e">
        <f>VLOOKUP(D504,단가!B:D,3,0)</f>
        <v>#N/A</v>
      </c>
      <c r="H504" s="20" t="e">
        <f t="shared" si="21"/>
        <v>#N/A</v>
      </c>
      <c r="I504" s="20" t="e">
        <f t="shared" si="22"/>
        <v>#N/A</v>
      </c>
      <c r="J504" s="23" t="e">
        <f t="shared" si="20"/>
        <v>#N/A</v>
      </c>
    </row>
    <row r="505" spans="7:10" ht="19" customHeight="1">
      <c r="G505" s="20" t="e">
        <f>VLOOKUP(D505,단가!B:D,3,0)</f>
        <v>#N/A</v>
      </c>
      <c r="H505" s="20" t="e">
        <f t="shared" si="21"/>
        <v>#N/A</v>
      </c>
      <c r="I505" s="20" t="e">
        <f t="shared" si="22"/>
        <v>#N/A</v>
      </c>
      <c r="J505" s="23" t="e">
        <f t="shared" si="20"/>
        <v>#N/A</v>
      </c>
    </row>
    <row r="506" spans="7:10" ht="19" customHeight="1">
      <c r="G506" s="20" t="e">
        <f>VLOOKUP(D506,단가!B:D,3,0)</f>
        <v>#N/A</v>
      </c>
      <c r="H506" s="20" t="e">
        <f t="shared" si="21"/>
        <v>#N/A</v>
      </c>
      <c r="I506" s="20" t="e">
        <f t="shared" si="22"/>
        <v>#N/A</v>
      </c>
      <c r="J506" s="23" t="e">
        <f t="shared" si="20"/>
        <v>#N/A</v>
      </c>
    </row>
    <row r="507" spans="7:10" ht="19" customHeight="1">
      <c r="G507" s="20" t="e">
        <f>VLOOKUP(D507,단가!B:D,3,0)</f>
        <v>#N/A</v>
      </c>
      <c r="H507" s="20" t="e">
        <f t="shared" si="21"/>
        <v>#N/A</v>
      </c>
      <c r="I507" s="20" t="e">
        <f t="shared" si="22"/>
        <v>#N/A</v>
      </c>
      <c r="J507" s="23" t="e">
        <f t="shared" si="20"/>
        <v>#N/A</v>
      </c>
    </row>
    <row r="508" spans="7:10" ht="19" customHeight="1">
      <c r="G508" s="20" t="e">
        <f>VLOOKUP(D508,단가!B:D,3,0)</f>
        <v>#N/A</v>
      </c>
      <c r="H508" s="20" t="e">
        <f t="shared" si="21"/>
        <v>#N/A</v>
      </c>
      <c r="I508" s="20" t="e">
        <f t="shared" si="22"/>
        <v>#N/A</v>
      </c>
      <c r="J508" s="23" t="e">
        <f t="shared" si="20"/>
        <v>#N/A</v>
      </c>
    </row>
    <row r="509" spans="7:10" ht="19" customHeight="1">
      <c r="G509" s="20" t="e">
        <f>VLOOKUP(D509,단가!B:D,3,0)</f>
        <v>#N/A</v>
      </c>
      <c r="H509" s="20" t="e">
        <f t="shared" si="21"/>
        <v>#N/A</v>
      </c>
      <c r="I509" s="20" t="e">
        <f t="shared" si="22"/>
        <v>#N/A</v>
      </c>
      <c r="J509" s="23" t="e">
        <f t="shared" si="20"/>
        <v>#N/A</v>
      </c>
    </row>
    <row r="510" spans="7:10" ht="19" customHeight="1">
      <c r="G510" s="20" t="e">
        <f>VLOOKUP(D510,단가!B:D,3,0)</f>
        <v>#N/A</v>
      </c>
      <c r="H510" s="20" t="e">
        <f t="shared" si="21"/>
        <v>#N/A</v>
      </c>
      <c r="I510" s="20" t="e">
        <f t="shared" si="22"/>
        <v>#N/A</v>
      </c>
      <c r="J510" s="23" t="e">
        <f t="shared" si="20"/>
        <v>#N/A</v>
      </c>
    </row>
    <row r="511" spans="7:10" ht="19" customHeight="1">
      <c r="G511" s="20" t="e">
        <f>VLOOKUP(D511,단가!B:D,3,0)</f>
        <v>#N/A</v>
      </c>
      <c r="H511" s="20" t="e">
        <f t="shared" si="21"/>
        <v>#N/A</v>
      </c>
      <c r="I511" s="20" t="e">
        <f t="shared" si="22"/>
        <v>#N/A</v>
      </c>
      <c r="J511" s="23" t="e">
        <f t="shared" si="20"/>
        <v>#N/A</v>
      </c>
    </row>
    <row r="512" spans="7:10" ht="19" customHeight="1">
      <c r="G512" s="20" t="e">
        <f>VLOOKUP(D512,단가!B:D,3,0)</f>
        <v>#N/A</v>
      </c>
      <c r="H512" s="20" t="e">
        <f t="shared" si="21"/>
        <v>#N/A</v>
      </c>
      <c r="I512" s="20" t="e">
        <f t="shared" si="22"/>
        <v>#N/A</v>
      </c>
      <c r="J512" s="23" t="e">
        <f t="shared" si="20"/>
        <v>#N/A</v>
      </c>
    </row>
    <row r="513" spans="7:10" ht="19" customHeight="1">
      <c r="G513" s="20" t="e">
        <f>VLOOKUP(D513,단가!B:D,3,0)</f>
        <v>#N/A</v>
      </c>
      <c r="H513" s="20" t="e">
        <f t="shared" si="21"/>
        <v>#N/A</v>
      </c>
      <c r="I513" s="20" t="e">
        <f t="shared" si="22"/>
        <v>#N/A</v>
      </c>
      <c r="J513" s="23" t="e">
        <f t="shared" si="20"/>
        <v>#N/A</v>
      </c>
    </row>
    <row r="514" spans="7:10" ht="19" customHeight="1">
      <c r="G514" s="20" t="e">
        <f>VLOOKUP(D514,단가!B:D,3,0)</f>
        <v>#N/A</v>
      </c>
      <c r="H514" s="20" t="e">
        <f t="shared" si="21"/>
        <v>#N/A</v>
      </c>
      <c r="I514" s="20" t="e">
        <f t="shared" si="22"/>
        <v>#N/A</v>
      </c>
      <c r="J514" s="23" t="e">
        <f t="shared" si="20"/>
        <v>#N/A</v>
      </c>
    </row>
    <row r="515" spans="7:10" ht="19" customHeight="1">
      <c r="G515" s="20" t="e">
        <f>VLOOKUP(D515,단가!B:D,3,0)</f>
        <v>#N/A</v>
      </c>
      <c r="H515" s="20" t="e">
        <f t="shared" si="21"/>
        <v>#N/A</v>
      </c>
      <c r="I515" s="20" t="e">
        <f t="shared" si="22"/>
        <v>#N/A</v>
      </c>
      <c r="J515" s="23" t="e">
        <f t="shared" si="20"/>
        <v>#N/A</v>
      </c>
    </row>
    <row r="516" spans="7:10" ht="19" customHeight="1">
      <c r="G516" s="20" t="e">
        <f>VLOOKUP(D516,단가!B:D,3,0)</f>
        <v>#N/A</v>
      </c>
      <c r="H516" s="20" t="e">
        <f t="shared" si="21"/>
        <v>#N/A</v>
      </c>
      <c r="I516" s="20" t="e">
        <f t="shared" si="22"/>
        <v>#N/A</v>
      </c>
      <c r="J516" s="23" t="e">
        <f t="shared" si="20"/>
        <v>#N/A</v>
      </c>
    </row>
    <row r="517" spans="7:10" ht="19" customHeight="1">
      <c r="G517" s="20" t="e">
        <f>VLOOKUP(D517,단가!B:D,3,0)</f>
        <v>#N/A</v>
      </c>
      <c r="H517" s="20" t="e">
        <f t="shared" si="21"/>
        <v>#N/A</v>
      </c>
      <c r="I517" s="20" t="e">
        <f t="shared" si="22"/>
        <v>#N/A</v>
      </c>
      <c r="J517" s="23" t="e">
        <f t="shared" si="20"/>
        <v>#N/A</v>
      </c>
    </row>
    <row r="518" spans="7:10" ht="19" customHeight="1">
      <c r="G518" s="20" t="e">
        <f>VLOOKUP(D518,단가!B:D,3,0)</f>
        <v>#N/A</v>
      </c>
      <c r="H518" s="20" t="e">
        <f t="shared" si="21"/>
        <v>#N/A</v>
      </c>
      <c r="I518" s="20" t="e">
        <f t="shared" si="22"/>
        <v>#N/A</v>
      </c>
      <c r="J518" s="23" t="e">
        <f t="shared" si="20"/>
        <v>#N/A</v>
      </c>
    </row>
    <row r="519" spans="7:10" ht="19" customHeight="1">
      <c r="G519" s="20" t="e">
        <f>VLOOKUP(D519,단가!B:D,3,0)</f>
        <v>#N/A</v>
      </c>
      <c r="H519" s="20" t="e">
        <f t="shared" si="21"/>
        <v>#N/A</v>
      </c>
      <c r="I519" s="20" t="e">
        <f t="shared" si="22"/>
        <v>#N/A</v>
      </c>
      <c r="J519" s="23" t="e">
        <f t="shared" si="20"/>
        <v>#N/A</v>
      </c>
    </row>
    <row r="520" spans="7:10" ht="19" customHeight="1">
      <c r="G520" s="20" t="e">
        <f>VLOOKUP(D520,단가!B:D,3,0)</f>
        <v>#N/A</v>
      </c>
      <c r="H520" s="20" t="e">
        <f t="shared" si="21"/>
        <v>#N/A</v>
      </c>
      <c r="I520" s="20" t="e">
        <f t="shared" si="22"/>
        <v>#N/A</v>
      </c>
      <c r="J520" s="23" t="e">
        <f t="shared" si="20"/>
        <v>#N/A</v>
      </c>
    </row>
    <row r="521" spans="7:10" ht="19" customHeight="1">
      <c r="G521" s="20" t="e">
        <f>VLOOKUP(D521,단가!B:D,3,0)</f>
        <v>#N/A</v>
      </c>
      <c r="H521" s="20" t="e">
        <f t="shared" si="21"/>
        <v>#N/A</v>
      </c>
      <c r="I521" s="20" t="e">
        <f t="shared" si="22"/>
        <v>#N/A</v>
      </c>
      <c r="J521" s="23" t="e">
        <f t="shared" si="20"/>
        <v>#N/A</v>
      </c>
    </row>
    <row r="522" spans="7:10" ht="19" customHeight="1">
      <c r="G522" s="20" t="e">
        <f>VLOOKUP(D522,단가!B:D,3,0)</f>
        <v>#N/A</v>
      </c>
      <c r="H522" s="20" t="e">
        <f t="shared" si="21"/>
        <v>#N/A</v>
      </c>
      <c r="I522" s="20" t="e">
        <f t="shared" si="22"/>
        <v>#N/A</v>
      </c>
      <c r="J522" s="23" t="e">
        <f t="shared" ref="J522:J585" si="23">H522+I522</f>
        <v>#N/A</v>
      </c>
    </row>
    <row r="523" spans="7:10" ht="19" customHeight="1">
      <c r="G523" s="20" t="e">
        <f>VLOOKUP(D523,단가!B:D,3,0)</f>
        <v>#N/A</v>
      </c>
      <c r="H523" s="20" t="e">
        <f t="shared" ref="H523:H586" si="24">F523*G523</f>
        <v>#N/A</v>
      </c>
      <c r="I523" s="20" t="e">
        <f t="shared" ref="I523:I586" si="25">H523*0.1</f>
        <v>#N/A</v>
      </c>
      <c r="J523" s="23" t="e">
        <f t="shared" si="23"/>
        <v>#N/A</v>
      </c>
    </row>
    <row r="524" spans="7:10" ht="19" customHeight="1">
      <c r="G524" s="20" t="e">
        <f>VLOOKUP(D524,단가!B:D,3,0)</f>
        <v>#N/A</v>
      </c>
      <c r="H524" s="20" t="e">
        <f t="shared" si="24"/>
        <v>#N/A</v>
      </c>
      <c r="I524" s="20" t="e">
        <f t="shared" si="25"/>
        <v>#N/A</v>
      </c>
      <c r="J524" s="23" t="e">
        <f t="shared" si="23"/>
        <v>#N/A</v>
      </c>
    </row>
    <row r="525" spans="7:10" ht="19" customHeight="1">
      <c r="G525" s="20" t="e">
        <f>VLOOKUP(D525,단가!B:D,3,0)</f>
        <v>#N/A</v>
      </c>
      <c r="H525" s="20" t="e">
        <f t="shared" si="24"/>
        <v>#N/A</v>
      </c>
      <c r="I525" s="20" t="e">
        <f t="shared" si="25"/>
        <v>#N/A</v>
      </c>
      <c r="J525" s="23" t="e">
        <f t="shared" si="23"/>
        <v>#N/A</v>
      </c>
    </row>
    <row r="526" spans="7:10" ht="19" customHeight="1">
      <c r="G526" s="20" t="e">
        <f>VLOOKUP(D526,단가!B:D,3,0)</f>
        <v>#N/A</v>
      </c>
      <c r="H526" s="20" t="e">
        <f t="shared" si="24"/>
        <v>#N/A</v>
      </c>
      <c r="I526" s="20" t="e">
        <f t="shared" si="25"/>
        <v>#N/A</v>
      </c>
      <c r="J526" s="23" t="e">
        <f t="shared" si="23"/>
        <v>#N/A</v>
      </c>
    </row>
    <row r="527" spans="7:10" ht="19" customHeight="1">
      <c r="G527" s="20" t="e">
        <f>VLOOKUP(D527,단가!B:D,3,0)</f>
        <v>#N/A</v>
      </c>
      <c r="H527" s="20" t="e">
        <f t="shared" si="24"/>
        <v>#N/A</v>
      </c>
      <c r="I527" s="20" t="e">
        <f t="shared" si="25"/>
        <v>#N/A</v>
      </c>
      <c r="J527" s="23" t="e">
        <f t="shared" si="23"/>
        <v>#N/A</v>
      </c>
    </row>
    <row r="528" spans="7:10" ht="19" customHeight="1">
      <c r="G528" s="20" t="e">
        <f>VLOOKUP(D528,단가!B:D,3,0)</f>
        <v>#N/A</v>
      </c>
      <c r="H528" s="20" t="e">
        <f t="shared" si="24"/>
        <v>#N/A</v>
      </c>
      <c r="I528" s="20" t="e">
        <f t="shared" si="25"/>
        <v>#N/A</v>
      </c>
      <c r="J528" s="23" t="e">
        <f t="shared" si="23"/>
        <v>#N/A</v>
      </c>
    </row>
    <row r="529" spans="7:10" ht="19" customHeight="1">
      <c r="G529" s="20" t="e">
        <f>VLOOKUP(D529,단가!B:D,3,0)</f>
        <v>#N/A</v>
      </c>
      <c r="H529" s="20" t="e">
        <f t="shared" si="24"/>
        <v>#N/A</v>
      </c>
      <c r="I529" s="20" t="e">
        <f t="shared" si="25"/>
        <v>#N/A</v>
      </c>
      <c r="J529" s="23" t="e">
        <f t="shared" si="23"/>
        <v>#N/A</v>
      </c>
    </row>
    <row r="530" spans="7:10" ht="19" customHeight="1">
      <c r="G530" s="20" t="e">
        <f>VLOOKUP(D530,단가!B:D,3,0)</f>
        <v>#N/A</v>
      </c>
      <c r="H530" s="20" t="e">
        <f t="shared" si="24"/>
        <v>#N/A</v>
      </c>
      <c r="I530" s="20" t="e">
        <f t="shared" si="25"/>
        <v>#N/A</v>
      </c>
      <c r="J530" s="23" t="e">
        <f t="shared" si="23"/>
        <v>#N/A</v>
      </c>
    </row>
    <row r="531" spans="7:10" ht="19" customHeight="1">
      <c r="G531" s="20" t="e">
        <f>VLOOKUP(D531,단가!B:D,3,0)</f>
        <v>#N/A</v>
      </c>
      <c r="H531" s="20" t="e">
        <f t="shared" si="24"/>
        <v>#N/A</v>
      </c>
      <c r="I531" s="20" t="e">
        <f t="shared" si="25"/>
        <v>#N/A</v>
      </c>
      <c r="J531" s="23" t="e">
        <f t="shared" si="23"/>
        <v>#N/A</v>
      </c>
    </row>
    <row r="532" spans="7:10" ht="19" customHeight="1">
      <c r="G532" s="20" t="e">
        <f>VLOOKUP(D532,단가!B:D,3,0)</f>
        <v>#N/A</v>
      </c>
      <c r="H532" s="20" t="e">
        <f t="shared" si="24"/>
        <v>#N/A</v>
      </c>
      <c r="I532" s="20" t="e">
        <f t="shared" si="25"/>
        <v>#N/A</v>
      </c>
      <c r="J532" s="23" t="e">
        <f t="shared" si="23"/>
        <v>#N/A</v>
      </c>
    </row>
    <row r="533" spans="7:10" ht="19" customHeight="1">
      <c r="G533" s="20" t="e">
        <f>VLOOKUP(D533,단가!B:D,3,0)</f>
        <v>#N/A</v>
      </c>
      <c r="H533" s="20" t="e">
        <f t="shared" si="24"/>
        <v>#N/A</v>
      </c>
      <c r="I533" s="20" t="e">
        <f t="shared" si="25"/>
        <v>#N/A</v>
      </c>
      <c r="J533" s="23" t="e">
        <f t="shared" si="23"/>
        <v>#N/A</v>
      </c>
    </row>
    <row r="534" spans="7:10" ht="19" customHeight="1">
      <c r="G534" s="20" t="e">
        <f>VLOOKUP(D534,단가!B:D,3,0)</f>
        <v>#N/A</v>
      </c>
      <c r="H534" s="20" t="e">
        <f t="shared" si="24"/>
        <v>#N/A</v>
      </c>
      <c r="I534" s="20" t="e">
        <f t="shared" si="25"/>
        <v>#N/A</v>
      </c>
      <c r="J534" s="23" t="e">
        <f t="shared" si="23"/>
        <v>#N/A</v>
      </c>
    </row>
    <row r="535" spans="7:10" ht="19" customHeight="1">
      <c r="G535" s="20" t="e">
        <f>VLOOKUP(D535,단가!B:D,3,0)</f>
        <v>#N/A</v>
      </c>
      <c r="H535" s="20" t="e">
        <f t="shared" si="24"/>
        <v>#N/A</v>
      </c>
      <c r="I535" s="20" t="e">
        <f t="shared" si="25"/>
        <v>#N/A</v>
      </c>
      <c r="J535" s="23" t="e">
        <f t="shared" si="23"/>
        <v>#N/A</v>
      </c>
    </row>
    <row r="536" spans="7:10" ht="19" customHeight="1">
      <c r="G536" s="20" t="e">
        <f>VLOOKUP(D536,단가!B:D,3,0)</f>
        <v>#N/A</v>
      </c>
      <c r="H536" s="20" t="e">
        <f t="shared" si="24"/>
        <v>#N/A</v>
      </c>
      <c r="I536" s="20" t="e">
        <f t="shared" si="25"/>
        <v>#N/A</v>
      </c>
      <c r="J536" s="23" t="e">
        <f t="shared" si="23"/>
        <v>#N/A</v>
      </c>
    </row>
    <row r="537" spans="7:10" ht="19" customHeight="1">
      <c r="G537" s="20" t="e">
        <f>VLOOKUP(D537,단가!B:D,3,0)</f>
        <v>#N/A</v>
      </c>
      <c r="H537" s="20" t="e">
        <f t="shared" si="24"/>
        <v>#N/A</v>
      </c>
      <c r="I537" s="20" t="e">
        <f t="shared" si="25"/>
        <v>#N/A</v>
      </c>
      <c r="J537" s="23" t="e">
        <f t="shared" si="23"/>
        <v>#N/A</v>
      </c>
    </row>
    <row r="538" spans="7:10" ht="19" customHeight="1">
      <c r="G538" s="20" t="e">
        <f>VLOOKUP(D538,단가!B:D,3,0)</f>
        <v>#N/A</v>
      </c>
      <c r="H538" s="20" t="e">
        <f t="shared" si="24"/>
        <v>#N/A</v>
      </c>
      <c r="I538" s="20" t="e">
        <f t="shared" si="25"/>
        <v>#N/A</v>
      </c>
      <c r="J538" s="23" t="e">
        <f t="shared" si="23"/>
        <v>#N/A</v>
      </c>
    </row>
    <row r="539" spans="7:10" ht="19" customHeight="1">
      <c r="G539" s="20" t="e">
        <f>VLOOKUP(D539,단가!B:D,3,0)</f>
        <v>#N/A</v>
      </c>
      <c r="H539" s="20" t="e">
        <f t="shared" si="24"/>
        <v>#N/A</v>
      </c>
      <c r="I539" s="20" t="e">
        <f t="shared" si="25"/>
        <v>#N/A</v>
      </c>
      <c r="J539" s="23" t="e">
        <f t="shared" si="23"/>
        <v>#N/A</v>
      </c>
    </row>
    <row r="540" spans="7:10" ht="19" customHeight="1">
      <c r="G540" s="20" t="e">
        <f>VLOOKUP(D540,단가!B:D,3,0)</f>
        <v>#N/A</v>
      </c>
      <c r="H540" s="20" t="e">
        <f t="shared" si="24"/>
        <v>#N/A</v>
      </c>
      <c r="I540" s="20" t="e">
        <f t="shared" si="25"/>
        <v>#N/A</v>
      </c>
      <c r="J540" s="23" t="e">
        <f t="shared" si="23"/>
        <v>#N/A</v>
      </c>
    </row>
    <row r="541" spans="7:10" ht="19" customHeight="1">
      <c r="G541" s="20" t="e">
        <f>VLOOKUP(D541,단가!B:D,3,0)</f>
        <v>#N/A</v>
      </c>
      <c r="H541" s="20" t="e">
        <f t="shared" si="24"/>
        <v>#N/A</v>
      </c>
      <c r="I541" s="20" t="e">
        <f t="shared" si="25"/>
        <v>#N/A</v>
      </c>
      <c r="J541" s="23" t="e">
        <f t="shared" si="23"/>
        <v>#N/A</v>
      </c>
    </row>
    <row r="542" spans="7:10" ht="19" customHeight="1">
      <c r="G542" s="20" t="e">
        <f>VLOOKUP(D542,단가!B:D,3,0)</f>
        <v>#N/A</v>
      </c>
      <c r="H542" s="20" t="e">
        <f t="shared" si="24"/>
        <v>#N/A</v>
      </c>
      <c r="I542" s="20" t="e">
        <f t="shared" si="25"/>
        <v>#N/A</v>
      </c>
      <c r="J542" s="23" t="e">
        <f t="shared" si="23"/>
        <v>#N/A</v>
      </c>
    </row>
    <row r="543" spans="7:10" ht="19" customHeight="1">
      <c r="G543" s="20" t="e">
        <f>VLOOKUP(D543,단가!B:D,3,0)</f>
        <v>#N/A</v>
      </c>
      <c r="H543" s="20" t="e">
        <f t="shared" si="24"/>
        <v>#N/A</v>
      </c>
      <c r="I543" s="20" t="e">
        <f t="shared" si="25"/>
        <v>#N/A</v>
      </c>
      <c r="J543" s="23" t="e">
        <f t="shared" si="23"/>
        <v>#N/A</v>
      </c>
    </row>
    <row r="544" spans="7:10" ht="19" customHeight="1">
      <c r="G544" s="20" t="e">
        <f>VLOOKUP(D544,단가!B:D,3,0)</f>
        <v>#N/A</v>
      </c>
      <c r="H544" s="20" t="e">
        <f t="shared" si="24"/>
        <v>#N/A</v>
      </c>
      <c r="I544" s="20" t="e">
        <f t="shared" si="25"/>
        <v>#N/A</v>
      </c>
      <c r="J544" s="23" t="e">
        <f t="shared" si="23"/>
        <v>#N/A</v>
      </c>
    </row>
    <row r="545" spans="7:10" ht="19" customHeight="1">
      <c r="G545" s="20" t="e">
        <f>VLOOKUP(D545,단가!B:D,3,0)</f>
        <v>#N/A</v>
      </c>
      <c r="H545" s="20" t="e">
        <f t="shared" si="24"/>
        <v>#N/A</v>
      </c>
      <c r="I545" s="20" t="e">
        <f t="shared" si="25"/>
        <v>#N/A</v>
      </c>
      <c r="J545" s="23" t="e">
        <f t="shared" si="23"/>
        <v>#N/A</v>
      </c>
    </row>
    <row r="546" spans="7:10" ht="19" customHeight="1">
      <c r="G546" s="20" t="e">
        <f>VLOOKUP(D546,단가!B:D,3,0)</f>
        <v>#N/A</v>
      </c>
      <c r="H546" s="20" t="e">
        <f t="shared" si="24"/>
        <v>#N/A</v>
      </c>
      <c r="I546" s="20" t="e">
        <f t="shared" si="25"/>
        <v>#N/A</v>
      </c>
      <c r="J546" s="23" t="e">
        <f t="shared" si="23"/>
        <v>#N/A</v>
      </c>
    </row>
    <row r="547" spans="7:10" ht="19" customHeight="1">
      <c r="G547" s="20" t="e">
        <f>VLOOKUP(D547,단가!B:D,3,0)</f>
        <v>#N/A</v>
      </c>
      <c r="H547" s="20" t="e">
        <f t="shared" si="24"/>
        <v>#N/A</v>
      </c>
      <c r="I547" s="20" t="e">
        <f t="shared" si="25"/>
        <v>#N/A</v>
      </c>
      <c r="J547" s="23" t="e">
        <f t="shared" si="23"/>
        <v>#N/A</v>
      </c>
    </row>
    <row r="548" spans="7:10" ht="19" customHeight="1">
      <c r="G548" s="20" t="e">
        <f>VLOOKUP(D548,단가!B:D,3,0)</f>
        <v>#N/A</v>
      </c>
      <c r="H548" s="20" t="e">
        <f t="shared" si="24"/>
        <v>#N/A</v>
      </c>
      <c r="I548" s="20" t="e">
        <f t="shared" si="25"/>
        <v>#N/A</v>
      </c>
      <c r="J548" s="23" t="e">
        <f t="shared" si="23"/>
        <v>#N/A</v>
      </c>
    </row>
    <row r="549" spans="7:10" ht="19" customHeight="1">
      <c r="G549" s="20" t="e">
        <f>VLOOKUP(D549,단가!B:D,3,0)</f>
        <v>#N/A</v>
      </c>
      <c r="H549" s="20" t="e">
        <f t="shared" si="24"/>
        <v>#N/A</v>
      </c>
      <c r="I549" s="20" t="e">
        <f t="shared" si="25"/>
        <v>#N/A</v>
      </c>
      <c r="J549" s="23" t="e">
        <f t="shared" si="23"/>
        <v>#N/A</v>
      </c>
    </row>
    <row r="550" spans="7:10" ht="19" customHeight="1">
      <c r="G550" s="20" t="e">
        <f>VLOOKUP(D550,단가!B:D,3,0)</f>
        <v>#N/A</v>
      </c>
      <c r="H550" s="20" t="e">
        <f t="shared" si="24"/>
        <v>#N/A</v>
      </c>
      <c r="I550" s="20" t="e">
        <f t="shared" si="25"/>
        <v>#N/A</v>
      </c>
      <c r="J550" s="23" t="e">
        <f t="shared" si="23"/>
        <v>#N/A</v>
      </c>
    </row>
    <row r="551" spans="7:10" ht="19" customHeight="1">
      <c r="G551" s="20" t="e">
        <f>VLOOKUP(D551,단가!B:D,3,0)</f>
        <v>#N/A</v>
      </c>
      <c r="H551" s="20" t="e">
        <f t="shared" si="24"/>
        <v>#N/A</v>
      </c>
      <c r="I551" s="20" t="e">
        <f t="shared" si="25"/>
        <v>#N/A</v>
      </c>
      <c r="J551" s="23" t="e">
        <f t="shared" si="23"/>
        <v>#N/A</v>
      </c>
    </row>
    <row r="552" spans="7:10" ht="19" customHeight="1">
      <c r="G552" s="20" t="e">
        <f>VLOOKUP(D552,단가!B:D,3,0)</f>
        <v>#N/A</v>
      </c>
      <c r="H552" s="20" t="e">
        <f t="shared" si="24"/>
        <v>#N/A</v>
      </c>
      <c r="I552" s="20" t="e">
        <f t="shared" si="25"/>
        <v>#N/A</v>
      </c>
      <c r="J552" s="23" t="e">
        <f t="shared" si="23"/>
        <v>#N/A</v>
      </c>
    </row>
    <row r="553" spans="7:10" ht="19" customHeight="1">
      <c r="G553" s="20" t="e">
        <f>VLOOKUP(D553,단가!B:D,3,0)</f>
        <v>#N/A</v>
      </c>
      <c r="H553" s="20" t="e">
        <f t="shared" si="24"/>
        <v>#N/A</v>
      </c>
      <c r="I553" s="20" t="e">
        <f t="shared" si="25"/>
        <v>#N/A</v>
      </c>
      <c r="J553" s="23" t="e">
        <f t="shared" si="23"/>
        <v>#N/A</v>
      </c>
    </row>
    <row r="554" spans="7:10" ht="19" customHeight="1">
      <c r="G554" s="20" t="e">
        <f>VLOOKUP(D554,단가!B:D,3,0)</f>
        <v>#N/A</v>
      </c>
      <c r="H554" s="20" t="e">
        <f t="shared" si="24"/>
        <v>#N/A</v>
      </c>
      <c r="I554" s="20" t="e">
        <f t="shared" si="25"/>
        <v>#N/A</v>
      </c>
      <c r="J554" s="23" t="e">
        <f t="shared" si="23"/>
        <v>#N/A</v>
      </c>
    </row>
    <row r="555" spans="7:10" ht="19" customHeight="1">
      <c r="G555" s="20" t="e">
        <f>VLOOKUP(D555,단가!B:D,3,0)</f>
        <v>#N/A</v>
      </c>
      <c r="H555" s="20" t="e">
        <f t="shared" si="24"/>
        <v>#N/A</v>
      </c>
      <c r="I555" s="20" t="e">
        <f t="shared" si="25"/>
        <v>#N/A</v>
      </c>
      <c r="J555" s="23" t="e">
        <f t="shared" si="23"/>
        <v>#N/A</v>
      </c>
    </row>
    <row r="556" spans="7:10" ht="19" customHeight="1">
      <c r="G556" s="20" t="e">
        <f>VLOOKUP(D556,단가!B:D,3,0)</f>
        <v>#N/A</v>
      </c>
      <c r="H556" s="20" t="e">
        <f t="shared" si="24"/>
        <v>#N/A</v>
      </c>
      <c r="I556" s="20" t="e">
        <f t="shared" si="25"/>
        <v>#N/A</v>
      </c>
      <c r="J556" s="23" t="e">
        <f t="shared" si="23"/>
        <v>#N/A</v>
      </c>
    </row>
    <row r="557" spans="7:10" ht="19" customHeight="1">
      <c r="G557" s="20" t="e">
        <f>VLOOKUP(D557,단가!B:D,3,0)</f>
        <v>#N/A</v>
      </c>
      <c r="H557" s="20" t="e">
        <f t="shared" si="24"/>
        <v>#N/A</v>
      </c>
      <c r="I557" s="20" t="e">
        <f t="shared" si="25"/>
        <v>#N/A</v>
      </c>
      <c r="J557" s="23" t="e">
        <f t="shared" si="23"/>
        <v>#N/A</v>
      </c>
    </row>
    <row r="558" spans="7:10" ht="19" customHeight="1">
      <c r="G558" s="20" t="e">
        <f>VLOOKUP(D558,단가!B:D,3,0)</f>
        <v>#N/A</v>
      </c>
      <c r="H558" s="20" t="e">
        <f t="shared" si="24"/>
        <v>#N/A</v>
      </c>
      <c r="I558" s="20" t="e">
        <f t="shared" si="25"/>
        <v>#N/A</v>
      </c>
      <c r="J558" s="23" t="e">
        <f t="shared" si="23"/>
        <v>#N/A</v>
      </c>
    </row>
    <row r="559" spans="7:10" ht="19" customHeight="1">
      <c r="G559" s="20" t="e">
        <f>VLOOKUP(D559,단가!B:D,3,0)</f>
        <v>#N/A</v>
      </c>
      <c r="H559" s="20" t="e">
        <f t="shared" si="24"/>
        <v>#N/A</v>
      </c>
      <c r="I559" s="20" t="e">
        <f t="shared" si="25"/>
        <v>#N/A</v>
      </c>
      <c r="J559" s="23" t="e">
        <f t="shared" si="23"/>
        <v>#N/A</v>
      </c>
    </row>
    <row r="560" spans="7:10" ht="19" customHeight="1">
      <c r="G560" s="20" t="e">
        <f>VLOOKUP(D560,단가!B:D,3,0)</f>
        <v>#N/A</v>
      </c>
      <c r="H560" s="20" t="e">
        <f t="shared" si="24"/>
        <v>#N/A</v>
      </c>
      <c r="I560" s="20" t="e">
        <f t="shared" si="25"/>
        <v>#N/A</v>
      </c>
      <c r="J560" s="23" t="e">
        <f t="shared" si="23"/>
        <v>#N/A</v>
      </c>
    </row>
    <row r="561" spans="7:10" ht="19" customHeight="1">
      <c r="G561" s="20" t="e">
        <f>VLOOKUP(D561,단가!B:D,3,0)</f>
        <v>#N/A</v>
      </c>
      <c r="H561" s="20" t="e">
        <f t="shared" si="24"/>
        <v>#N/A</v>
      </c>
      <c r="I561" s="20" t="e">
        <f t="shared" si="25"/>
        <v>#N/A</v>
      </c>
      <c r="J561" s="23" t="e">
        <f t="shared" si="23"/>
        <v>#N/A</v>
      </c>
    </row>
    <row r="562" spans="7:10" ht="19" customHeight="1">
      <c r="G562" s="20" t="e">
        <f>VLOOKUP(D562,단가!B:D,3,0)</f>
        <v>#N/A</v>
      </c>
      <c r="H562" s="20" t="e">
        <f t="shared" si="24"/>
        <v>#N/A</v>
      </c>
      <c r="I562" s="20" t="e">
        <f t="shared" si="25"/>
        <v>#N/A</v>
      </c>
      <c r="J562" s="23" t="e">
        <f t="shared" si="23"/>
        <v>#N/A</v>
      </c>
    </row>
    <row r="563" spans="7:10" ht="19" customHeight="1">
      <c r="G563" s="20" t="e">
        <f>VLOOKUP(D563,단가!B:D,3,0)</f>
        <v>#N/A</v>
      </c>
      <c r="H563" s="20" t="e">
        <f t="shared" si="24"/>
        <v>#N/A</v>
      </c>
      <c r="I563" s="20" t="e">
        <f t="shared" si="25"/>
        <v>#N/A</v>
      </c>
      <c r="J563" s="23" t="e">
        <f t="shared" si="23"/>
        <v>#N/A</v>
      </c>
    </row>
    <row r="564" spans="7:10" ht="19" customHeight="1">
      <c r="G564" s="20" t="e">
        <f>VLOOKUP(D564,단가!B:D,3,0)</f>
        <v>#N/A</v>
      </c>
      <c r="H564" s="20" t="e">
        <f t="shared" si="24"/>
        <v>#N/A</v>
      </c>
      <c r="I564" s="20" t="e">
        <f t="shared" si="25"/>
        <v>#N/A</v>
      </c>
      <c r="J564" s="23" t="e">
        <f t="shared" si="23"/>
        <v>#N/A</v>
      </c>
    </row>
    <row r="565" spans="7:10" ht="19" customHeight="1">
      <c r="G565" s="20" t="e">
        <f>VLOOKUP(D565,단가!B:D,3,0)</f>
        <v>#N/A</v>
      </c>
      <c r="H565" s="20" t="e">
        <f t="shared" si="24"/>
        <v>#N/A</v>
      </c>
      <c r="I565" s="20" t="e">
        <f t="shared" si="25"/>
        <v>#N/A</v>
      </c>
      <c r="J565" s="23" t="e">
        <f t="shared" si="23"/>
        <v>#N/A</v>
      </c>
    </row>
    <row r="566" spans="7:10" ht="19" customHeight="1">
      <c r="G566" s="20" t="e">
        <f>VLOOKUP(D566,단가!B:D,3,0)</f>
        <v>#N/A</v>
      </c>
      <c r="H566" s="20" t="e">
        <f t="shared" si="24"/>
        <v>#N/A</v>
      </c>
      <c r="I566" s="20" t="e">
        <f t="shared" si="25"/>
        <v>#N/A</v>
      </c>
      <c r="J566" s="23" t="e">
        <f t="shared" si="23"/>
        <v>#N/A</v>
      </c>
    </row>
    <row r="567" spans="7:10" ht="19" customHeight="1">
      <c r="G567" s="20" t="e">
        <f>VLOOKUP(D567,단가!B:D,3,0)</f>
        <v>#N/A</v>
      </c>
      <c r="H567" s="20" t="e">
        <f t="shared" si="24"/>
        <v>#N/A</v>
      </c>
      <c r="I567" s="20" t="e">
        <f t="shared" si="25"/>
        <v>#N/A</v>
      </c>
      <c r="J567" s="23" t="e">
        <f t="shared" si="23"/>
        <v>#N/A</v>
      </c>
    </row>
    <row r="568" spans="7:10" ht="19" customHeight="1">
      <c r="G568" s="20" t="e">
        <f>VLOOKUP(D568,단가!B:D,3,0)</f>
        <v>#N/A</v>
      </c>
      <c r="H568" s="20" t="e">
        <f t="shared" si="24"/>
        <v>#N/A</v>
      </c>
      <c r="I568" s="20" t="e">
        <f t="shared" si="25"/>
        <v>#N/A</v>
      </c>
      <c r="J568" s="23" t="e">
        <f t="shared" si="23"/>
        <v>#N/A</v>
      </c>
    </row>
    <row r="569" spans="7:10" ht="19" customHeight="1">
      <c r="G569" s="20" t="e">
        <f>VLOOKUP(D569,단가!B:D,3,0)</f>
        <v>#N/A</v>
      </c>
      <c r="H569" s="20" t="e">
        <f t="shared" si="24"/>
        <v>#N/A</v>
      </c>
      <c r="I569" s="20" t="e">
        <f t="shared" si="25"/>
        <v>#N/A</v>
      </c>
      <c r="J569" s="23" t="e">
        <f t="shared" si="23"/>
        <v>#N/A</v>
      </c>
    </row>
    <row r="570" spans="7:10" ht="19" customHeight="1">
      <c r="G570" s="20" t="e">
        <f>VLOOKUP(D570,단가!B:D,3,0)</f>
        <v>#N/A</v>
      </c>
      <c r="H570" s="20" t="e">
        <f t="shared" si="24"/>
        <v>#N/A</v>
      </c>
      <c r="I570" s="20" t="e">
        <f t="shared" si="25"/>
        <v>#N/A</v>
      </c>
      <c r="J570" s="23" t="e">
        <f t="shared" si="23"/>
        <v>#N/A</v>
      </c>
    </row>
    <row r="571" spans="7:10" ht="19" customHeight="1">
      <c r="G571" s="20" t="e">
        <f>VLOOKUP(D571,단가!B:D,3,0)</f>
        <v>#N/A</v>
      </c>
      <c r="H571" s="20" t="e">
        <f t="shared" si="24"/>
        <v>#N/A</v>
      </c>
      <c r="I571" s="20" t="e">
        <f t="shared" si="25"/>
        <v>#N/A</v>
      </c>
      <c r="J571" s="23" t="e">
        <f t="shared" si="23"/>
        <v>#N/A</v>
      </c>
    </row>
    <row r="572" spans="7:10" ht="19" customHeight="1">
      <c r="G572" s="20" t="e">
        <f>VLOOKUP(D572,단가!B:D,3,0)</f>
        <v>#N/A</v>
      </c>
      <c r="H572" s="20" t="e">
        <f t="shared" si="24"/>
        <v>#N/A</v>
      </c>
      <c r="I572" s="20" t="e">
        <f t="shared" si="25"/>
        <v>#N/A</v>
      </c>
      <c r="J572" s="23" t="e">
        <f t="shared" si="23"/>
        <v>#N/A</v>
      </c>
    </row>
    <row r="573" spans="7:10" ht="19" customHeight="1">
      <c r="G573" s="20" t="e">
        <f>VLOOKUP(D573,단가!B:D,3,0)</f>
        <v>#N/A</v>
      </c>
      <c r="H573" s="20" t="e">
        <f t="shared" si="24"/>
        <v>#N/A</v>
      </c>
      <c r="I573" s="20" t="e">
        <f t="shared" si="25"/>
        <v>#N/A</v>
      </c>
      <c r="J573" s="23" t="e">
        <f t="shared" si="23"/>
        <v>#N/A</v>
      </c>
    </row>
    <row r="574" spans="7:10" ht="19" customHeight="1">
      <c r="G574" s="20" t="e">
        <f>VLOOKUP(D574,단가!B:D,3,0)</f>
        <v>#N/A</v>
      </c>
      <c r="H574" s="20" t="e">
        <f t="shared" si="24"/>
        <v>#N/A</v>
      </c>
      <c r="I574" s="20" t="e">
        <f t="shared" si="25"/>
        <v>#N/A</v>
      </c>
      <c r="J574" s="23" t="e">
        <f t="shared" si="23"/>
        <v>#N/A</v>
      </c>
    </row>
    <row r="575" spans="7:10" ht="19" customHeight="1">
      <c r="G575" s="20" t="e">
        <f>VLOOKUP(D575,단가!B:D,3,0)</f>
        <v>#N/A</v>
      </c>
      <c r="H575" s="20" t="e">
        <f t="shared" si="24"/>
        <v>#N/A</v>
      </c>
      <c r="I575" s="20" t="e">
        <f t="shared" si="25"/>
        <v>#N/A</v>
      </c>
      <c r="J575" s="23" t="e">
        <f t="shared" si="23"/>
        <v>#N/A</v>
      </c>
    </row>
    <row r="576" spans="7:10" ht="19" customHeight="1">
      <c r="G576" s="20" t="e">
        <f>VLOOKUP(D576,단가!B:D,3,0)</f>
        <v>#N/A</v>
      </c>
      <c r="H576" s="20" t="e">
        <f t="shared" si="24"/>
        <v>#N/A</v>
      </c>
      <c r="I576" s="20" t="e">
        <f t="shared" si="25"/>
        <v>#N/A</v>
      </c>
      <c r="J576" s="23" t="e">
        <f t="shared" si="23"/>
        <v>#N/A</v>
      </c>
    </row>
    <row r="577" spans="7:10" ht="19" customHeight="1">
      <c r="G577" s="20" t="e">
        <f>VLOOKUP(D577,단가!B:D,3,0)</f>
        <v>#N/A</v>
      </c>
      <c r="H577" s="20" t="e">
        <f t="shared" si="24"/>
        <v>#N/A</v>
      </c>
      <c r="I577" s="20" t="e">
        <f t="shared" si="25"/>
        <v>#N/A</v>
      </c>
      <c r="J577" s="23" t="e">
        <f t="shared" si="23"/>
        <v>#N/A</v>
      </c>
    </row>
    <row r="578" spans="7:10" ht="19" customHeight="1">
      <c r="G578" s="20" t="e">
        <f>VLOOKUP(D578,단가!B:D,3,0)</f>
        <v>#N/A</v>
      </c>
      <c r="H578" s="20" t="e">
        <f t="shared" si="24"/>
        <v>#N/A</v>
      </c>
      <c r="I578" s="20" t="e">
        <f t="shared" si="25"/>
        <v>#N/A</v>
      </c>
      <c r="J578" s="23" t="e">
        <f t="shared" si="23"/>
        <v>#N/A</v>
      </c>
    </row>
    <row r="579" spans="7:10" ht="19" customHeight="1">
      <c r="G579" s="20" t="e">
        <f>VLOOKUP(D579,단가!B:D,3,0)</f>
        <v>#N/A</v>
      </c>
      <c r="H579" s="20" t="e">
        <f t="shared" si="24"/>
        <v>#N/A</v>
      </c>
      <c r="I579" s="20" t="e">
        <f t="shared" si="25"/>
        <v>#N/A</v>
      </c>
      <c r="J579" s="23" t="e">
        <f t="shared" si="23"/>
        <v>#N/A</v>
      </c>
    </row>
    <row r="580" spans="7:10" ht="19" customHeight="1">
      <c r="G580" s="20" t="e">
        <f>VLOOKUP(D580,단가!B:D,3,0)</f>
        <v>#N/A</v>
      </c>
      <c r="H580" s="20" t="e">
        <f t="shared" si="24"/>
        <v>#N/A</v>
      </c>
      <c r="I580" s="20" t="e">
        <f t="shared" si="25"/>
        <v>#N/A</v>
      </c>
      <c r="J580" s="23" t="e">
        <f t="shared" si="23"/>
        <v>#N/A</v>
      </c>
    </row>
    <row r="581" spans="7:10" ht="19" customHeight="1">
      <c r="G581" s="20" t="e">
        <f>VLOOKUP(D581,단가!B:D,3,0)</f>
        <v>#N/A</v>
      </c>
      <c r="H581" s="20" t="e">
        <f t="shared" si="24"/>
        <v>#N/A</v>
      </c>
      <c r="I581" s="20" t="e">
        <f t="shared" si="25"/>
        <v>#N/A</v>
      </c>
      <c r="J581" s="23" t="e">
        <f t="shared" si="23"/>
        <v>#N/A</v>
      </c>
    </row>
    <row r="582" spans="7:10" ht="19" customHeight="1">
      <c r="G582" s="20" t="e">
        <f>VLOOKUP(D582,단가!B:D,3,0)</f>
        <v>#N/A</v>
      </c>
      <c r="H582" s="20" t="e">
        <f t="shared" si="24"/>
        <v>#N/A</v>
      </c>
      <c r="I582" s="20" t="e">
        <f t="shared" si="25"/>
        <v>#N/A</v>
      </c>
      <c r="J582" s="23" t="e">
        <f t="shared" si="23"/>
        <v>#N/A</v>
      </c>
    </row>
    <row r="583" spans="7:10" ht="19" customHeight="1">
      <c r="G583" s="20" t="e">
        <f>VLOOKUP(D583,단가!B:D,3,0)</f>
        <v>#N/A</v>
      </c>
      <c r="H583" s="20" t="e">
        <f t="shared" si="24"/>
        <v>#N/A</v>
      </c>
      <c r="I583" s="20" t="e">
        <f t="shared" si="25"/>
        <v>#N/A</v>
      </c>
      <c r="J583" s="23" t="e">
        <f t="shared" si="23"/>
        <v>#N/A</v>
      </c>
    </row>
    <row r="584" spans="7:10" ht="19" customHeight="1">
      <c r="G584" s="20" t="e">
        <f>VLOOKUP(D584,단가!B:D,3,0)</f>
        <v>#N/A</v>
      </c>
      <c r="H584" s="20" t="e">
        <f t="shared" si="24"/>
        <v>#N/A</v>
      </c>
      <c r="I584" s="20" t="e">
        <f t="shared" si="25"/>
        <v>#N/A</v>
      </c>
      <c r="J584" s="23" t="e">
        <f t="shared" si="23"/>
        <v>#N/A</v>
      </c>
    </row>
    <row r="585" spans="7:10" ht="19" customHeight="1">
      <c r="G585" s="20" t="e">
        <f>VLOOKUP(D585,단가!B:D,3,0)</f>
        <v>#N/A</v>
      </c>
      <c r="H585" s="20" t="e">
        <f t="shared" si="24"/>
        <v>#N/A</v>
      </c>
      <c r="I585" s="20" t="e">
        <f t="shared" si="25"/>
        <v>#N/A</v>
      </c>
      <c r="J585" s="23" t="e">
        <f t="shared" si="23"/>
        <v>#N/A</v>
      </c>
    </row>
    <row r="586" spans="7:10" ht="19" customHeight="1">
      <c r="G586" s="20" t="e">
        <f>VLOOKUP(D586,단가!B:D,3,0)</f>
        <v>#N/A</v>
      </c>
      <c r="H586" s="20" t="e">
        <f t="shared" si="24"/>
        <v>#N/A</v>
      </c>
      <c r="I586" s="20" t="e">
        <f t="shared" si="25"/>
        <v>#N/A</v>
      </c>
      <c r="J586" s="23" t="e">
        <f t="shared" ref="J586:J649" si="26">H586+I586</f>
        <v>#N/A</v>
      </c>
    </row>
    <row r="587" spans="7:10" ht="19" customHeight="1">
      <c r="G587" s="20" t="e">
        <f>VLOOKUP(D587,단가!B:D,3,0)</f>
        <v>#N/A</v>
      </c>
      <c r="H587" s="20" t="e">
        <f t="shared" ref="H587:H650" si="27">F587*G587</f>
        <v>#N/A</v>
      </c>
      <c r="I587" s="20" t="e">
        <f t="shared" ref="I587:I650" si="28">H587*0.1</f>
        <v>#N/A</v>
      </c>
      <c r="J587" s="23" t="e">
        <f t="shared" si="26"/>
        <v>#N/A</v>
      </c>
    </row>
    <row r="588" spans="7:10" ht="19" customHeight="1">
      <c r="G588" s="20" t="e">
        <f>VLOOKUP(D588,단가!B:D,3,0)</f>
        <v>#N/A</v>
      </c>
      <c r="H588" s="20" t="e">
        <f t="shared" si="27"/>
        <v>#N/A</v>
      </c>
      <c r="I588" s="20" t="e">
        <f t="shared" si="28"/>
        <v>#N/A</v>
      </c>
      <c r="J588" s="23" t="e">
        <f t="shared" si="26"/>
        <v>#N/A</v>
      </c>
    </row>
    <row r="589" spans="7:10" ht="19" customHeight="1">
      <c r="G589" s="20" t="e">
        <f>VLOOKUP(D589,단가!B:D,3,0)</f>
        <v>#N/A</v>
      </c>
      <c r="H589" s="20" t="e">
        <f t="shared" si="27"/>
        <v>#N/A</v>
      </c>
      <c r="I589" s="20" t="e">
        <f t="shared" si="28"/>
        <v>#N/A</v>
      </c>
      <c r="J589" s="23" t="e">
        <f t="shared" si="26"/>
        <v>#N/A</v>
      </c>
    </row>
    <row r="590" spans="7:10" ht="19" customHeight="1">
      <c r="G590" s="20" t="e">
        <f>VLOOKUP(D590,단가!B:D,3,0)</f>
        <v>#N/A</v>
      </c>
      <c r="H590" s="20" t="e">
        <f t="shared" si="27"/>
        <v>#N/A</v>
      </c>
      <c r="I590" s="20" t="e">
        <f t="shared" si="28"/>
        <v>#N/A</v>
      </c>
      <c r="J590" s="23" t="e">
        <f t="shared" si="26"/>
        <v>#N/A</v>
      </c>
    </row>
    <row r="591" spans="7:10" ht="19" customHeight="1">
      <c r="G591" s="20" t="e">
        <f>VLOOKUP(D591,단가!B:D,3,0)</f>
        <v>#N/A</v>
      </c>
      <c r="H591" s="20" t="e">
        <f t="shared" si="27"/>
        <v>#N/A</v>
      </c>
      <c r="I591" s="20" t="e">
        <f t="shared" si="28"/>
        <v>#N/A</v>
      </c>
      <c r="J591" s="23" t="e">
        <f t="shared" si="26"/>
        <v>#N/A</v>
      </c>
    </row>
    <row r="592" spans="7:10" ht="19" customHeight="1">
      <c r="G592" s="20" t="e">
        <f>VLOOKUP(D592,단가!B:D,3,0)</f>
        <v>#N/A</v>
      </c>
      <c r="H592" s="20" t="e">
        <f t="shared" si="27"/>
        <v>#N/A</v>
      </c>
      <c r="I592" s="20" t="e">
        <f t="shared" si="28"/>
        <v>#N/A</v>
      </c>
      <c r="J592" s="23" t="e">
        <f t="shared" si="26"/>
        <v>#N/A</v>
      </c>
    </row>
    <row r="593" spans="7:10" ht="19" customHeight="1">
      <c r="G593" s="20" t="e">
        <f>VLOOKUP(D593,단가!B:D,3,0)</f>
        <v>#N/A</v>
      </c>
      <c r="H593" s="20" t="e">
        <f t="shared" si="27"/>
        <v>#N/A</v>
      </c>
      <c r="I593" s="20" t="e">
        <f t="shared" si="28"/>
        <v>#N/A</v>
      </c>
      <c r="J593" s="23" t="e">
        <f t="shared" si="26"/>
        <v>#N/A</v>
      </c>
    </row>
    <row r="594" spans="7:10" ht="19" customHeight="1">
      <c r="G594" s="20" t="e">
        <f>VLOOKUP(D594,단가!B:D,3,0)</f>
        <v>#N/A</v>
      </c>
      <c r="H594" s="20" t="e">
        <f t="shared" si="27"/>
        <v>#N/A</v>
      </c>
      <c r="I594" s="20" t="e">
        <f t="shared" si="28"/>
        <v>#N/A</v>
      </c>
      <c r="J594" s="23" t="e">
        <f t="shared" si="26"/>
        <v>#N/A</v>
      </c>
    </row>
    <row r="595" spans="7:10" ht="19" customHeight="1">
      <c r="G595" s="20" t="e">
        <f>VLOOKUP(D595,단가!B:D,3,0)</f>
        <v>#N/A</v>
      </c>
      <c r="H595" s="20" t="e">
        <f t="shared" si="27"/>
        <v>#N/A</v>
      </c>
      <c r="I595" s="20" t="e">
        <f t="shared" si="28"/>
        <v>#N/A</v>
      </c>
      <c r="J595" s="23" t="e">
        <f t="shared" si="26"/>
        <v>#N/A</v>
      </c>
    </row>
    <row r="596" spans="7:10" ht="19" customHeight="1">
      <c r="G596" s="20" t="e">
        <f>VLOOKUP(D596,단가!B:D,3,0)</f>
        <v>#N/A</v>
      </c>
      <c r="H596" s="20" t="e">
        <f t="shared" si="27"/>
        <v>#N/A</v>
      </c>
      <c r="I596" s="20" t="e">
        <f t="shared" si="28"/>
        <v>#N/A</v>
      </c>
      <c r="J596" s="23" t="e">
        <f t="shared" si="26"/>
        <v>#N/A</v>
      </c>
    </row>
    <row r="597" spans="7:10" ht="19" customHeight="1">
      <c r="G597" s="20" t="e">
        <f>VLOOKUP(D597,단가!B:D,3,0)</f>
        <v>#N/A</v>
      </c>
      <c r="H597" s="20" t="e">
        <f t="shared" si="27"/>
        <v>#N/A</v>
      </c>
      <c r="I597" s="20" t="e">
        <f t="shared" si="28"/>
        <v>#N/A</v>
      </c>
      <c r="J597" s="23" t="e">
        <f t="shared" si="26"/>
        <v>#N/A</v>
      </c>
    </row>
    <row r="598" spans="7:10" ht="19" customHeight="1">
      <c r="G598" s="20" t="e">
        <f>VLOOKUP(D598,단가!B:D,3,0)</f>
        <v>#N/A</v>
      </c>
      <c r="H598" s="20" t="e">
        <f t="shared" si="27"/>
        <v>#N/A</v>
      </c>
      <c r="I598" s="20" t="e">
        <f t="shared" si="28"/>
        <v>#N/A</v>
      </c>
      <c r="J598" s="23" t="e">
        <f t="shared" si="26"/>
        <v>#N/A</v>
      </c>
    </row>
    <row r="599" spans="7:10" ht="19" customHeight="1">
      <c r="G599" s="20" t="e">
        <f>VLOOKUP(D599,단가!B:D,3,0)</f>
        <v>#N/A</v>
      </c>
      <c r="H599" s="20" t="e">
        <f t="shared" si="27"/>
        <v>#N/A</v>
      </c>
      <c r="I599" s="20" t="e">
        <f t="shared" si="28"/>
        <v>#N/A</v>
      </c>
      <c r="J599" s="23" t="e">
        <f t="shared" si="26"/>
        <v>#N/A</v>
      </c>
    </row>
    <row r="600" spans="7:10" ht="19" customHeight="1">
      <c r="G600" s="20" t="e">
        <f>VLOOKUP(D600,단가!B:D,3,0)</f>
        <v>#N/A</v>
      </c>
      <c r="H600" s="20" t="e">
        <f t="shared" si="27"/>
        <v>#N/A</v>
      </c>
      <c r="I600" s="20" t="e">
        <f t="shared" si="28"/>
        <v>#N/A</v>
      </c>
      <c r="J600" s="23" t="e">
        <f t="shared" si="26"/>
        <v>#N/A</v>
      </c>
    </row>
    <row r="601" spans="7:10" ht="19" customHeight="1">
      <c r="G601" s="20" t="e">
        <f>VLOOKUP(D601,단가!B:D,3,0)</f>
        <v>#N/A</v>
      </c>
      <c r="H601" s="20" t="e">
        <f t="shared" si="27"/>
        <v>#N/A</v>
      </c>
      <c r="I601" s="20" t="e">
        <f t="shared" si="28"/>
        <v>#N/A</v>
      </c>
      <c r="J601" s="23" t="e">
        <f t="shared" si="26"/>
        <v>#N/A</v>
      </c>
    </row>
    <row r="602" spans="7:10" ht="19" customHeight="1">
      <c r="G602" s="20" t="e">
        <f>VLOOKUP(D602,단가!B:D,3,0)</f>
        <v>#N/A</v>
      </c>
      <c r="H602" s="20" t="e">
        <f t="shared" si="27"/>
        <v>#N/A</v>
      </c>
      <c r="I602" s="20" t="e">
        <f t="shared" si="28"/>
        <v>#N/A</v>
      </c>
      <c r="J602" s="23" t="e">
        <f t="shared" si="26"/>
        <v>#N/A</v>
      </c>
    </row>
    <row r="603" spans="7:10" ht="19" customHeight="1">
      <c r="G603" s="20" t="e">
        <f>VLOOKUP(D603,단가!B:D,3,0)</f>
        <v>#N/A</v>
      </c>
      <c r="H603" s="20" t="e">
        <f t="shared" si="27"/>
        <v>#N/A</v>
      </c>
      <c r="I603" s="20" t="e">
        <f t="shared" si="28"/>
        <v>#N/A</v>
      </c>
      <c r="J603" s="23" t="e">
        <f t="shared" si="26"/>
        <v>#N/A</v>
      </c>
    </row>
    <row r="604" spans="7:10" ht="19" customHeight="1">
      <c r="G604" s="20" t="e">
        <f>VLOOKUP(D604,단가!B:D,3,0)</f>
        <v>#N/A</v>
      </c>
      <c r="H604" s="20" t="e">
        <f t="shared" si="27"/>
        <v>#N/A</v>
      </c>
      <c r="I604" s="20" t="e">
        <f t="shared" si="28"/>
        <v>#N/A</v>
      </c>
      <c r="J604" s="23" t="e">
        <f t="shared" si="26"/>
        <v>#N/A</v>
      </c>
    </row>
    <row r="605" spans="7:10" ht="19" customHeight="1">
      <c r="G605" s="20" t="e">
        <f>VLOOKUP(D605,단가!B:D,3,0)</f>
        <v>#N/A</v>
      </c>
      <c r="H605" s="20" t="e">
        <f t="shared" si="27"/>
        <v>#N/A</v>
      </c>
      <c r="I605" s="20" t="e">
        <f t="shared" si="28"/>
        <v>#N/A</v>
      </c>
      <c r="J605" s="23" t="e">
        <f t="shared" si="26"/>
        <v>#N/A</v>
      </c>
    </row>
    <row r="606" spans="7:10" ht="19" customHeight="1">
      <c r="G606" s="20" t="e">
        <f>VLOOKUP(D606,단가!B:D,3,0)</f>
        <v>#N/A</v>
      </c>
      <c r="H606" s="20" t="e">
        <f t="shared" si="27"/>
        <v>#N/A</v>
      </c>
      <c r="I606" s="20" t="e">
        <f t="shared" si="28"/>
        <v>#N/A</v>
      </c>
      <c r="J606" s="23" t="e">
        <f t="shared" si="26"/>
        <v>#N/A</v>
      </c>
    </row>
    <row r="607" spans="7:10" ht="19" customHeight="1">
      <c r="G607" s="20" t="e">
        <f>VLOOKUP(D607,단가!B:D,3,0)</f>
        <v>#N/A</v>
      </c>
      <c r="H607" s="20" t="e">
        <f t="shared" si="27"/>
        <v>#N/A</v>
      </c>
      <c r="I607" s="20" t="e">
        <f t="shared" si="28"/>
        <v>#N/A</v>
      </c>
      <c r="J607" s="23" t="e">
        <f t="shared" si="26"/>
        <v>#N/A</v>
      </c>
    </row>
    <row r="608" spans="7:10" ht="19" customHeight="1">
      <c r="G608" s="20" t="e">
        <f>VLOOKUP(D608,단가!B:D,3,0)</f>
        <v>#N/A</v>
      </c>
      <c r="H608" s="20" t="e">
        <f t="shared" si="27"/>
        <v>#N/A</v>
      </c>
      <c r="I608" s="20" t="e">
        <f t="shared" si="28"/>
        <v>#N/A</v>
      </c>
      <c r="J608" s="23" t="e">
        <f t="shared" si="26"/>
        <v>#N/A</v>
      </c>
    </row>
    <row r="609" spans="7:10" ht="19" customHeight="1">
      <c r="G609" s="20" t="e">
        <f>VLOOKUP(D609,단가!B:D,3,0)</f>
        <v>#N/A</v>
      </c>
      <c r="H609" s="20" t="e">
        <f t="shared" si="27"/>
        <v>#N/A</v>
      </c>
      <c r="I609" s="20" t="e">
        <f t="shared" si="28"/>
        <v>#N/A</v>
      </c>
      <c r="J609" s="23" t="e">
        <f t="shared" si="26"/>
        <v>#N/A</v>
      </c>
    </row>
    <row r="610" spans="7:10" ht="19" customHeight="1">
      <c r="G610" s="20" t="e">
        <f>VLOOKUP(D610,단가!B:D,3,0)</f>
        <v>#N/A</v>
      </c>
      <c r="H610" s="20" t="e">
        <f t="shared" si="27"/>
        <v>#N/A</v>
      </c>
      <c r="I610" s="20" t="e">
        <f t="shared" si="28"/>
        <v>#N/A</v>
      </c>
      <c r="J610" s="23" t="e">
        <f t="shared" si="26"/>
        <v>#N/A</v>
      </c>
    </row>
    <row r="611" spans="7:10" ht="19" customHeight="1">
      <c r="G611" s="20" t="e">
        <f>VLOOKUP(D611,단가!B:D,3,0)</f>
        <v>#N/A</v>
      </c>
      <c r="H611" s="20" t="e">
        <f t="shared" si="27"/>
        <v>#N/A</v>
      </c>
      <c r="I611" s="20" t="e">
        <f t="shared" si="28"/>
        <v>#N/A</v>
      </c>
      <c r="J611" s="23" t="e">
        <f t="shared" si="26"/>
        <v>#N/A</v>
      </c>
    </row>
    <row r="612" spans="7:10" ht="19" customHeight="1">
      <c r="G612" s="20" t="e">
        <f>VLOOKUP(D612,단가!B:D,3,0)</f>
        <v>#N/A</v>
      </c>
      <c r="H612" s="20" t="e">
        <f t="shared" si="27"/>
        <v>#N/A</v>
      </c>
      <c r="I612" s="20" t="e">
        <f t="shared" si="28"/>
        <v>#N/A</v>
      </c>
      <c r="J612" s="23" t="e">
        <f t="shared" si="26"/>
        <v>#N/A</v>
      </c>
    </row>
    <row r="613" spans="7:10" ht="19" customHeight="1">
      <c r="G613" s="20" t="e">
        <f>VLOOKUP(D613,단가!B:D,3,0)</f>
        <v>#N/A</v>
      </c>
      <c r="H613" s="20" t="e">
        <f t="shared" si="27"/>
        <v>#N/A</v>
      </c>
      <c r="I613" s="20" t="e">
        <f t="shared" si="28"/>
        <v>#N/A</v>
      </c>
      <c r="J613" s="23" t="e">
        <f t="shared" si="26"/>
        <v>#N/A</v>
      </c>
    </row>
    <row r="614" spans="7:10" ht="19" customHeight="1">
      <c r="G614" s="20" t="e">
        <f>VLOOKUP(D614,단가!B:D,3,0)</f>
        <v>#N/A</v>
      </c>
      <c r="H614" s="20" t="e">
        <f t="shared" si="27"/>
        <v>#N/A</v>
      </c>
      <c r="I614" s="20" t="e">
        <f t="shared" si="28"/>
        <v>#N/A</v>
      </c>
      <c r="J614" s="23" t="e">
        <f t="shared" si="26"/>
        <v>#N/A</v>
      </c>
    </row>
    <row r="615" spans="7:10" ht="19" customHeight="1">
      <c r="G615" s="20" t="e">
        <f>VLOOKUP(D615,단가!B:D,3,0)</f>
        <v>#N/A</v>
      </c>
      <c r="H615" s="20" t="e">
        <f t="shared" si="27"/>
        <v>#N/A</v>
      </c>
      <c r="I615" s="20" t="e">
        <f t="shared" si="28"/>
        <v>#N/A</v>
      </c>
      <c r="J615" s="23" t="e">
        <f t="shared" si="26"/>
        <v>#N/A</v>
      </c>
    </row>
    <row r="616" spans="7:10" ht="19" customHeight="1">
      <c r="G616" s="20" t="e">
        <f>VLOOKUP(D616,단가!B:D,3,0)</f>
        <v>#N/A</v>
      </c>
      <c r="H616" s="20" t="e">
        <f t="shared" si="27"/>
        <v>#N/A</v>
      </c>
      <c r="I616" s="20" t="e">
        <f t="shared" si="28"/>
        <v>#N/A</v>
      </c>
      <c r="J616" s="23" t="e">
        <f t="shared" si="26"/>
        <v>#N/A</v>
      </c>
    </row>
    <row r="617" spans="7:10" ht="19" customHeight="1">
      <c r="G617" s="20" t="e">
        <f>VLOOKUP(D617,단가!B:D,3,0)</f>
        <v>#N/A</v>
      </c>
      <c r="H617" s="20" t="e">
        <f t="shared" si="27"/>
        <v>#N/A</v>
      </c>
      <c r="I617" s="20" t="e">
        <f t="shared" si="28"/>
        <v>#N/A</v>
      </c>
      <c r="J617" s="23" t="e">
        <f t="shared" si="26"/>
        <v>#N/A</v>
      </c>
    </row>
    <row r="618" spans="7:10" ht="19" customHeight="1">
      <c r="G618" s="20" t="e">
        <f>VLOOKUP(D618,단가!B:D,3,0)</f>
        <v>#N/A</v>
      </c>
      <c r="H618" s="20" t="e">
        <f t="shared" si="27"/>
        <v>#N/A</v>
      </c>
      <c r="I618" s="20" t="e">
        <f t="shared" si="28"/>
        <v>#N/A</v>
      </c>
      <c r="J618" s="23" t="e">
        <f t="shared" si="26"/>
        <v>#N/A</v>
      </c>
    </row>
    <row r="619" spans="7:10" ht="19" customHeight="1">
      <c r="G619" s="20" t="e">
        <f>VLOOKUP(D619,단가!B:D,3,0)</f>
        <v>#N/A</v>
      </c>
      <c r="H619" s="20" t="e">
        <f t="shared" si="27"/>
        <v>#N/A</v>
      </c>
      <c r="I619" s="20" t="e">
        <f t="shared" si="28"/>
        <v>#N/A</v>
      </c>
      <c r="J619" s="23" t="e">
        <f t="shared" si="26"/>
        <v>#N/A</v>
      </c>
    </row>
    <row r="620" spans="7:10" ht="19" customHeight="1">
      <c r="G620" s="20" t="e">
        <f>VLOOKUP(D620,단가!B:D,3,0)</f>
        <v>#N/A</v>
      </c>
      <c r="H620" s="20" t="e">
        <f t="shared" si="27"/>
        <v>#N/A</v>
      </c>
      <c r="I620" s="20" t="e">
        <f t="shared" si="28"/>
        <v>#N/A</v>
      </c>
      <c r="J620" s="23" t="e">
        <f t="shared" si="26"/>
        <v>#N/A</v>
      </c>
    </row>
    <row r="621" spans="7:10" ht="19" customHeight="1">
      <c r="G621" s="20" t="e">
        <f>VLOOKUP(D621,단가!B:D,3,0)</f>
        <v>#N/A</v>
      </c>
      <c r="H621" s="20" t="e">
        <f t="shared" si="27"/>
        <v>#N/A</v>
      </c>
      <c r="I621" s="20" t="e">
        <f t="shared" si="28"/>
        <v>#N/A</v>
      </c>
      <c r="J621" s="23" t="e">
        <f t="shared" si="26"/>
        <v>#N/A</v>
      </c>
    </row>
    <row r="622" spans="7:10" ht="19" customHeight="1">
      <c r="G622" s="20" t="e">
        <f>VLOOKUP(D622,단가!B:D,3,0)</f>
        <v>#N/A</v>
      </c>
      <c r="H622" s="20" t="e">
        <f t="shared" si="27"/>
        <v>#N/A</v>
      </c>
      <c r="I622" s="20" t="e">
        <f t="shared" si="28"/>
        <v>#N/A</v>
      </c>
      <c r="J622" s="23" t="e">
        <f t="shared" si="26"/>
        <v>#N/A</v>
      </c>
    </row>
    <row r="623" spans="7:10" ht="19" customHeight="1">
      <c r="G623" s="20" t="e">
        <f>VLOOKUP(D623,단가!B:D,3,0)</f>
        <v>#N/A</v>
      </c>
      <c r="H623" s="20" t="e">
        <f t="shared" si="27"/>
        <v>#N/A</v>
      </c>
      <c r="I623" s="20" t="e">
        <f t="shared" si="28"/>
        <v>#N/A</v>
      </c>
      <c r="J623" s="23" t="e">
        <f t="shared" si="26"/>
        <v>#N/A</v>
      </c>
    </row>
    <row r="624" spans="7:10" ht="19" customHeight="1">
      <c r="G624" s="20" t="e">
        <f>VLOOKUP(D624,단가!B:D,3,0)</f>
        <v>#N/A</v>
      </c>
      <c r="H624" s="20" t="e">
        <f t="shared" si="27"/>
        <v>#N/A</v>
      </c>
      <c r="I624" s="20" t="e">
        <f t="shared" si="28"/>
        <v>#N/A</v>
      </c>
      <c r="J624" s="23" t="e">
        <f t="shared" si="26"/>
        <v>#N/A</v>
      </c>
    </row>
    <row r="625" spans="7:10" ht="19" customHeight="1">
      <c r="G625" s="20" t="e">
        <f>VLOOKUP(D625,단가!B:D,3,0)</f>
        <v>#N/A</v>
      </c>
      <c r="H625" s="20" t="e">
        <f t="shared" si="27"/>
        <v>#N/A</v>
      </c>
      <c r="I625" s="20" t="e">
        <f t="shared" si="28"/>
        <v>#N/A</v>
      </c>
      <c r="J625" s="23" t="e">
        <f t="shared" si="26"/>
        <v>#N/A</v>
      </c>
    </row>
    <row r="626" spans="7:10" ht="19" customHeight="1">
      <c r="G626" s="20" t="e">
        <f>VLOOKUP(D626,단가!B:D,3,0)</f>
        <v>#N/A</v>
      </c>
      <c r="H626" s="20" t="e">
        <f t="shared" si="27"/>
        <v>#N/A</v>
      </c>
      <c r="I626" s="20" t="e">
        <f t="shared" si="28"/>
        <v>#N/A</v>
      </c>
      <c r="J626" s="23" t="e">
        <f t="shared" si="26"/>
        <v>#N/A</v>
      </c>
    </row>
    <row r="627" spans="7:10" ht="19" customHeight="1">
      <c r="G627" s="20" t="e">
        <f>VLOOKUP(D627,단가!B:D,3,0)</f>
        <v>#N/A</v>
      </c>
      <c r="H627" s="20" t="e">
        <f t="shared" si="27"/>
        <v>#N/A</v>
      </c>
      <c r="I627" s="20" t="e">
        <f t="shared" si="28"/>
        <v>#N/A</v>
      </c>
      <c r="J627" s="23" t="e">
        <f t="shared" si="26"/>
        <v>#N/A</v>
      </c>
    </row>
    <row r="628" spans="7:10" ht="19" customHeight="1">
      <c r="G628" s="20" t="e">
        <f>VLOOKUP(D628,단가!B:D,3,0)</f>
        <v>#N/A</v>
      </c>
      <c r="H628" s="20" t="e">
        <f t="shared" si="27"/>
        <v>#N/A</v>
      </c>
      <c r="I628" s="20" t="e">
        <f t="shared" si="28"/>
        <v>#N/A</v>
      </c>
      <c r="J628" s="23" t="e">
        <f t="shared" si="26"/>
        <v>#N/A</v>
      </c>
    </row>
    <row r="629" spans="7:10" ht="19" customHeight="1">
      <c r="G629" s="20" t="e">
        <f>VLOOKUP(D629,단가!B:D,3,0)</f>
        <v>#N/A</v>
      </c>
      <c r="H629" s="20" t="e">
        <f t="shared" si="27"/>
        <v>#N/A</v>
      </c>
      <c r="I629" s="20" t="e">
        <f t="shared" si="28"/>
        <v>#N/A</v>
      </c>
      <c r="J629" s="23" t="e">
        <f t="shared" si="26"/>
        <v>#N/A</v>
      </c>
    </row>
    <row r="630" spans="7:10" ht="19" customHeight="1">
      <c r="G630" s="20" t="e">
        <f>VLOOKUP(D630,단가!B:D,3,0)</f>
        <v>#N/A</v>
      </c>
      <c r="H630" s="20" t="e">
        <f t="shared" si="27"/>
        <v>#N/A</v>
      </c>
      <c r="I630" s="20" t="e">
        <f t="shared" si="28"/>
        <v>#N/A</v>
      </c>
      <c r="J630" s="23" t="e">
        <f t="shared" si="26"/>
        <v>#N/A</v>
      </c>
    </row>
    <row r="631" spans="7:10" ht="19" customHeight="1">
      <c r="G631" s="20" t="e">
        <f>VLOOKUP(D631,단가!B:D,3,0)</f>
        <v>#N/A</v>
      </c>
      <c r="H631" s="20" t="e">
        <f t="shared" si="27"/>
        <v>#N/A</v>
      </c>
      <c r="I631" s="20" t="e">
        <f t="shared" si="28"/>
        <v>#N/A</v>
      </c>
      <c r="J631" s="23" t="e">
        <f t="shared" si="26"/>
        <v>#N/A</v>
      </c>
    </row>
    <row r="632" spans="7:10" ht="19" customHeight="1">
      <c r="G632" s="20" t="e">
        <f>VLOOKUP(D632,단가!B:D,3,0)</f>
        <v>#N/A</v>
      </c>
      <c r="H632" s="20" t="e">
        <f t="shared" si="27"/>
        <v>#N/A</v>
      </c>
      <c r="I632" s="20" t="e">
        <f t="shared" si="28"/>
        <v>#N/A</v>
      </c>
      <c r="J632" s="23" t="e">
        <f t="shared" si="26"/>
        <v>#N/A</v>
      </c>
    </row>
    <row r="633" spans="7:10" ht="19" customHeight="1">
      <c r="G633" s="20" t="e">
        <f>VLOOKUP(D633,단가!B:D,3,0)</f>
        <v>#N/A</v>
      </c>
      <c r="H633" s="20" t="e">
        <f t="shared" si="27"/>
        <v>#N/A</v>
      </c>
      <c r="I633" s="20" t="e">
        <f t="shared" si="28"/>
        <v>#N/A</v>
      </c>
      <c r="J633" s="23" t="e">
        <f t="shared" si="26"/>
        <v>#N/A</v>
      </c>
    </row>
    <row r="634" spans="7:10" ht="19" customHeight="1">
      <c r="G634" s="20" t="e">
        <f>VLOOKUP(D634,단가!B:D,3,0)</f>
        <v>#N/A</v>
      </c>
      <c r="H634" s="20" t="e">
        <f t="shared" si="27"/>
        <v>#N/A</v>
      </c>
      <c r="I634" s="20" t="e">
        <f t="shared" si="28"/>
        <v>#N/A</v>
      </c>
      <c r="J634" s="23" t="e">
        <f t="shared" si="26"/>
        <v>#N/A</v>
      </c>
    </row>
    <row r="635" spans="7:10" ht="19" customHeight="1">
      <c r="G635" s="20" t="e">
        <f>VLOOKUP(D635,단가!B:D,3,0)</f>
        <v>#N/A</v>
      </c>
      <c r="H635" s="20" t="e">
        <f t="shared" si="27"/>
        <v>#N/A</v>
      </c>
      <c r="I635" s="20" t="e">
        <f t="shared" si="28"/>
        <v>#N/A</v>
      </c>
      <c r="J635" s="23" t="e">
        <f t="shared" si="26"/>
        <v>#N/A</v>
      </c>
    </row>
    <row r="636" spans="7:10" ht="19" customHeight="1">
      <c r="G636" s="20" t="e">
        <f>VLOOKUP(D636,단가!B:D,3,0)</f>
        <v>#N/A</v>
      </c>
      <c r="H636" s="20" t="e">
        <f t="shared" si="27"/>
        <v>#N/A</v>
      </c>
      <c r="I636" s="20" t="e">
        <f t="shared" si="28"/>
        <v>#N/A</v>
      </c>
      <c r="J636" s="23" t="e">
        <f t="shared" si="26"/>
        <v>#N/A</v>
      </c>
    </row>
    <row r="637" spans="7:10" ht="19" customHeight="1">
      <c r="G637" s="20" t="e">
        <f>VLOOKUP(D637,단가!B:D,3,0)</f>
        <v>#N/A</v>
      </c>
      <c r="H637" s="20" t="e">
        <f t="shared" si="27"/>
        <v>#N/A</v>
      </c>
      <c r="I637" s="20" t="e">
        <f t="shared" si="28"/>
        <v>#N/A</v>
      </c>
      <c r="J637" s="23" t="e">
        <f t="shared" si="26"/>
        <v>#N/A</v>
      </c>
    </row>
    <row r="638" spans="7:10" ht="19" customHeight="1">
      <c r="G638" s="20" t="e">
        <f>VLOOKUP(D638,단가!B:D,3,0)</f>
        <v>#N/A</v>
      </c>
      <c r="H638" s="20" t="e">
        <f t="shared" si="27"/>
        <v>#N/A</v>
      </c>
      <c r="I638" s="20" t="e">
        <f t="shared" si="28"/>
        <v>#N/A</v>
      </c>
      <c r="J638" s="23" t="e">
        <f t="shared" si="26"/>
        <v>#N/A</v>
      </c>
    </row>
    <row r="639" spans="7:10" ht="19" customHeight="1">
      <c r="G639" s="20" t="e">
        <f>VLOOKUP(D639,단가!B:D,3,0)</f>
        <v>#N/A</v>
      </c>
      <c r="H639" s="20" t="e">
        <f t="shared" si="27"/>
        <v>#N/A</v>
      </c>
      <c r="I639" s="20" t="e">
        <f t="shared" si="28"/>
        <v>#N/A</v>
      </c>
      <c r="J639" s="23" t="e">
        <f t="shared" si="26"/>
        <v>#N/A</v>
      </c>
    </row>
    <row r="640" spans="7:10" ht="19" customHeight="1">
      <c r="G640" s="20" t="e">
        <f>VLOOKUP(D640,단가!B:D,3,0)</f>
        <v>#N/A</v>
      </c>
      <c r="H640" s="20" t="e">
        <f t="shared" si="27"/>
        <v>#N/A</v>
      </c>
      <c r="I640" s="20" t="e">
        <f t="shared" si="28"/>
        <v>#N/A</v>
      </c>
      <c r="J640" s="23" t="e">
        <f t="shared" si="26"/>
        <v>#N/A</v>
      </c>
    </row>
    <row r="641" spans="7:10" ht="19" customHeight="1">
      <c r="G641" s="20" t="e">
        <f>VLOOKUP(D641,단가!B:D,3,0)</f>
        <v>#N/A</v>
      </c>
      <c r="H641" s="20" t="e">
        <f t="shared" si="27"/>
        <v>#N/A</v>
      </c>
      <c r="I641" s="20" t="e">
        <f t="shared" si="28"/>
        <v>#N/A</v>
      </c>
      <c r="J641" s="23" t="e">
        <f t="shared" si="26"/>
        <v>#N/A</v>
      </c>
    </row>
    <row r="642" spans="7:10" ht="19" customHeight="1">
      <c r="G642" s="20" t="e">
        <f>VLOOKUP(D642,단가!B:D,3,0)</f>
        <v>#N/A</v>
      </c>
      <c r="H642" s="20" t="e">
        <f t="shared" si="27"/>
        <v>#N/A</v>
      </c>
      <c r="I642" s="20" t="e">
        <f t="shared" si="28"/>
        <v>#N/A</v>
      </c>
      <c r="J642" s="23" t="e">
        <f t="shared" si="26"/>
        <v>#N/A</v>
      </c>
    </row>
    <row r="643" spans="7:10" ht="19" customHeight="1">
      <c r="G643" s="20" t="e">
        <f>VLOOKUP(D643,단가!B:D,3,0)</f>
        <v>#N/A</v>
      </c>
      <c r="H643" s="20" t="e">
        <f t="shared" si="27"/>
        <v>#N/A</v>
      </c>
      <c r="I643" s="20" t="e">
        <f t="shared" si="28"/>
        <v>#N/A</v>
      </c>
      <c r="J643" s="23" t="e">
        <f t="shared" si="26"/>
        <v>#N/A</v>
      </c>
    </row>
    <row r="644" spans="7:10" ht="19" customHeight="1">
      <c r="G644" s="20" t="e">
        <f>VLOOKUP(D644,단가!B:D,3,0)</f>
        <v>#N/A</v>
      </c>
      <c r="H644" s="20" t="e">
        <f t="shared" si="27"/>
        <v>#N/A</v>
      </c>
      <c r="I644" s="20" t="e">
        <f t="shared" si="28"/>
        <v>#N/A</v>
      </c>
      <c r="J644" s="23" t="e">
        <f t="shared" si="26"/>
        <v>#N/A</v>
      </c>
    </row>
    <row r="645" spans="7:10" ht="19" customHeight="1">
      <c r="G645" s="20" t="e">
        <f>VLOOKUP(D645,단가!B:D,3,0)</f>
        <v>#N/A</v>
      </c>
      <c r="H645" s="20" t="e">
        <f t="shared" si="27"/>
        <v>#N/A</v>
      </c>
      <c r="I645" s="20" t="e">
        <f t="shared" si="28"/>
        <v>#N/A</v>
      </c>
      <c r="J645" s="23" t="e">
        <f t="shared" si="26"/>
        <v>#N/A</v>
      </c>
    </row>
    <row r="646" spans="7:10" ht="19" customHeight="1">
      <c r="G646" s="20" t="e">
        <f>VLOOKUP(D646,단가!B:D,3,0)</f>
        <v>#N/A</v>
      </c>
      <c r="H646" s="20" t="e">
        <f t="shared" si="27"/>
        <v>#N/A</v>
      </c>
      <c r="I646" s="20" t="e">
        <f t="shared" si="28"/>
        <v>#N/A</v>
      </c>
      <c r="J646" s="23" t="e">
        <f t="shared" si="26"/>
        <v>#N/A</v>
      </c>
    </row>
    <row r="647" spans="7:10" ht="19" customHeight="1">
      <c r="G647" s="20" t="e">
        <f>VLOOKUP(D647,단가!B:D,3,0)</f>
        <v>#N/A</v>
      </c>
      <c r="H647" s="20" t="e">
        <f t="shared" si="27"/>
        <v>#N/A</v>
      </c>
      <c r="I647" s="20" t="e">
        <f t="shared" si="28"/>
        <v>#N/A</v>
      </c>
      <c r="J647" s="23" t="e">
        <f t="shared" si="26"/>
        <v>#N/A</v>
      </c>
    </row>
    <row r="648" spans="7:10" ht="19" customHeight="1">
      <c r="G648" s="20" t="e">
        <f>VLOOKUP(D648,단가!B:D,3,0)</f>
        <v>#N/A</v>
      </c>
      <c r="H648" s="20" t="e">
        <f t="shared" si="27"/>
        <v>#N/A</v>
      </c>
      <c r="I648" s="20" t="e">
        <f t="shared" si="28"/>
        <v>#N/A</v>
      </c>
      <c r="J648" s="23" t="e">
        <f t="shared" si="26"/>
        <v>#N/A</v>
      </c>
    </row>
    <row r="649" spans="7:10" ht="19" customHeight="1">
      <c r="G649" s="20" t="e">
        <f>VLOOKUP(D649,단가!B:D,3,0)</f>
        <v>#N/A</v>
      </c>
      <c r="H649" s="20" t="e">
        <f t="shared" si="27"/>
        <v>#N/A</v>
      </c>
      <c r="I649" s="20" t="e">
        <f t="shared" si="28"/>
        <v>#N/A</v>
      </c>
      <c r="J649" s="23" t="e">
        <f t="shared" si="26"/>
        <v>#N/A</v>
      </c>
    </row>
    <row r="650" spans="7:10" ht="19" customHeight="1">
      <c r="G650" s="20" t="e">
        <f>VLOOKUP(D650,단가!B:D,3,0)</f>
        <v>#N/A</v>
      </c>
      <c r="H650" s="20" t="e">
        <f t="shared" si="27"/>
        <v>#N/A</v>
      </c>
      <c r="I650" s="20" t="e">
        <f t="shared" si="28"/>
        <v>#N/A</v>
      </c>
      <c r="J650" s="23" t="e">
        <f t="shared" ref="J650:J704" si="29">H650+I650</f>
        <v>#N/A</v>
      </c>
    </row>
    <row r="651" spans="7:10" ht="19" customHeight="1">
      <c r="G651" s="20" t="e">
        <f>VLOOKUP(D651,단가!B:D,3,0)</f>
        <v>#N/A</v>
      </c>
      <c r="H651" s="20" t="e">
        <f t="shared" ref="H651:H704" si="30">F651*G651</f>
        <v>#N/A</v>
      </c>
      <c r="I651" s="20" t="e">
        <f t="shared" ref="I651:I704" si="31">H651*0.1</f>
        <v>#N/A</v>
      </c>
      <c r="J651" s="23" t="e">
        <f t="shared" si="29"/>
        <v>#N/A</v>
      </c>
    </row>
    <row r="652" spans="7:10" ht="19" customHeight="1">
      <c r="G652" s="20" t="e">
        <f>VLOOKUP(D652,단가!B:D,3,0)</f>
        <v>#N/A</v>
      </c>
      <c r="H652" s="20" t="e">
        <f t="shared" si="30"/>
        <v>#N/A</v>
      </c>
      <c r="I652" s="20" t="e">
        <f t="shared" si="31"/>
        <v>#N/A</v>
      </c>
      <c r="J652" s="23" t="e">
        <f t="shared" si="29"/>
        <v>#N/A</v>
      </c>
    </row>
    <row r="653" spans="7:10" ht="19" customHeight="1">
      <c r="G653" s="20" t="e">
        <f>VLOOKUP(D653,단가!B:D,3,0)</f>
        <v>#N/A</v>
      </c>
      <c r="H653" s="20" t="e">
        <f t="shared" si="30"/>
        <v>#N/A</v>
      </c>
      <c r="I653" s="20" t="e">
        <f t="shared" si="31"/>
        <v>#N/A</v>
      </c>
      <c r="J653" s="23" t="e">
        <f t="shared" si="29"/>
        <v>#N/A</v>
      </c>
    </row>
    <row r="654" spans="7:10" ht="19" customHeight="1">
      <c r="G654" s="20" t="e">
        <f>VLOOKUP(D654,단가!B:D,3,0)</f>
        <v>#N/A</v>
      </c>
      <c r="H654" s="20" t="e">
        <f t="shared" si="30"/>
        <v>#N/A</v>
      </c>
      <c r="I654" s="20" t="e">
        <f t="shared" si="31"/>
        <v>#N/A</v>
      </c>
      <c r="J654" s="23" t="e">
        <f t="shared" si="29"/>
        <v>#N/A</v>
      </c>
    </row>
    <row r="655" spans="7:10" ht="19" customHeight="1">
      <c r="G655" s="20" t="e">
        <f>VLOOKUP(D655,단가!B:D,3,0)</f>
        <v>#N/A</v>
      </c>
      <c r="H655" s="20" t="e">
        <f t="shared" si="30"/>
        <v>#N/A</v>
      </c>
      <c r="I655" s="20" t="e">
        <f t="shared" si="31"/>
        <v>#N/A</v>
      </c>
      <c r="J655" s="23" t="e">
        <f t="shared" si="29"/>
        <v>#N/A</v>
      </c>
    </row>
    <row r="656" spans="7:10" ht="19" customHeight="1">
      <c r="G656" s="20" t="e">
        <f>VLOOKUP(D656,단가!B:D,3,0)</f>
        <v>#N/A</v>
      </c>
      <c r="H656" s="20" t="e">
        <f t="shared" si="30"/>
        <v>#N/A</v>
      </c>
      <c r="I656" s="20" t="e">
        <f t="shared" si="31"/>
        <v>#N/A</v>
      </c>
      <c r="J656" s="23" t="e">
        <f t="shared" si="29"/>
        <v>#N/A</v>
      </c>
    </row>
    <row r="657" spans="7:10" ht="19" customHeight="1">
      <c r="G657" s="20" t="e">
        <f>VLOOKUP(D657,단가!B:D,3,0)</f>
        <v>#N/A</v>
      </c>
      <c r="H657" s="20" t="e">
        <f t="shared" si="30"/>
        <v>#N/A</v>
      </c>
      <c r="I657" s="20" t="e">
        <f t="shared" si="31"/>
        <v>#N/A</v>
      </c>
      <c r="J657" s="23" t="e">
        <f t="shared" si="29"/>
        <v>#N/A</v>
      </c>
    </row>
    <row r="658" spans="7:10" ht="19" customHeight="1">
      <c r="G658" s="20" t="e">
        <f>VLOOKUP(D658,단가!B:D,3,0)</f>
        <v>#N/A</v>
      </c>
      <c r="H658" s="20" t="e">
        <f t="shared" si="30"/>
        <v>#N/A</v>
      </c>
      <c r="I658" s="20" t="e">
        <f t="shared" si="31"/>
        <v>#N/A</v>
      </c>
      <c r="J658" s="23" t="e">
        <f t="shared" si="29"/>
        <v>#N/A</v>
      </c>
    </row>
    <row r="659" spans="7:10" ht="19" customHeight="1">
      <c r="G659" s="20" t="e">
        <f>VLOOKUP(D659,단가!B:D,3,0)</f>
        <v>#N/A</v>
      </c>
      <c r="H659" s="20" t="e">
        <f t="shared" si="30"/>
        <v>#N/A</v>
      </c>
      <c r="I659" s="20" t="e">
        <f t="shared" si="31"/>
        <v>#N/A</v>
      </c>
      <c r="J659" s="23" t="e">
        <f t="shared" si="29"/>
        <v>#N/A</v>
      </c>
    </row>
    <row r="660" spans="7:10" ht="19" customHeight="1">
      <c r="G660" s="20" t="e">
        <f>VLOOKUP(D660,단가!B:D,3,0)</f>
        <v>#N/A</v>
      </c>
      <c r="H660" s="20" t="e">
        <f t="shared" si="30"/>
        <v>#N/A</v>
      </c>
      <c r="I660" s="20" t="e">
        <f t="shared" si="31"/>
        <v>#N/A</v>
      </c>
      <c r="J660" s="23" t="e">
        <f t="shared" si="29"/>
        <v>#N/A</v>
      </c>
    </row>
    <row r="661" spans="7:10" ht="19" customHeight="1">
      <c r="G661" s="20" t="e">
        <f>VLOOKUP(D661,단가!B:D,3,0)</f>
        <v>#N/A</v>
      </c>
      <c r="H661" s="20" t="e">
        <f t="shared" si="30"/>
        <v>#N/A</v>
      </c>
      <c r="I661" s="20" t="e">
        <f t="shared" si="31"/>
        <v>#N/A</v>
      </c>
      <c r="J661" s="23" t="e">
        <f t="shared" si="29"/>
        <v>#N/A</v>
      </c>
    </row>
    <row r="662" spans="7:10" ht="19" customHeight="1">
      <c r="G662" s="20" t="e">
        <f>VLOOKUP(D662,단가!B:D,3,0)</f>
        <v>#N/A</v>
      </c>
      <c r="H662" s="20" t="e">
        <f t="shared" si="30"/>
        <v>#N/A</v>
      </c>
      <c r="I662" s="20" t="e">
        <f t="shared" si="31"/>
        <v>#N/A</v>
      </c>
      <c r="J662" s="23" t="e">
        <f t="shared" si="29"/>
        <v>#N/A</v>
      </c>
    </row>
    <row r="663" spans="7:10" ht="19" customHeight="1">
      <c r="G663" s="20" t="e">
        <f>VLOOKUP(D663,단가!B:D,3,0)</f>
        <v>#N/A</v>
      </c>
      <c r="H663" s="20" t="e">
        <f t="shared" si="30"/>
        <v>#N/A</v>
      </c>
      <c r="I663" s="20" t="e">
        <f t="shared" si="31"/>
        <v>#N/A</v>
      </c>
      <c r="J663" s="23" t="e">
        <f t="shared" si="29"/>
        <v>#N/A</v>
      </c>
    </row>
    <row r="664" spans="7:10" ht="19" customHeight="1">
      <c r="G664" s="20" t="e">
        <f>VLOOKUP(D664,단가!B:D,3,0)</f>
        <v>#N/A</v>
      </c>
      <c r="H664" s="20" t="e">
        <f t="shared" si="30"/>
        <v>#N/A</v>
      </c>
      <c r="I664" s="20" t="e">
        <f t="shared" si="31"/>
        <v>#N/A</v>
      </c>
      <c r="J664" s="23" t="e">
        <f t="shared" si="29"/>
        <v>#N/A</v>
      </c>
    </row>
    <row r="665" spans="7:10" ht="19" customHeight="1">
      <c r="G665" s="20" t="e">
        <f>VLOOKUP(D665,단가!B:D,3,0)</f>
        <v>#N/A</v>
      </c>
      <c r="H665" s="20" t="e">
        <f t="shared" si="30"/>
        <v>#N/A</v>
      </c>
      <c r="I665" s="20" t="e">
        <f t="shared" si="31"/>
        <v>#N/A</v>
      </c>
      <c r="J665" s="23" t="e">
        <f t="shared" si="29"/>
        <v>#N/A</v>
      </c>
    </row>
    <row r="666" spans="7:10" ht="19" customHeight="1">
      <c r="G666" s="20" t="e">
        <f>VLOOKUP(D666,단가!B:D,3,0)</f>
        <v>#N/A</v>
      </c>
      <c r="H666" s="20" t="e">
        <f t="shared" si="30"/>
        <v>#N/A</v>
      </c>
      <c r="I666" s="20" t="e">
        <f t="shared" si="31"/>
        <v>#N/A</v>
      </c>
      <c r="J666" s="23" t="e">
        <f t="shared" si="29"/>
        <v>#N/A</v>
      </c>
    </row>
    <row r="667" spans="7:10" ht="19" customHeight="1">
      <c r="G667" s="20" t="e">
        <f>VLOOKUP(D667,단가!B:D,3,0)</f>
        <v>#N/A</v>
      </c>
      <c r="H667" s="20" t="e">
        <f t="shared" si="30"/>
        <v>#N/A</v>
      </c>
      <c r="I667" s="20" t="e">
        <f t="shared" si="31"/>
        <v>#N/A</v>
      </c>
      <c r="J667" s="23" t="e">
        <f t="shared" si="29"/>
        <v>#N/A</v>
      </c>
    </row>
    <row r="668" spans="7:10" ht="19" customHeight="1">
      <c r="G668" s="20" t="e">
        <f>VLOOKUP(D668,단가!B:D,3,0)</f>
        <v>#N/A</v>
      </c>
      <c r="H668" s="20" t="e">
        <f t="shared" si="30"/>
        <v>#N/A</v>
      </c>
      <c r="I668" s="20" t="e">
        <f t="shared" si="31"/>
        <v>#N/A</v>
      </c>
      <c r="J668" s="23" t="e">
        <f t="shared" si="29"/>
        <v>#N/A</v>
      </c>
    </row>
    <row r="669" spans="7:10" ht="19" customHeight="1">
      <c r="G669" s="20" t="e">
        <f>VLOOKUP(D669,단가!B:D,3,0)</f>
        <v>#N/A</v>
      </c>
      <c r="H669" s="20" t="e">
        <f t="shared" si="30"/>
        <v>#N/A</v>
      </c>
      <c r="I669" s="20" t="e">
        <f t="shared" si="31"/>
        <v>#N/A</v>
      </c>
      <c r="J669" s="23" t="e">
        <f t="shared" si="29"/>
        <v>#N/A</v>
      </c>
    </row>
    <row r="670" spans="7:10" ht="19" customHeight="1">
      <c r="G670" s="20" t="e">
        <f>VLOOKUP(D670,단가!B:D,3,0)</f>
        <v>#N/A</v>
      </c>
      <c r="H670" s="20" t="e">
        <f t="shared" si="30"/>
        <v>#N/A</v>
      </c>
      <c r="I670" s="20" t="e">
        <f t="shared" si="31"/>
        <v>#N/A</v>
      </c>
      <c r="J670" s="23" t="e">
        <f t="shared" si="29"/>
        <v>#N/A</v>
      </c>
    </row>
    <row r="671" spans="7:10" ht="19" customHeight="1">
      <c r="G671" s="20" t="e">
        <f>VLOOKUP(D671,단가!B:D,3,0)</f>
        <v>#N/A</v>
      </c>
      <c r="H671" s="20" t="e">
        <f t="shared" si="30"/>
        <v>#N/A</v>
      </c>
      <c r="I671" s="20" t="e">
        <f t="shared" si="31"/>
        <v>#N/A</v>
      </c>
      <c r="J671" s="23" t="e">
        <f t="shared" si="29"/>
        <v>#N/A</v>
      </c>
    </row>
    <row r="672" spans="7:10" ht="19" customHeight="1">
      <c r="G672" s="20" t="e">
        <f>VLOOKUP(D672,단가!B:D,3,0)</f>
        <v>#N/A</v>
      </c>
      <c r="H672" s="20" t="e">
        <f t="shared" si="30"/>
        <v>#N/A</v>
      </c>
      <c r="I672" s="20" t="e">
        <f t="shared" si="31"/>
        <v>#N/A</v>
      </c>
      <c r="J672" s="23" t="e">
        <f t="shared" si="29"/>
        <v>#N/A</v>
      </c>
    </row>
    <row r="673" spans="7:10" ht="19" customHeight="1">
      <c r="G673" s="20" t="e">
        <f>VLOOKUP(D673,단가!B:D,3,0)</f>
        <v>#N/A</v>
      </c>
      <c r="H673" s="20" t="e">
        <f t="shared" si="30"/>
        <v>#N/A</v>
      </c>
      <c r="I673" s="20" t="e">
        <f t="shared" si="31"/>
        <v>#N/A</v>
      </c>
      <c r="J673" s="23" t="e">
        <f t="shared" si="29"/>
        <v>#N/A</v>
      </c>
    </row>
    <row r="674" spans="7:10" ht="19" customHeight="1">
      <c r="G674" s="20" t="e">
        <f>VLOOKUP(D674,단가!B:D,3,0)</f>
        <v>#N/A</v>
      </c>
      <c r="H674" s="20" t="e">
        <f t="shared" si="30"/>
        <v>#N/A</v>
      </c>
      <c r="I674" s="20" t="e">
        <f t="shared" si="31"/>
        <v>#N/A</v>
      </c>
      <c r="J674" s="23" t="e">
        <f t="shared" si="29"/>
        <v>#N/A</v>
      </c>
    </row>
    <row r="675" spans="7:10" ht="19" customHeight="1">
      <c r="G675" s="20" t="e">
        <f>VLOOKUP(D675,단가!B:D,3,0)</f>
        <v>#N/A</v>
      </c>
      <c r="H675" s="20" t="e">
        <f t="shared" si="30"/>
        <v>#N/A</v>
      </c>
      <c r="I675" s="20" t="e">
        <f t="shared" si="31"/>
        <v>#N/A</v>
      </c>
      <c r="J675" s="23" t="e">
        <f t="shared" si="29"/>
        <v>#N/A</v>
      </c>
    </row>
    <row r="676" spans="7:10" ht="19" customHeight="1">
      <c r="G676" s="20" t="e">
        <f>VLOOKUP(D676,단가!B:D,3,0)</f>
        <v>#N/A</v>
      </c>
      <c r="H676" s="20" t="e">
        <f t="shared" si="30"/>
        <v>#N/A</v>
      </c>
      <c r="I676" s="20" t="e">
        <f t="shared" si="31"/>
        <v>#N/A</v>
      </c>
      <c r="J676" s="23" t="e">
        <f t="shared" si="29"/>
        <v>#N/A</v>
      </c>
    </row>
    <row r="677" spans="7:10" ht="19" customHeight="1">
      <c r="G677" s="20" t="e">
        <f>VLOOKUP(D677,단가!B:D,3,0)</f>
        <v>#N/A</v>
      </c>
      <c r="H677" s="20" t="e">
        <f t="shared" si="30"/>
        <v>#N/A</v>
      </c>
      <c r="I677" s="20" t="e">
        <f t="shared" si="31"/>
        <v>#N/A</v>
      </c>
      <c r="J677" s="23" t="e">
        <f t="shared" si="29"/>
        <v>#N/A</v>
      </c>
    </row>
    <row r="678" spans="7:10" ht="19" customHeight="1">
      <c r="G678" s="20" t="e">
        <f>VLOOKUP(D678,단가!B:D,3,0)</f>
        <v>#N/A</v>
      </c>
      <c r="H678" s="20" t="e">
        <f t="shared" si="30"/>
        <v>#N/A</v>
      </c>
      <c r="I678" s="20" t="e">
        <f t="shared" si="31"/>
        <v>#N/A</v>
      </c>
      <c r="J678" s="23" t="e">
        <f t="shared" si="29"/>
        <v>#N/A</v>
      </c>
    </row>
    <row r="679" spans="7:10" ht="19" customHeight="1">
      <c r="G679" s="20" t="e">
        <f>VLOOKUP(D679,단가!B:D,3,0)</f>
        <v>#N/A</v>
      </c>
      <c r="H679" s="20" t="e">
        <f t="shared" si="30"/>
        <v>#N/A</v>
      </c>
      <c r="I679" s="20" t="e">
        <f t="shared" si="31"/>
        <v>#N/A</v>
      </c>
      <c r="J679" s="23" t="e">
        <f t="shared" si="29"/>
        <v>#N/A</v>
      </c>
    </row>
    <row r="680" spans="7:10" ht="19" customHeight="1">
      <c r="G680" s="20" t="e">
        <f>VLOOKUP(D680,단가!B:D,3,0)</f>
        <v>#N/A</v>
      </c>
      <c r="H680" s="20" t="e">
        <f t="shared" si="30"/>
        <v>#N/A</v>
      </c>
      <c r="I680" s="20" t="e">
        <f t="shared" si="31"/>
        <v>#N/A</v>
      </c>
      <c r="J680" s="23" t="e">
        <f t="shared" si="29"/>
        <v>#N/A</v>
      </c>
    </row>
    <row r="681" spans="7:10" ht="19" customHeight="1">
      <c r="G681" s="20" t="e">
        <f>VLOOKUP(D681,단가!B:D,3,0)</f>
        <v>#N/A</v>
      </c>
      <c r="H681" s="20" t="e">
        <f t="shared" si="30"/>
        <v>#N/A</v>
      </c>
      <c r="I681" s="20" t="e">
        <f t="shared" si="31"/>
        <v>#N/A</v>
      </c>
      <c r="J681" s="23" t="e">
        <f t="shared" si="29"/>
        <v>#N/A</v>
      </c>
    </row>
    <row r="682" spans="7:10" ht="19" customHeight="1">
      <c r="G682" s="20" t="e">
        <f>VLOOKUP(D682,단가!B:D,3,0)</f>
        <v>#N/A</v>
      </c>
      <c r="H682" s="20" t="e">
        <f t="shared" si="30"/>
        <v>#N/A</v>
      </c>
      <c r="I682" s="20" t="e">
        <f t="shared" si="31"/>
        <v>#N/A</v>
      </c>
      <c r="J682" s="23" t="e">
        <f t="shared" si="29"/>
        <v>#N/A</v>
      </c>
    </row>
    <row r="683" spans="7:10" ht="19" customHeight="1">
      <c r="G683" s="20" t="e">
        <f>VLOOKUP(D683,단가!B:D,3,0)</f>
        <v>#N/A</v>
      </c>
      <c r="H683" s="20" t="e">
        <f t="shared" si="30"/>
        <v>#N/A</v>
      </c>
      <c r="I683" s="20" t="e">
        <f t="shared" si="31"/>
        <v>#N/A</v>
      </c>
      <c r="J683" s="23" t="e">
        <f t="shared" si="29"/>
        <v>#N/A</v>
      </c>
    </row>
    <row r="684" spans="7:10" ht="19" customHeight="1">
      <c r="G684" s="20" t="e">
        <f>VLOOKUP(D684,단가!B:D,3,0)</f>
        <v>#N/A</v>
      </c>
      <c r="H684" s="20" t="e">
        <f t="shared" si="30"/>
        <v>#N/A</v>
      </c>
      <c r="I684" s="20" t="e">
        <f t="shared" si="31"/>
        <v>#N/A</v>
      </c>
      <c r="J684" s="23" t="e">
        <f t="shared" si="29"/>
        <v>#N/A</v>
      </c>
    </row>
    <row r="685" spans="7:10" ht="19" customHeight="1">
      <c r="G685" s="20" t="e">
        <f>VLOOKUP(D685,단가!B:D,3,0)</f>
        <v>#N/A</v>
      </c>
      <c r="H685" s="20" t="e">
        <f t="shared" si="30"/>
        <v>#N/A</v>
      </c>
      <c r="I685" s="20" t="e">
        <f t="shared" si="31"/>
        <v>#N/A</v>
      </c>
      <c r="J685" s="23" t="e">
        <f t="shared" si="29"/>
        <v>#N/A</v>
      </c>
    </row>
    <row r="686" spans="7:10" ht="19" customHeight="1">
      <c r="G686" s="20" t="e">
        <f>VLOOKUP(D686,단가!B:D,3,0)</f>
        <v>#N/A</v>
      </c>
      <c r="H686" s="20" t="e">
        <f t="shared" si="30"/>
        <v>#N/A</v>
      </c>
      <c r="I686" s="20" t="e">
        <f t="shared" si="31"/>
        <v>#N/A</v>
      </c>
      <c r="J686" s="23" t="e">
        <f t="shared" si="29"/>
        <v>#N/A</v>
      </c>
    </row>
    <row r="687" spans="7:10" ht="19" customHeight="1">
      <c r="G687" s="20" t="e">
        <f>VLOOKUP(D687,단가!B:D,3,0)</f>
        <v>#N/A</v>
      </c>
      <c r="H687" s="20" t="e">
        <f t="shared" si="30"/>
        <v>#N/A</v>
      </c>
      <c r="I687" s="20" t="e">
        <f t="shared" si="31"/>
        <v>#N/A</v>
      </c>
      <c r="J687" s="23" t="e">
        <f t="shared" si="29"/>
        <v>#N/A</v>
      </c>
    </row>
    <row r="688" spans="7:10" ht="19" customHeight="1">
      <c r="G688" s="20" t="e">
        <f>VLOOKUP(D688,단가!B:D,3,0)</f>
        <v>#N/A</v>
      </c>
      <c r="H688" s="20" t="e">
        <f t="shared" si="30"/>
        <v>#N/A</v>
      </c>
      <c r="I688" s="20" t="e">
        <f t="shared" si="31"/>
        <v>#N/A</v>
      </c>
      <c r="J688" s="23" t="e">
        <f t="shared" si="29"/>
        <v>#N/A</v>
      </c>
    </row>
    <row r="689" spans="7:10" ht="19" customHeight="1">
      <c r="G689" s="20" t="e">
        <f>VLOOKUP(D689,단가!B:D,3,0)</f>
        <v>#N/A</v>
      </c>
      <c r="H689" s="20" t="e">
        <f t="shared" si="30"/>
        <v>#N/A</v>
      </c>
      <c r="I689" s="20" t="e">
        <f t="shared" si="31"/>
        <v>#N/A</v>
      </c>
      <c r="J689" s="23" t="e">
        <f t="shared" si="29"/>
        <v>#N/A</v>
      </c>
    </row>
    <row r="690" spans="7:10" ht="19" customHeight="1">
      <c r="G690" s="20" t="e">
        <f>VLOOKUP(D690,단가!B:D,3,0)</f>
        <v>#N/A</v>
      </c>
      <c r="H690" s="20" t="e">
        <f t="shared" si="30"/>
        <v>#N/A</v>
      </c>
      <c r="I690" s="20" t="e">
        <f t="shared" si="31"/>
        <v>#N/A</v>
      </c>
      <c r="J690" s="23" t="e">
        <f t="shared" si="29"/>
        <v>#N/A</v>
      </c>
    </row>
    <row r="691" spans="7:10" ht="19" customHeight="1">
      <c r="G691" s="20" t="e">
        <f>VLOOKUP(D691,단가!B:D,3,0)</f>
        <v>#N/A</v>
      </c>
      <c r="H691" s="20" t="e">
        <f t="shared" si="30"/>
        <v>#N/A</v>
      </c>
      <c r="I691" s="20" t="e">
        <f t="shared" si="31"/>
        <v>#N/A</v>
      </c>
      <c r="J691" s="23" t="e">
        <f t="shared" si="29"/>
        <v>#N/A</v>
      </c>
    </row>
    <row r="692" spans="7:10" ht="19" customHeight="1">
      <c r="G692" s="20" t="e">
        <f>VLOOKUP(D692,단가!B:D,3,0)</f>
        <v>#N/A</v>
      </c>
      <c r="H692" s="20" t="e">
        <f t="shared" si="30"/>
        <v>#N/A</v>
      </c>
      <c r="I692" s="20" t="e">
        <f t="shared" si="31"/>
        <v>#N/A</v>
      </c>
      <c r="J692" s="23" t="e">
        <f t="shared" si="29"/>
        <v>#N/A</v>
      </c>
    </row>
    <row r="693" spans="7:10" ht="19" customHeight="1">
      <c r="G693" s="20" t="e">
        <f>VLOOKUP(D693,단가!B:D,3,0)</f>
        <v>#N/A</v>
      </c>
      <c r="H693" s="20" t="e">
        <f t="shared" si="30"/>
        <v>#N/A</v>
      </c>
      <c r="I693" s="20" t="e">
        <f t="shared" si="31"/>
        <v>#N/A</v>
      </c>
      <c r="J693" s="23" t="e">
        <f t="shared" si="29"/>
        <v>#N/A</v>
      </c>
    </row>
    <row r="694" spans="7:10" ht="19" customHeight="1">
      <c r="G694" s="20" t="e">
        <f>VLOOKUP(D694,단가!B:D,3,0)</f>
        <v>#N/A</v>
      </c>
      <c r="H694" s="20" t="e">
        <f t="shared" si="30"/>
        <v>#N/A</v>
      </c>
      <c r="I694" s="20" t="e">
        <f t="shared" si="31"/>
        <v>#N/A</v>
      </c>
      <c r="J694" s="23" t="e">
        <f t="shared" si="29"/>
        <v>#N/A</v>
      </c>
    </row>
    <row r="695" spans="7:10" ht="19" customHeight="1">
      <c r="G695" s="20" t="e">
        <f>VLOOKUP(D695,단가!B:D,3,0)</f>
        <v>#N/A</v>
      </c>
      <c r="H695" s="20" t="e">
        <f t="shared" si="30"/>
        <v>#N/A</v>
      </c>
      <c r="I695" s="20" t="e">
        <f t="shared" si="31"/>
        <v>#N/A</v>
      </c>
      <c r="J695" s="23" t="e">
        <f t="shared" si="29"/>
        <v>#N/A</v>
      </c>
    </row>
    <row r="696" spans="7:10" ht="19" customHeight="1">
      <c r="G696" s="20" t="e">
        <f>VLOOKUP(D696,단가!B:D,3,0)</f>
        <v>#N/A</v>
      </c>
      <c r="H696" s="20" t="e">
        <f t="shared" si="30"/>
        <v>#N/A</v>
      </c>
      <c r="I696" s="20" t="e">
        <f t="shared" si="31"/>
        <v>#N/A</v>
      </c>
      <c r="J696" s="23" t="e">
        <f t="shared" si="29"/>
        <v>#N/A</v>
      </c>
    </row>
    <row r="697" spans="7:10" ht="19" customHeight="1">
      <c r="G697" s="20" t="e">
        <f>VLOOKUP(D697,단가!B:D,3,0)</f>
        <v>#N/A</v>
      </c>
      <c r="H697" s="20" t="e">
        <f t="shared" si="30"/>
        <v>#N/A</v>
      </c>
      <c r="I697" s="20" t="e">
        <f t="shared" si="31"/>
        <v>#N/A</v>
      </c>
      <c r="J697" s="23" t="e">
        <f t="shared" si="29"/>
        <v>#N/A</v>
      </c>
    </row>
    <row r="698" spans="7:10" ht="19" customHeight="1">
      <c r="G698" s="20" t="e">
        <f>VLOOKUP(D698,단가!B:D,3,0)</f>
        <v>#N/A</v>
      </c>
      <c r="H698" s="20" t="e">
        <f t="shared" si="30"/>
        <v>#N/A</v>
      </c>
      <c r="I698" s="20" t="e">
        <f t="shared" si="31"/>
        <v>#N/A</v>
      </c>
      <c r="J698" s="23" t="e">
        <f t="shared" si="29"/>
        <v>#N/A</v>
      </c>
    </row>
    <row r="699" spans="7:10" ht="19" customHeight="1">
      <c r="G699" s="20" t="e">
        <f>VLOOKUP(D699,단가!B:D,3,0)</f>
        <v>#N/A</v>
      </c>
      <c r="H699" s="20" t="e">
        <f t="shared" si="30"/>
        <v>#N/A</v>
      </c>
      <c r="I699" s="20" t="e">
        <f t="shared" si="31"/>
        <v>#N/A</v>
      </c>
      <c r="J699" s="23" t="e">
        <f t="shared" si="29"/>
        <v>#N/A</v>
      </c>
    </row>
    <row r="700" spans="7:10" ht="19" customHeight="1">
      <c r="G700" s="20" t="e">
        <f>VLOOKUP(D700,단가!B:D,3,0)</f>
        <v>#N/A</v>
      </c>
      <c r="H700" s="20" t="e">
        <f t="shared" si="30"/>
        <v>#N/A</v>
      </c>
      <c r="I700" s="20" t="e">
        <f t="shared" si="31"/>
        <v>#N/A</v>
      </c>
      <c r="J700" s="23" t="e">
        <f t="shared" si="29"/>
        <v>#N/A</v>
      </c>
    </row>
    <row r="701" spans="7:10" ht="19" customHeight="1">
      <c r="G701" s="20" t="e">
        <f>VLOOKUP(D701,단가!B:D,3,0)</f>
        <v>#N/A</v>
      </c>
      <c r="H701" s="20" t="e">
        <f t="shared" si="30"/>
        <v>#N/A</v>
      </c>
      <c r="I701" s="20" t="e">
        <f t="shared" si="31"/>
        <v>#N/A</v>
      </c>
      <c r="J701" s="23" t="e">
        <f t="shared" si="29"/>
        <v>#N/A</v>
      </c>
    </row>
    <row r="702" spans="7:10" ht="19" customHeight="1">
      <c r="G702" s="20" t="e">
        <f>VLOOKUP(D702,단가!B:D,3,0)</f>
        <v>#N/A</v>
      </c>
      <c r="H702" s="20" t="e">
        <f t="shared" si="30"/>
        <v>#N/A</v>
      </c>
      <c r="I702" s="20" t="e">
        <f t="shared" si="31"/>
        <v>#N/A</v>
      </c>
      <c r="J702" s="23" t="e">
        <f t="shared" si="29"/>
        <v>#N/A</v>
      </c>
    </row>
    <row r="703" spans="7:10" ht="19" customHeight="1">
      <c r="G703" s="20" t="e">
        <f>VLOOKUP(D703,단가!B:D,3,0)</f>
        <v>#N/A</v>
      </c>
      <c r="H703" s="20" t="e">
        <f t="shared" si="30"/>
        <v>#N/A</v>
      </c>
      <c r="I703" s="20" t="e">
        <f t="shared" si="31"/>
        <v>#N/A</v>
      </c>
      <c r="J703" s="23" t="e">
        <f t="shared" si="29"/>
        <v>#N/A</v>
      </c>
    </row>
    <row r="704" spans="7:10" ht="19" customHeight="1">
      <c r="G704" s="20" t="e">
        <f>VLOOKUP(D704,단가!B:D,3,0)</f>
        <v>#N/A</v>
      </c>
      <c r="H704" s="20" t="e">
        <f t="shared" si="30"/>
        <v>#N/A</v>
      </c>
      <c r="I704" s="20" t="e">
        <f t="shared" si="31"/>
        <v>#N/A</v>
      </c>
      <c r="J704" s="23" t="e">
        <f t="shared" si="29"/>
        <v>#N/A</v>
      </c>
    </row>
  </sheetData>
  <autoFilter ref="A1:K760" xr:uid="{68ACAFF5-0E8E-4B13-AF03-11156C8879FA}"/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>
      <selection activeCell="B35" sqref="B35"/>
    </sheetView>
  </sheetViews>
  <sheetFormatPr baseColWidth="10" defaultColWidth="8.6640625" defaultRowHeight="15"/>
  <cols>
    <col min="1" max="1" width="4.83203125" style="6" customWidth="1"/>
    <col min="2" max="2" width="30.6640625" style="4" customWidth="1"/>
    <col min="3" max="3" width="17.33203125" style="6" customWidth="1"/>
    <col min="4" max="4" width="8.6640625" style="6"/>
    <col min="5" max="5" width="17.1640625" style="6" customWidth="1"/>
    <col min="6" max="6" width="32.33203125" style="6" customWidth="1"/>
    <col min="7" max="7" width="25.83203125" style="6" customWidth="1"/>
    <col min="8" max="8" width="8.6640625" style="6"/>
    <col min="9" max="9" width="17.33203125" style="6" customWidth="1"/>
    <col min="10" max="10" width="13.1640625" style="6" bestFit="1" customWidth="1"/>
    <col min="11" max="16384" width="8.6640625" style="6"/>
  </cols>
  <sheetData>
    <row r="1" spans="1:10" s="5" customFormat="1">
      <c r="A1" s="71" t="s">
        <v>11</v>
      </c>
      <c r="B1" s="96" t="s">
        <v>12</v>
      </c>
      <c r="C1" s="71" t="s">
        <v>13</v>
      </c>
      <c r="D1" s="71" t="s">
        <v>14</v>
      </c>
      <c r="E1" s="71" t="s">
        <v>15</v>
      </c>
      <c r="F1" s="71" t="s">
        <v>16</v>
      </c>
      <c r="G1" s="71" t="s">
        <v>17</v>
      </c>
      <c r="H1" s="71" t="s">
        <v>18</v>
      </c>
      <c r="I1" s="71" t="s">
        <v>19</v>
      </c>
      <c r="J1" s="71" t="s">
        <v>22</v>
      </c>
    </row>
    <row r="2" spans="1:10">
      <c r="A2" s="47">
        <v>1</v>
      </c>
      <c r="B2" s="40" t="s">
        <v>97</v>
      </c>
      <c r="C2" s="47"/>
      <c r="D2" s="47" t="s">
        <v>98</v>
      </c>
      <c r="E2" s="47" t="s">
        <v>99</v>
      </c>
      <c r="F2" s="47" t="s">
        <v>100</v>
      </c>
      <c r="G2" s="47"/>
      <c r="H2" s="47"/>
      <c r="I2" s="47"/>
      <c r="J2" s="47" t="s">
        <v>101</v>
      </c>
    </row>
    <row r="3" spans="1:10">
      <c r="A3" s="47">
        <v>2</v>
      </c>
      <c r="B3" s="40" t="s">
        <v>102</v>
      </c>
      <c r="C3" s="47" t="s">
        <v>110</v>
      </c>
      <c r="D3" s="47" t="s">
        <v>111</v>
      </c>
      <c r="E3" s="47" t="s">
        <v>113</v>
      </c>
      <c r="F3" s="47" t="s">
        <v>114</v>
      </c>
      <c r="G3" s="77" t="s">
        <v>185</v>
      </c>
      <c r="H3" s="47" t="s">
        <v>111</v>
      </c>
      <c r="I3" s="47" t="s">
        <v>119</v>
      </c>
      <c r="J3" s="47" t="s">
        <v>101</v>
      </c>
    </row>
    <row r="4" spans="1:10">
      <c r="A4" s="47">
        <v>3</v>
      </c>
      <c r="B4" s="40" t="s">
        <v>108</v>
      </c>
      <c r="C4" s="47" t="s">
        <v>116</v>
      </c>
      <c r="D4" s="47" t="s">
        <v>109</v>
      </c>
      <c r="E4" s="47" t="s">
        <v>112</v>
      </c>
      <c r="F4" s="47" t="s">
        <v>115</v>
      </c>
      <c r="G4" s="77" t="s">
        <v>136</v>
      </c>
      <c r="H4" s="47" t="s">
        <v>117</v>
      </c>
      <c r="I4" s="47" t="s">
        <v>118</v>
      </c>
      <c r="J4" s="47" t="s">
        <v>101</v>
      </c>
    </row>
    <row r="5" spans="1:10">
      <c r="A5" s="47">
        <v>4</v>
      </c>
      <c r="B5" s="40" t="s">
        <v>138</v>
      </c>
      <c r="C5" s="47"/>
      <c r="D5" s="47"/>
      <c r="E5" s="47" t="s">
        <v>139</v>
      </c>
      <c r="F5" s="47"/>
      <c r="G5" s="47"/>
      <c r="H5" s="47"/>
      <c r="I5" s="47" t="s">
        <v>140</v>
      </c>
      <c r="J5" s="47" t="s">
        <v>141</v>
      </c>
    </row>
    <row r="6" spans="1:10">
      <c r="A6" s="47">
        <v>5</v>
      </c>
      <c r="B6" s="40" t="s">
        <v>142</v>
      </c>
      <c r="C6" s="47"/>
      <c r="D6" s="47" t="s">
        <v>143</v>
      </c>
      <c r="E6" s="47" t="s">
        <v>139</v>
      </c>
      <c r="F6" s="47"/>
      <c r="G6" s="47"/>
      <c r="H6" s="47" t="s">
        <v>143</v>
      </c>
      <c r="I6" s="47" t="s">
        <v>144</v>
      </c>
      <c r="J6" s="47" t="s">
        <v>141</v>
      </c>
    </row>
    <row r="7" spans="1:10">
      <c r="A7" s="47">
        <v>6</v>
      </c>
      <c r="B7" s="40" t="s">
        <v>145</v>
      </c>
      <c r="C7" s="47"/>
      <c r="D7" s="47"/>
      <c r="E7" s="47"/>
      <c r="F7" s="47"/>
      <c r="G7" s="47"/>
      <c r="H7" s="47"/>
      <c r="I7" s="47"/>
      <c r="J7" s="47" t="s">
        <v>101</v>
      </c>
    </row>
    <row r="8" spans="1:10">
      <c r="A8" s="47">
        <v>7</v>
      </c>
      <c r="B8" s="40" t="s">
        <v>209</v>
      </c>
      <c r="C8" s="47" t="s">
        <v>210</v>
      </c>
      <c r="D8" s="47" t="s">
        <v>211</v>
      </c>
      <c r="E8" s="47" t="s">
        <v>213</v>
      </c>
      <c r="F8" s="47" t="s">
        <v>212</v>
      </c>
      <c r="G8" s="47"/>
      <c r="H8" s="47" t="s">
        <v>161</v>
      </c>
      <c r="I8" s="47"/>
      <c r="J8" s="47" t="s">
        <v>101</v>
      </c>
    </row>
    <row r="9" spans="1:10">
      <c r="A9" s="47">
        <v>8</v>
      </c>
      <c r="B9" s="40" t="s">
        <v>181</v>
      </c>
      <c r="C9" s="47"/>
      <c r="D9" s="47"/>
      <c r="E9" s="47" t="s">
        <v>184</v>
      </c>
      <c r="F9" s="47"/>
      <c r="G9" s="47" t="s">
        <v>187</v>
      </c>
      <c r="H9" s="47"/>
      <c r="I9" s="47"/>
      <c r="J9" s="47" t="s">
        <v>141</v>
      </c>
    </row>
    <row r="10" spans="1:10">
      <c r="A10" s="47">
        <v>9</v>
      </c>
      <c r="B10" s="40" t="s">
        <v>180</v>
      </c>
      <c r="C10" s="47"/>
      <c r="D10" s="47"/>
      <c r="E10" s="47" t="s">
        <v>184</v>
      </c>
      <c r="F10" s="47"/>
      <c r="G10" s="47" t="s">
        <v>187</v>
      </c>
      <c r="H10" s="47"/>
      <c r="I10" s="47"/>
      <c r="J10" s="47" t="s">
        <v>141</v>
      </c>
    </row>
    <row r="11" spans="1:10">
      <c r="A11" s="47">
        <v>10</v>
      </c>
      <c r="B11" s="40" t="s">
        <v>186</v>
      </c>
      <c r="C11" s="47"/>
      <c r="D11" s="47"/>
      <c r="E11" s="47" t="s">
        <v>184</v>
      </c>
      <c r="F11" s="47"/>
      <c r="G11" s="47" t="s">
        <v>190</v>
      </c>
      <c r="H11" s="47"/>
      <c r="I11" s="47"/>
      <c r="J11" s="47" t="s">
        <v>141</v>
      </c>
    </row>
    <row r="12" spans="1:10">
      <c r="A12" s="47">
        <v>11</v>
      </c>
      <c r="B12" s="40" t="s">
        <v>188</v>
      </c>
      <c r="C12" s="47"/>
      <c r="D12" s="47"/>
      <c r="E12" s="47" t="s">
        <v>184</v>
      </c>
      <c r="F12" s="47"/>
      <c r="G12" s="47" t="s">
        <v>189</v>
      </c>
      <c r="H12" s="47"/>
      <c r="I12" s="47"/>
      <c r="J12" s="47" t="s">
        <v>141</v>
      </c>
    </row>
    <row r="13" spans="1:10">
      <c r="A13" s="47">
        <v>12</v>
      </c>
      <c r="B13" s="40" t="s">
        <v>191</v>
      </c>
      <c r="C13" s="47"/>
      <c r="D13" s="47"/>
      <c r="E13" s="47" t="s">
        <v>184</v>
      </c>
      <c r="F13" s="47"/>
      <c r="G13" s="47" t="s">
        <v>189</v>
      </c>
      <c r="H13" s="47"/>
      <c r="I13" s="47"/>
      <c r="J13" s="47" t="s">
        <v>141</v>
      </c>
    </row>
    <row r="14" spans="1:10">
      <c r="A14" s="47">
        <v>13</v>
      </c>
      <c r="B14" s="40" t="s">
        <v>192</v>
      </c>
      <c r="C14" s="47"/>
      <c r="D14" s="47"/>
      <c r="E14" s="47" t="s">
        <v>184</v>
      </c>
      <c r="F14" s="47"/>
      <c r="G14" s="47" t="s">
        <v>187</v>
      </c>
      <c r="H14" s="47"/>
      <c r="I14" s="47"/>
      <c r="J14" s="47" t="s">
        <v>141</v>
      </c>
    </row>
    <row r="15" spans="1:10">
      <c r="A15" s="47">
        <v>14</v>
      </c>
      <c r="B15" s="40" t="s">
        <v>195</v>
      </c>
      <c r="C15" s="47"/>
      <c r="D15" s="47"/>
      <c r="E15" s="47" t="s">
        <v>184</v>
      </c>
      <c r="F15" s="47"/>
      <c r="G15" s="47" t="s">
        <v>196</v>
      </c>
      <c r="H15" s="47"/>
      <c r="I15" s="47"/>
      <c r="J15" s="47" t="s">
        <v>141</v>
      </c>
    </row>
    <row r="16" spans="1:10">
      <c r="A16" s="47">
        <v>15</v>
      </c>
      <c r="B16" s="40" t="s">
        <v>202</v>
      </c>
      <c r="C16" s="47"/>
      <c r="D16" s="47"/>
      <c r="E16" s="47" t="s">
        <v>184</v>
      </c>
      <c r="F16" s="47"/>
      <c r="G16" s="47"/>
      <c r="H16" s="47"/>
      <c r="I16" s="47"/>
      <c r="J16" s="47" t="s">
        <v>141</v>
      </c>
    </row>
    <row r="17" spans="1:10">
      <c r="A17" s="47">
        <v>16</v>
      </c>
      <c r="B17" s="40" t="s">
        <v>218</v>
      </c>
      <c r="C17" s="47"/>
      <c r="D17" s="47"/>
      <c r="E17" s="47" t="s">
        <v>184</v>
      </c>
      <c r="F17" s="47"/>
      <c r="G17" s="47"/>
      <c r="H17" s="47"/>
      <c r="I17" s="47"/>
      <c r="J17" s="47" t="s">
        <v>141</v>
      </c>
    </row>
    <row r="18" spans="1:10">
      <c r="A18" s="47">
        <v>17</v>
      </c>
      <c r="B18" s="40" t="s">
        <v>221</v>
      </c>
      <c r="C18" s="47"/>
      <c r="D18" s="47"/>
      <c r="E18" s="47" t="s">
        <v>184</v>
      </c>
      <c r="F18" s="47"/>
      <c r="G18" s="47"/>
      <c r="H18" s="47"/>
      <c r="I18" s="47"/>
      <c r="J18" s="47" t="s">
        <v>141</v>
      </c>
    </row>
    <row r="19" spans="1:10">
      <c r="A19" s="47">
        <v>18</v>
      </c>
      <c r="B19" s="40" t="s">
        <v>226</v>
      </c>
      <c r="C19" s="47"/>
      <c r="D19" s="47"/>
      <c r="E19" s="47" t="s">
        <v>184</v>
      </c>
      <c r="F19" s="47"/>
      <c r="G19" s="47"/>
      <c r="H19" s="47"/>
      <c r="I19" s="47"/>
      <c r="J19" s="47" t="s">
        <v>141</v>
      </c>
    </row>
    <row r="20" spans="1:10">
      <c r="A20" s="47">
        <v>19</v>
      </c>
      <c r="B20" s="40" t="s">
        <v>230</v>
      </c>
      <c r="C20" s="47"/>
      <c r="D20" s="47"/>
      <c r="E20" s="47" t="s">
        <v>184</v>
      </c>
      <c r="F20" s="47"/>
      <c r="G20" s="47"/>
      <c r="H20" s="47"/>
      <c r="I20" s="47"/>
      <c r="J20" s="47" t="s">
        <v>141</v>
      </c>
    </row>
    <row r="21" spans="1:10">
      <c r="A21" s="47">
        <v>20</v>
      </c>
      <c r="B21" s="40" t="s">
        <v>233</v>
      </c>
      <c r="C21" s="47"/>
      <c r="D21" s="47"/>
      <c r="E21" s="47" t="s">
        <v>184</v>
      </c>
      <c r="F21" s="47"/>
      <c r="G21" s="47"/>
      <c r="H21" s="47"/>
      <c r="I21" s="47"/>
      <c r="J21" s="47" t="s">
        <v>141</v>
      </c>
    </row>
    <row r="22" spans="1:10">
      <c r="A22" s="47">
        <v>21</v>
      </c>
      <c r="B22" s="40" t="s">
        <v>247</v>
      </c>
      <c r="C22" s="47" t="s">
        <v>248</v>
      </c>
      <c r="D22" s="47" t="s">
        <v>249</v>
      </c>
      <c r="E22" s="47" t="s">
        <v>250</v>
      </c>
      <c r="F22" s="47" t="s">
        <v>251</v>
      </c>
      <c r="G22" s="77" t="s">
        <v>263</v>
      </c>
      <c r="H22" s="47" t="s">
        <v>249</v>
      </c>
      <c r="I22" s="47" t="s">
        <v>252</v>
      </c>
      <c r="J22" s="47" t="s">
        <v>101</v>
      </c>
    </row>
    <row r="23" spans="1:10">
      <c r="A23" s="47">
        <v>22</v>
      </c>
      <c r="B23" s="40" t="s">
        <v>256</v>
      </c>
      <c r="C23" s="47"/>
      <c r="D23" s="47"/>
      <c r="E23" s="47" t="s">
        <v>184</v>
      </c>
      <c r="F23" s="47"/>
      <c r="G23" s="47"/>
      <c r="H23" s="47"/>
      <c r="I23" s="47"/>
      <c r="J23" s="47" t="s">
        <v>141</v>
      </c>
    </row>
    <row r="24" spans="1:10">
      <c r="A24" s="47">
        <v>23</v>
      </c>
      <c r="B24" s="40" t="s">
        <v>258</v>
      </c>
      <c r="C24" s="47"/>
      <c r="D24" s="47"/>
      <c r="E24" s="47" t="s">
        <v>184</v>
      </c>
      <c r="F24" s="47"/>
      <c r="G24" s="47"/>
      <c r="H24" s="47"/>
      <c r="I24" s="47"/>
      <c r="J24" s="47" t="s">
        <v>141</v>
      </c>
    </row>
    <row r="25" spans="1:10">
      <c r="A25" s="47">
        <v>24</v>
      </c>
      <c r="B25" s="40" t="s">
        <v>294</v>
      </c>
      <c r="C25" s="47" t="s">
        <v>295</v>
      </c>
      <c r="D25" s="47" t="s">
        <v>296</v>
      </c>
      <c r="E25" s="47" t="s">
        <v>213</v>
      </c>
      <c r="F25" s="47" t="s">
        <v>297</v>
      </c>
      <c r="G25" s="77" t="s">
        <v>298</v>
      </c>
      <c r="H25" s="47"/>
      <c r="I25" s="47" t="s">
        <v>299</v>
      </c>
      <c r="J25" s="47" t="s">
        <v>101</v>
      </c>
    </row>
    <row r="26" spans="1:10">
      <c r="A26" s="47">
        <v>25</v>
      </c>
      <c r="B26" s="40" t="s">
        <v>316</v>
      </c>
      <c r="C26" s="47" t="s">
        <v>317</v>
      </c>
      <c r="D26" s="47" t="s">
        <v>318</v>
      </c>
      <c r="E26" s="47" t="s">
        <v>319</v>
      </c>
      <c r="F26" s="47" t="s">
        <v>320</v>
      </c>
      <c r="G26" s="77" t="s">
        <v>321</v>
      </c>
      <c r="H26" s="47" t="s">
        <v>322</v>
      </c>
      <c r="I26" s="47" t="s">
        <v>323</v>
      </c>
      <c r="J26" s="47" t="s">
        <v>101</v>
      </c>
    </row>
    <row r="27" spans="1:10">
      <c r="A27" s="47">
        <v>26</v>
      </c>
      <c r="B27" s="40" t="s">
        <v>326</v>
      </c>
      <c r="C27" s="47" t="s">
        <v>335</v>
      </c>
      <c r="D27" s="47" t="s">
        <v>336</v>
      </c>
      <c r="E27" s="47" t="s">
        <v>213</v>
      </c>
      <c r="F27" s="47" t="s">
        <v>297</v>
      </c>
      <c r="G27" s="77" t="s">
        <v>340</v>
      </c>
      <c r="H27" s="47" t="s">
        <v>336</v>
      </c>
      <c r="I27" s="47" t="s">
        <v>337</v>
      </c>
      <c r="J27" s="47" t="s">
        <v>101</v>
      </c>
    </row>
    <row r="28" spans="1:10">
      <c r="A28" s="47">
        <v>27</v>
      </c>
      <c r="B28" s="40" t="s">
        <v>313</v>
      </c>
      <c r="C28" s="47" t="s">
        <v>347</v>
      </c>
      <c r="D28" s="47" t="s">
        <v>348</v>
      </c>
      <c r="E28" s="47" t="s">
        <v>349</v>
      </c>
      <c r="F28" s="47" t="s">
        <v>350</v>
      </c>
      <c r="G28" s="77" t="s">
        <v>351</v>
      </c>
      <c r="H28" s="47" t="s">
        <v>338</v>
      </c>
      <c r="I28" s="47" t="s">
        <v>339</v>
      </c>
      <c r="J28" s="47" t="s">
        <v>101</v>
      </c>
    </row>
    <row r="29" spans="1:10">
      <c r="A29" s="47">
        <v>28</v>
      </c>
      <c r="B29" s="40" t="s">
        <v>355</v>
      </c>
      <c r="C29" s="47" t="s">
        <v>356</v>
      </c>
      <c r="D29" s="47" t="s">
        <v>357</v>
      </c>
      <c r="E29" s="47" t="s">
        <v>213</v>
      </c>
      <c r="F29" s="47" t="s">
        <v>358</v>
      </c>
      <c r="G29" s="77" t="s">
        <v>359</v>
      </c>
      <c r="H29" s="47" t="s">
        <v>360</v>
      </c>
      <c r="I29" s="47" t="s">
        <v>361</v>
      </c>
      <c r="J29" s="47" t="s">
        <v>101</v>
      </c>
    </row>
    <row r="30" spans="1:10">
      <c r="A30" s="47">
        <v>29</v>
      </c>
      <c r="B30" s="40" t="s">
        <v>375</v>
      </c>
      <c r="C30" s="47" t="s">
        <v>376</v>
      </c>
      <c r="D30" s="47" t="s">
        <v>377</v>
      </c>
      <c r="E30" s="47" t="s">
        <v>319</v>
      </c>
      <c r="F30" s="47" t="s">
        <v>378</v>
      </c>
      <c r="G30" s="77" t="s">
        <v>379</v>
      </c>
      <c r="H30" s="47" t="s">
        <v>377</v>
      </c>
      <c r="I30" s="47"/>
      <c r="J30" s="47" t="s">
        <v>101</v>
      </c>
    </row>
    <row r="31" spans="1:10">
      <c r="A31" s="47">
        <v>30</v>
      </c>
      <c r="B31" s="40" t="s">
        <v>394</v>
      </c>
      <c r="C31" s="47" t="s">
        <v>395</v>
      </c>
      <c r="D31" s="47" t="s">
        <v>396</v>
      </c>
      <c r="E31" s="47" t="s">
        <v>397</v>
      </c>
      <c r="F31" s="47" t="s">
        <v>398</v>
      </c>
      <c r="G31" s="77" t="s">
        <v>399</v>
      </c>
      <c r="H31" s="47" t="s">
        <v>400</v>
      </c>
      <c r="I31" s="47" t="s">
        <v>401</v>
      </c>
      <c r="J31" s="47" t="s">
        <v>402</v>
      </c>
    </row>
    <row r="32" spans="1:10">
      <c r="A32" s="47">
        <v>31</v>
      </c>
      <c r="B32" s="40" t="s">
        <v>434</v>
      </c>
      <c r="C32" s="47" t="s">
        <v>435</v>
      </c>
      <c r="D32" s="47" t="s">
        <v>436</v>
      </c>
      <c r="E32" s="47" t="s">
        <v>319</v>
      </c>
      <c r="F32" s="47" t="s">
        <v>437</v>
      </c>
      <c r="G32" s="77" t="s">
        <v>438</v>
      </c>
      <c r="H32" s="47"/>
      <c r="I32" s="47" t="s">
        <v>439</v>
      </c>
      <c r="J32" s="47" t="s">
        <v>440</v>
      </c>
    </row>
    <row r="33" spans="1:10">
      <c r="A33" s="47">
        <v>32</v>
      </c>
      <c r="B33" s="40" t="s">
        <v>442</v>
      </c>
      <c r="C33" s="47" t="s">
        <v>443</v>
      </c>
      <c r="D33" s="47" t="s">
        <v>444</v>
      </c>
      <c r="E33" s="47" t="s">
        <v>445</v>
      </c>
      <c r="F33" s="47" t="s">
        <v>446</v>
      </c>
      <c r="G33" s="77" t="s">
        <v>447</v>
      </c>
      <c r="H33" s="47" t="s">
        <v>444</v>
      </c>
      <c r="I33" s="47" t="s">
        <v>448</v>
      </c>
      <c r="J33" s="47" t="s">
        <v>449</v>
      </c>
    </row>
    <row r="34" spans="1:10">
      <c r="A34" s="47">
        <v>33</v>
      </c>
      <c r="B34" s="40" t="s">
        <v>467</v>
      </c>
      <c r="C34" s="47" t="s">
        <v>468</v>
      </c>
      <c r="D34" s="47" t="s">
        <v>318</v>
      </c>
      <c r="E34" s="47" t="s">
        <v>469</v>
      </c>
      <c r="F34" s="47" t="s">
        <v>470</v>
      </c>
      <c r="G34" s="77" t="s">
        <v>471</v>
      </c>
      <c r="H34" s="47"/>
      <c r="I34" s="47" t="s">
        <v>472</v>
      </c>
      <c r="J34" s="47" t="s">
        <v>101</v>
      </c>
    </row>
    <row r="35" spans="1:10">
      <c r="A35" s="47">
        <v>34</v>
      </c>
      <c r="B35" s="40" t="s">
        <v>480</v>
      </c>
      <c r="C35" s="47" t="s">
        <v>481</v>
      </c>
      <c r="D35" s="47" t="s">
        <v>318</v>
      </c>
      <c r="E35" s="47" t="s">
        <v>469</v>
      </c>
      <c r="F35" s="47" t="s">
        <v>378</v>
      </c>
      <c r="G35" s="77" t="s">
        <v>482</v>
      </c>
      <c r="H35" s="47"/>
      <c r="I35" s="47"/>
      <c r="J35" s="47" t="s">
        <v>101</v>
      </c>
    </row>
    <row r="36" spans="1:10">
      <c r="A36" s="47">
        <v>35</v>
      </c>
      <c r="B36" s="40" t="s">
        <v>483</v>
      </c>
      <c r="C36" s="47" t="s">
        <v>484</v>
      </c>
      <c r="D36" s="47" t="s">
        <v>318</v>
      </c>
      <c r="E36" s="47" t="s">
        <v>469</v>
      </c>
      <c r="F36" s="47" t="s">
        <v>470</v>
      </c>
      <c r="G36" s="77" t="s">
        <v>485</v>
      </c>
      <c r="H36" s="47"/>
      <c r="I36" s="47" t="s">
        <v>490</v>
      </c>
      <c r="J36" s="47" t="s">
        <v>101</v>
      </c>
    </row>
    <row r="37" spans="1:10">
      <c r="A37" s="47">
        <v>36</v>
      </c>
      <c r="B37" s="40" t="s">
        <v>486</v>
      </c>
      <c r="C37" s="47" t="s">
        <v>487</v>
      </c>
      <c r="D37" s="47" t="s">
        <v>318</v>
      </c>
      <c r="E37" s="47" t="s">
        <v>488</v>
      </c>
      <c r="F37" s="47" t="s">
        <v>378</v>
      </c>
      <c r="G37" s="77" t="s">
        <v>489</v>
      </c>
      <c r="H37" s="47"/>
      <c r="I37" s="47" t="s">
        <v>491</v>
      </c>
      <c r="J37" s="47" t="s">
        <v>101</v>
      </c>
    </row>
    <row r="38" spans="1:10">
      <c r="A38" s="47">
        <v>37</v>
      </c>
      <c r="B38" s="40" t="s">
        <v>501</v>
      </c>
      <c r="C38" s="47" t="s">
        <v>502</v>
      </c>
      <c r="D38" s="47" t="s">
        <v>318</v>
      </c>
      <c r="E38" s="47" t="s">
        <v>503</v>
      </c>
      <c r="F38" s="47" t="s">
        <v>378</v>
      </c>
      <c r="G38" s="77" t="s">
        <v>504</v>
      </c>
      <c r="H38" s="47"/>
      <c r="I38" s="47" t="s">
        <v>323</v>
      </c>
      <c r="J38" s="47" t="s">
        <v>101</v>
      </c>
    </row>
    <row r="39" spans="1:10">
      <c r="A39" s="47">
        <v>38</v>
      </c>
      <c r="B39" s="40" t="s">
        <v>505</v>
      </c>
      <c r="C39" s="47" t="s">
        <v>506</v>
      </c>
      <c r="D39" s="47" t="s">
        <v>318</v>
      </c>
      <c r="E39" s="47" t="s">
        <v>503</v>
      </c>
      <c r="F39" s="47" t="s">
        <v>378</v>
      </c>
      <c r="G39" s="77" t="s">
        <v>507</v>
      </c>
      <c r="H39" s="47"/>
      <c r="I39" s="47" t="s">
        <v>512</v>
      </c>
      <c r="J39" s="47" t="s">
        <v>101</v>
      </c>
    </row>
    <row r="40" spans="1:10">
      <c r="A40" s="47">
        <v>39</v>
      </c>
      <c r="B40" s="40" t="s">
        <v>508</v>
      </c>
      <c r="C40" s="47" t="s">
        <v>509</v>
      </c>
      <c r="D40" s="47" t="s">
        <v>318</v>
      </c>
      <c r="E40" s="47" t="s">
        <v>510</v>
      </c>
      <c r="F40" s="47" t="s">
        <v>378</v>
      </c>
      <c r="G40" s="77" t="s">
        <v>511</v>
      </c>
      <c r="H40" s="47"/>
      <c r="I40" s="47" t="s">
        <v>513</v>
      </c>
      <c r="J40" s="47" t="s">
        <v>101</v>
      </c>
    </row>
    <row r="41" spans="1:10">
      <c r="A41" s="47">
        <v>40</v>
      </c>
      <c r="B41" s="97" t="s">
        <v>556</v>
      </c>
      <c r="C41" s="93" t="s">
        <v>557</v>
      </c>
      <c r="D41" s="93" t="s">
        <v>558</v>
      </c>
      <c r="E41" s="93" t="s">
        <v>213</v>
      </c>
      <c r="F41" s="93" t="s">
        <v>559</v>
      </c>
      <c r="G41" s="93"/>
      <c r="H41" s="93"/>
      <c r="I41" s="93"/>
      <c r="J41" s="93" t="s">
        <v>101</v>
      </c>
    </row>
    <row r="42" spans="1:10">
      <c r="A42" s="47">
        <v>41</v>
      </c>
      <c r="B42" s="98" t="s">
        <v>567</v>
      </c>
      <c r="C42" s="70" t="s">
        <v>568</v>
      </c>
      <c r="D42" s="70" t="s">
        <v>569</v>
      </c>
      <c r="E42" s="70" t="s">
        <v>250</v>
      </c>
      <c r="F42" s="70" t="s">
        <v>570</v>
      </c>
      <c r="G42" s="94" t="s">
        <v>571</v>
      </c>
      <c r="H42" s="70"/>
      <c r="I42" s="70" t="s">
        <v>572</v>
      </c>
      <c r="J42" s="70" t="s">
        <v>101</v>
      </c>
    </row>
    <row r="43" spans="1:10">
      <c r="A43" s="47">
        <v>42</v>
      </c>
      <c r="B43" s="98" t="s">
        <v>681</v>
      </c>
      <c r="C43" s="70" t="s">
        <v>682</v>
      </c>
      <c r="D43" s="70" t="s">
        <v>683</v>
      </c>
      <c r="E43" s="70" t="s">
        <v>684</v>
      </c>
      <c r="F43" s="70" t="s">
        <v>685</v>
      </c>
      <c r="G43" s="77" t="s">
        <v>185</v>
      </c>
      <c r="H43" s="47" t="s">
        <v>111</v>
      </c>
      <c r="I43" s="47" t="s">
        <v>119</v>
      </c>
      <c r="J43" s="47" t="s">
        <v>101</v>
      </c>
    </row>
    <row r="44" spans="1:10">
      <c r="A44" s="47">
        <v>43</v>
      </c>
      <c r="B44" s="98" t="s">
        <v>719</v>
      </c>
      <c r="C44" s="70" t="s">
        <v>720</v>
      </c>
      <c r="D44" s="70" t="s">
        <v>721</v>
      </c>
      <c r="E44" s="70" t="s">
        <v>722</v>
      </c>
      <c r="F44" s="70" t="s">
        <v>723</v>
      </c>
      <c r="G44" s="94" t="s">
        <v>724</v>
      </c>
      <c r="H44" s="70"/>
      <c r="I44" s="70" t="s">
        <v>725</v>
      </c>
      <c r="J44" s="70" t="s">
        <v>101</v>
      </c>
    </row>
    <row r="45" spans="1:10">
      <c r="A45" s="47">
        <v>44</v>
      </c>
      <c r="B45" s="2" t="s">
        <v>799</v>
      </c>
      <c r="C45" s="3" t="s">
        <v>800</v>
      </c>
      <c r="D45" s="3" t="s">
        <v>318</v>
      </c>
      <c r="E45" s="3" t="s">
        <v>319</v>
      </c>
      <c r="F45" s="3" t="s">
        <v>378</v>
      </c>
      <c r="G45" s="3"/>
      <c r="H45" s="3"/>
      <c r="I45" s="3"/>
      <c r="J45" s="3"/>
    </row>
    <row r="46" spans="1:10">
      <c r="A46" s="47">
        <v>45</v>
      </c>
      <c r="B46" s="2" t="s">
        <v>817</v>
      </c>
      <c r="C46" s="3" t="s">
        <v>818</v>
      </c>
      <c r="D46" s="3" t="s">
        <v>819</v>
      </c>
      <c r="E46" s="3" t="s">
        <v>488</v>
      </c>
      <c r="F46" s="3" t="s">
        <v>820</v>
      </c>
      <c r="G46" s="3"/>
      <c r="H46" s="3"/>
      <c r="I46" s="3"/>
      <c r="J46" s="3"/>
    </row>
    <row r="47" spans="1:10">
      <c r="A47" s="47">
        <v>46</v>
      </c>
      <c r="B47" s="2"/>
      <c r="C47" s="3"/>
      <c r="D47" s="3"/>
      <c r="E47" s="3"/>
      <c r="F47" s="3"/>
      <c r="G47" s="3"/>
      <c r="H47" s="3"/>
      <c r="I47" s="3"/>
      <c r="J47" s="3"/>
    </row>
    <row r="48" spans="1:10">
      <c r="A48" s="47">
        <v>47</v>
      </c>
      <c r="B48" s="2"/>
      <c r="C48" s="3"/>
      <c r="D48" s="3"/>
      <c r="E48" s="3"/>
      <c r="F48" s="3"/>
      <c r="G48" s="3"/>
      <c r="H48" s="3"/>
      <c r="I48" s="3"/>
      <c r="J48" s="3"/>
    </row>
    <row r="49" spans="1:10">
      <c r="A49" s="47">
        <v>48</v>
      </c>
      <c r="B49" s="2"/>
      <c r="C49" s="3"/>
      <c r="D49" s="3"/>
      <c r="E49" s="3"/>
      <c r="F49" s="3"/>
      <c r="G49" s="3"/>
      <c r="H49" s="3"/>
      <c r="I49" s="3"/>
      <c r="J49" s="3"/>
    </row>
    <row r="50" spans="1:10">
      <c r="A50" s="47">
        <v>49</v>
      </c>
      <c r="B50" s="2"/>
      <c r="C50" s="3"/>
      <c r="D50" s="3"/>
      <c r="E50" s="3"/>
      <c r="F50" s="3"/>
      <c r="G50" s="3"/>
      <c r="H50" s="3"/>
      <c r="I50" s="3"/>
      <c r="J50" s="3"/>
    </row>
  </sheetData>
  <phoneticPr fontId="2" type="noConversion"/>
  <hyperlinks>
    <hyperlink ref="G4" r:id="rId1" xr:uid="{5943A936-203D-4B23-87E4-6F825114027A}"/>
    <hyperlink ref="G3" r:id="rId2" xr:uid="{44327690-B7AA-41B6-947E-60FF24135350}"/>
    <hyperlink ref="G22" r:id="rId3" xr:uid="{3A9B19A6-22A2-4673-A4B8-9D2FB25F3EC1}"/>
    <hyperlink ref="G25" r:id="rId4" xr:uid="{29FE8C3E-C239-47B2-ABB5-2AF30890F57F}"/>
    <hyperlink ref="G26" r:id="rId5" xr:uid="{5EF4E657-0C35-4914-B521-9F72508C0417}"/>
    <hyperlink ref="G27" r:id="rId6" xr:uid="{11D228C3-0B52-45ED-AE7F-F307C20F5B39}"/>
    <hyperlink ref="G28" r:id="rId7" xr:uid="{AD2DC139-CBD0-4637-A7E7-C6218F18FCFC}"/>
    <hyperlink ref="G29" r:id="rId8" xr:uid="{2C0EDC97-4FA2-4C03-94EB-4BCBAD04F9D3}"/>
    <hyperlink ref="G30" r:id="rId9" xr:uid="{61669BF9-E231-446D-A357-84BD23B58A74}"/>
    <hyperlink ref="G31" r:id="rId10" xr:uid="{1C77606D-C601-4C77-971F-FA00A9096ACB}"/>
    <hyperlink ref="G32" r:id="rId11" xr:uid="{A514A2B8-DD7C-4E03-B772-243009F12034}"/>
    <hyperlink ref="G33" r:id="rId12" xr:uid="{CB5EB447-55F8-4C65-9F4C-34F63A0F7406}"/>
    <hyperlink ref="G34" r:id="rId13" xr:uid="{8E90320B-56C6-4719-AEFE-490312C3FCA1}"/>
    <hyperlink ref="G35" r:id="rId14" xr:uid="{B7811BAF-7F99-44F2-9E38-22267DE08663}"/>
    <hyperlink ref="G36" r:id="rId15" xr:uid="{DC4E7E89-34A6-45D4-927B-45425E265B61}"/>
    <hyperlink ref="G37" r:id="rId16" xr:uid="{082D89A8-4109-4547-9686-C28E47BDFAC6}"/>
    <hyperlink ref="G38" r:id="rId17" xr:uid="{5519C07D-292E-4F53-8B87-8AF2E29EFD74}"/>
    <hyperlink ref="G39" r:id="rId18" xr:uid="{D13AEAA8-0DA6-4980-B89B-653BFDE60925}"/>
    <hyperlink ref="G40" r:id="rId19" xr:uid="{CCF48F19-C876-49C1-B405-6DCF57634FCE}"/>
    <hyperlink ref="G42" r:id="rId20" xr:uid="{895F217A-0381-47A5-85C5-76B4A5A69C75}"/>
    <hyperlink ref="G43" r:id="rId21" xr:uid="{3D8029E5-171D-4E05-BDE6-9FE35D6BC666}"/>
    <hyperlink ref="G44" r:id="rId22" xr:uid="{DA4ECDBF-2639-4B77-B3A3-F00D070046EC}"/>
  </hyperlinks>
  <pageMargins left="0.7" right="0.7" top="0.75" bottom="0.75" header="0.3" footer="0.3"/>
  <pageSetup orientation="portrait"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G32" sqref="G32"/>
    </sheetView>
  </sheetViews>
  <sheetFormatPr baseColWidth="10" defaultColWidth="8.6640625" defaultRowHeight="15"/>
  <cols>
    <col min="1" max="1" width="4.6640625" style="4" customWidth="1"/>
    <col min="2" max="16384" width="8.6640625" style="4"/>
  </cols>
  <sheetData>
    <row r="1" spans="1: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AFF5-0E8E-4B13-AF03-11156C8879FA}">
  <sheetPr>
    <tabColor theme="6"/>
  </sheetPr>
  <dimension ref="A1:N766"/>
  <sheetViews>
    <sheetView topLeftCell="A285" zoomScaleNormal="100" workbookViewId="0">
      <selection activeCell="C306" sqref="C306"/>
    </sheetView>
  </sheetViews>
  <sheetFormatPr baseColWidth="10" defaultColWidth="8.6640625" defaultRowHeight="19" customHeight="1"/>
  <cols>
    <col min="1" max="1" width="5.6640625" style="3" customWidth="1"/>
    <col min="2" max="2" width="5.6640625" style="2" customWidth="1"/>
    <col min="3" max="3" width="28.33203125" style="2" customWidth="1"/>
    <col min="4" max="4" width="24.83203125" style="1" customWidth="1"/>
    <col min="5" max="5" width="8.6640625" style="2"/>
    <col min="6" max="7" width="8.6640625" style="21"/>
    <col min="8" max="8" width="12.83203125" style="21" customWidth="1"/>
    <col min="9" max="9" width="8.6640625" style="21"/>
    <col min="10" max="10" width="9.1640625" style="2" bestFit="1" customWidth="1"/>
    <col min="11" max="16384" width="8.6640625" style="2"/>
  </cols>
  <sheetData>
    <row r="1" spans="1:11" s="3" customFormat="1" ht="19" customHeight="1">
      <c r="A1" s="37" t="s">
        <v>1</v>
      </c>
      <c r="B1" s="37" t="s">
        <v>5</v>
      </c>
      <c r="C1" s="37" t="s">
        <v>20</v>
      </c>
      <c r="D1" s="37" t="s">
        <v>21</v>
      </c>
      <c r="E1" s="37" t="s">
        <v>3</v>
      </c>
      <c r="F1" s="38" t="s">
        <v>2</v>
      </c>
      <c r="G1" s="38" t="s">
        <v>0</v>
      </c>
      <c r="H1" s="38" t="s">
        <v>4</v>
      </c>
      <c r="I1" s="38" t="s">
        <v>120</v>
      </c>
      <c r="J1" s="38" t="s">
        <v>121</v>
      </c>
      <c r="K1" s="36" t="s">
        <v>135</v>
      </c>
    </row>
    <row r="2" spans="1:11" ht="19" customHeight="1">
      <c r="A2" s="66" t="s">
        <v>122</v>
      </c>
      <c r="B2" s="47"/>
      <c r="C2" s="47" t="s">
        <v>123</v>
      </c>
      <c r="D2" s="47" t="s">
        <v>137</v>
      </c>
      <c r="E2" s="47" t="s">
        <v>132</v>
      </c>
      <c r="F2" s="48">
        <v>10</v>
      </c>
      <c r="G2" s="48">
        <f>VLOOKUP(D2,단가!B:D,3,0)</f>
        <v>19000</v>
      </c>
      <c r="H2" s="48">
        <f>F2*G2</f>
        <v>190000</v>
      </c>
      <c r="I2" s="48">
        <f>H2*0.1</f>
        <v>19000</v>
      </c>
      <c r="J2" s="49">
        <f t="shared" ref="J2:J27" si="0">H2+I2</f>
        <v>209000</v>
      </c>
      <c r="K2" s="50"/>
    </row>
    <row r="3" spans="1:11" ht="19" customHeight="1">
      <c r="A3" s="66" t="s">
        <v>124</v>
      </c>
      <c r="B3" s="47"/>
      <c r="C3" s="47" t="s">
        <v>126</v>
      </c>
      <c r="D3" s="47" t="s">
        <v>137</v>
      </c>
      <c r="E3" s="47" t="s">
        <v>132</v>
      </c>
      <c r="F3" s="48">
        <v>10</v>
      </c>
      <c r="G3" s="48">
        <f>VLOOKUP(D3,단가!B:D,3,0)</f>
        <v>19000</v>
      </c>
      <c r="H3" s="48">
        <f t="shared" ref="H3:H52" si="1">F3*G3</f>
        <v>190000</v>
      </c>
      <c r="I3" s="48">
        <f t="shared" ref="I3:I52" si="2">H3*0.1</f>
        <v>19000</v>
      </c>
      <c r="J3" s="49">
        <f t="shared" si="0"/>
        <v>209000</v>
      </c>
      <c r="K3" s="50"/>
    </row>
    <row r="4" spans="1:11" ht="19" customHeight="1">
      <c r="A4" s="66" t="s">
        <v>124</v>
      </c>
      <c r="B4" s="47"/>
      <c r="C4" s="47" t="s">
        <v>126</v>
      </c>
      <c r="D4" s="47" t="s">
        <v>129</v>
      </c>
      <c r="E4" s="47" t="s">
        <v>131</v>
      </c>
      <c r="F4" s="48">
        <v>3</v>
      </c>
      <c r="G4" s="48">
        <f>VLOOKUP(D4,단가!B:D,3,0)</f>
        <v>6000</v>
      </c>
      <c r="H4" s="48">
        <f t="shared" si="1"/>
        <v>18000</v>
      </c>
      <c r="I4" s="48">
        <f t="shared" si="2"/>
        <v>1800</v>
      </c>
      <c r="J4" s="49">
        <f t="shared" si="0"/>
        <v>19800</v>
      </c>
      <c r="K4" s="50"/>
    </row>
    <row r="5" spans="1:11" ht="19" customHeight="1">
      <c r="A5" s="66" t="s">
        <v>124</v>
      </c>
      <c r="B5" s="47"/>
      <c r="C5" s="47" t="s">
        <v>126</v>
      </c>
      <c r="D5" s="47" t="s">
        <v>130</v>
      </c>
      <c r="E5" s="47" t="s">
        <v>131</v>
      </c>
      <c r="F5" s="48">
        <v>1</v>
      </c>
      <c r="G5" s="48">
        <f>VLOOKUP(D5,단가!B:D,3,0)</f>
        <v>8000</v>
      </c>
      <c r="H5" s="48">
        <f t="shared" si="1"/>
        <v>8000</v>
      </c>
      <c r="I5" s="48">
        <f t="shared" si="2"/>
        <v>800</v>
      </c>
      <c r="J5" s="49">
        <f t="shared" si="0"/>
        <v>8800</v>
      </c>
      <c r="K5" s="50"/>
    </row>
    <row r="6" spans="1:11" ht="19" customHeight="1">
      <c r="A6" s="66" t="s">
        <v>125</v>
      </c>
      <c r="B6" s="47"/>
      <c r="C6" s="47" t="s">
        <v>127</v>
      </c>
      <c r="D6" s="47" t="s">
        <v>137</v>
      </c>
      <c r="E6" s="47" t="s">
        <v>132</v>
      </c>
      <c r="F6" s="48">
        <v>10</v>
      </c>
      <c r="G6" s="48">
        <f>VLOOKUP(D6,단가!B:D,3,0)</f>
        <v>19000</v>
      </c>
      <c r="H6" s="48">
        <f t="shared" si="1"/>
        <v>190000</v>
      </c>
      <c r="I6" s="48">
        <f t="shared" si="2"/>
        <v>19000</v>
      </c>
      <c r="J6" s="49">
        <f t="shared" si="0"/>
        <v>209000</v>
      </c>
      <c r="K6" s="50"/>
    </row>
    <row r="7" spans="1:11" ht="19" customHeight="1">
      <c r="A7" s="66" t="s">
        <v>125</v>
      </c>
      <c r="B7" s="47"/>
      <c r="C7" s="47" t="s">
        <v>127</v>
      </c>
      <c r="D7" s="47" t="s">
        <v>129</v>
      </c>
      <c r="E7" s="47" t="s">
        <v>131</v>
      </c>
      <c r="F7" s="48">
        <v>3</v>
      </c>
      <c r="G7" s="48">
        <f>VLOOKUP(D7,단가!B:D,3,0)</f>
        <v>6000</v>
      </c>
      <c r="H7" s="48">
        <f t="shared" si="1"/>
        <v>18000</v>
      </c>
      <c r="I7" s="48">
        <f t="shared" si="2"/>
        <v>1800</v>
      </c>
      <c r="J7" s="49">
        <f t="shared" si="0"/>
        <v>19800</v>
      </c>
      <c r="K7" s="50"/>
    </row>
    <row r="8" spans="1:11" ht="19" customHeight="1">
      <c r="A8" s="66" t="s">
        <v>125</v>
      </c>
      <c r="B8" s="47"/>
      <c r="C8" s="47" t="s">
        <v>127</v>
      </c>
      <c r="D8" s="47" t="s">
        <v>130</v>
      </c>
      <c r="E8" s="47" t="s">
        <v>131</v>
      </c>
      <c r="F8" s="48">
        <v>3</v>
      </c>
      <c r="G8" s="48">
        <f>VLOOKUP(D8,단가!B:D,3,0)</f>
        <v>8000</v>
      </c>
      <c r="H8" s="48">
        <f t="shared" si="1"/>
        <v>24000</v>
      </c>
      <c r="I8" s="48">
        <f t="shared" si="2"/>
        <v>2400</v>
      </c>
      <c r="J8" s="49">
        <f t="shared" si="0"/>
        <v>26400</v>
      </c>
      <c r="K8" s="50"/>
    </row>
    <row r="9" spans="1:11" ht="19" customHeight="1">
      <c r="A9" s="66" t="s">
        <v>125</v>
      </c>
      <c r="B9" s="47"/>
      <c r="C9" s="47" t="s">
        <v>128</v>
      </c>
      <c r="D9" s="47" t="s">
        <v>137</v>
      </c>
      <c r="E9" s="47" t="s">
        <v>132</v>
      </c>
      <c r="F9" s="48">
        <v>10</v>
      </c>
      <c r="G9" s="48">
        <f>VLOOKUP(D9,단가!B:D,3,0)</f>
        <v>19000</v>
      </c>
      <c r="H9" s="48">
        <f t="shared" si="1"/>
        <v>190000</v>
      </c>
      <c r="I9" s="48">
        <f t="shared" si="2"/>
        <v>19000</v>
      </c>
      <c r="J9" s="49">
        <f t="shared" si="0"/>
        <v>209000</v>
      </c>
      <c r="K9" s="51"/>
    </row>
    <row r="10" spans="1:11" ht="19" customHeight="1">
      <c r="A10" s="66" t="s">
        <v>133</v>
      </c>
      <c r="B10" s="47"/>
      <c r="C10" s="47" t="s">
        <v>108</v>
      </c>
      <c r="D10" s="47" t="s">
        <v>61</v>
      </c>
      <c r="E10" s="47" t="s">
        <v>132</v>
      </c>
      <c r="F10" s="48">
        <v>2</v>
      </c>
      <c r="G10" s="48">
        <f>VLOOKUP(D10,단가!B:D,3,0)</f>
        <v>20000</v>
      </c>
      <c r="H10" s="48">
        <f t="shared" si="1"/>
        <v>40000</v>
      </c>
      <c r="I10" s="48">
        <f t="shared" si="2"/>
        <v>4000</v>
      </c>
      <c r="J10" s="49">
        <f t="shared" si="0"/>
        <v>44000</v>
      </c>
      <c r="K10" s="50"/>
    </row>
    <row r="11" spans="1:11" ht="19" customHeight="1">
      <c r="A11" s="66" t="s">
        <v>134</v>
      </c>
      <c r="B11" s="47"/>
      <c r="C11" s="47" t="s">
        <v>108</v>
      </c>
      <c r="D11" s="47" t="s">
        <v>61</v>
      </c>
      <c r="E11" s="47" t="s">
        <v>132</v>
      </c>
      <c r="F11" s="48">
        <v>1</v>
      </c>
      <c r="G11" s="48">
        <f>VLOOKUP(D11,단가!B:D,3,0)</f>
        <v>20000</v>
      </c>
      <c r="H11" s="48">
        <f t="shared" si="1"/>
        <v>20000</v>
      </c>
      <c r="I11" s="48">
        <f t="shared" si="2"/>
        <v>2000</v>
      </c>
      <c r="J11" s="49">
        <f t="shared" si="0"/>
        <v>22000</v>
      </c>
      <c r="K11" s="50"/>
    </row>
    <row r="12" spans="1:11" ht="19" customHeight="1">
      <c r="A12" s="66" t="s">
        <v>159</v>
      </c>
      <c r="B12" s="47"/>
      <c r="C12" s="47" t="s">
        <v>209</v>
      </c>
      <c r="D12" s="47" t="s">
        <v>61</v>
      </c>
      <c r="E12" s="47" t="s">
        <v>132</v>
      </c>
      <c r="F12" s="48">
        <v>10</v>
      </c>
      <c r="G12" s="48">
        <f>VLOOKUP(D12,단가!B:D,3,0)</f>
        <v>20000</v>
      </c>
      <c r="H12" s="48">
        <f t="shared" si="1"/>
        <v>200000</v>
      </c>
      <c r="I12" s="48">
        <f t="shared" si="2"/>
        <v>20000</v>
      </c>
      <c r="J12" s="49">
        <f t="shared" si="0"/>
        <v>220000</v>
      </c>
      <c r="K12" s="50"/>
    </row>
    <row r="13" spans="1:11" ht="19" customHeight="1">
      <c r="A13" s="66" t="s">
        <v>159</v>
      </c>
      <c r="B13" s="47"/>
      <c r="C13" s="47" t="s">
        <v>209</v>
      </c>
      <c r="D13" s="47" t="s">
        <v>153</v>
      </c>
      <c r="E13" s="47" t="s">
        <v>160</v>
      </c>
      <c r="F13" s="48">
        <v>1</v>
      </c>
      <c r="G13" s="48">
        <f>VLOOKUP(D13,단가!B:D,3,0)</f>
        <v>10500</v>
      </c>
      <c r="H13" s="48">
        <f t="shared" si="1"/>
        <v>10500</v>
      </c>
      <c r="I13" s="48">
        <f t="shared" si="2"/>
        <v>1050</v>
      </c>
      <c r="J13" s="49">
        <f t="shared" si="0"/>
        <v>11550</v>
      </c>
      <c r="K13" s="50"/>
    </row>
    <row r="14" spans="1:11" ht="19" customHeight="1">
      <c r="A14" s="66" t="s">
        <v>159</v>
      </c>
      <c r="B14" s="47"/>
      <c r="C14" s="47" t="s">
        <v>209</v>
      </c>
      <c r="D14" s="47" t="s">
        <v>152</v>
      </c>
      <c r="E14" s="47" t="s">
        <v>160</v>
      </c>
      <c r="F14" s="48">
        <v>1</v>
      </c>
      <c r="G14" s="48">
        <f>VLOOKUP(D14,단가!B:D,3,0)</f>
        <v>10500</v>
      </c>
      <c r="H14" s="48">
        <f t="shared" si="1"/>
        <v>10500</v>
      </c>
      <c r="I14" s="48">
        <f t="shared" si="2"/>
        <v>1050</v>
      </c>
      <c r="J14" s="49">
        <f t="shared" si="0"/>
        <v>11550</v>
      </c>
      <c r="K14" s="50"/>
    </row>
    <row r="15" spans="1:11" ht="19" customHeight="1">
      <c r="A15" s="66" t="s">
        <v>159</v>
      </c>
      <c r="B15" s="47"/>
      <c r="C15" s="47" t="s">
        <v>209</v>
      </c>
      <c r="D15" s="47" t="s">
        <v>146</v>
      </c>
      <c r="E15" s="47" t="s">
        <v>160</v>
      </c>
      <c r="F15" s="48">
        <v>1</v>
      </c>
      <c r="G15" s="48">
        <f>VLOOKUP(D15,단가!B:D,3,0)</f>
        <v>10500</v>
      </c>
      <c r="H15" s="48">
        <f t="shared" si="1"/>
        <v>10500</v>
      </c>
      <c r="I15" s="48">
        <f t="shared" si="2"/>
        <v>1050</v>
      </c>
      <c r="J15" s="49">
        <f t="shared" si="0"/>
        <v>11550</v>
      </c>
      <c r="K15" s="50"/>
    </row>
    <row r="16" spans="1:11" ht="19" customHeight="1">
      <c r="A16" s="66" t="s">
        <v>159</v>
      </c>
      <c r="B16" s="47"/>
      <c r="C16" s="47" t="s">
        <v>209</v>
      </c>
      <c r="D16" s="47" t="s">
        <v>149</v>
      </c>
      <c r="E16" s="47" t="s">
        <v>160</v>
      </c>
      <c r="F16" s="48">
        <v>1</v>
      </c>
      <c r="G16" s="48">
        <f>VLOOKUP(D16,단가!B:D,3,0)</f>
        <v>10500</v>
      </c>
      <c r="H16" s="48">
        <f t="shared" si="1"/>
        <v>10500</v>
      </c>
      <c r="I16" s="48">
        <f t="shared" si="2"/>
        <v>1050</v>
      </c>
      <c r="J16" s="49">
        <f t="shared" si="0"/>
        <v>11550</v>
      </c>
      <c r="K16" s="50"/>
    </row>
    <row r="17" spans="1:11" ht="19" customHeight="1">
      <c r="A17" s="66" t="s">
        <v>159</v>
      </c>
      <c r="B17" s="47"/>
      <c r="C17" s="47" t="s">
        <v>209</v>
      </c>
      <c r="D17" s="47" t="s">
        <v>170</v>
      </c>
      <c r="E17" s="47" t="s">
        <v>92</v>
      </c>
      <c r="F17" s="48">
        <v>4</v>
      </c>
      <c r="G17" s="48">
        <f>VLOOKUP(D17,단가!B:D,3,0)</f>
        <v>10500</v>
      </c>
      <c r="H17" s="48">
        <f t="shared" si="1"/>
        <v>42000</v>
      </c>
      <c r="I17" s="48">
        <f t="shared" si="2"/>
        <v>4200</v>
      </c>
      <c r="J17" s="49">
        <f t="shared" si="0"/>
        <v>46200</v>
      </c>
      <c r="K17" s="50"/>
    </row>
    <row r="18" spans="1:11" ht="19" customHeight="1">
      <c r="A18" s="66" t="s">
        <v>159</v>
      </c>
      <c r="B18" s="47"/>
      <c r="C18" s="47" t="s">
        <v>209</v>
      </c>
      <c r="D18" s="47" t="s">
        <v>178</v>
      </c>
      <c r="E18" s="47" t="s">
        <v>160</v>
      </c>
      <c r="F18" s="48">
        <v>1</v>
      </c>
      <c r="G18" s="48">
        <f>VLOOKUP(D18,단가!B:D,3,0)</f>
        <v>10500</v>
      </c>
      <c r="H18" s="48">
        <f t="shared" si="1"/>
        <v>10500</v>
      </c>
      <c r="I18" s="48">
        <f t="shared" si="2"/>
        <v>1050</v>
      </c>
      <c r="J18" s="49">
        <f t="shared" si="0"/>
        <v>11550</v>
      </c>
      <c r="K18" s="50"/>
    </row>
    <row r="19" spans="1:11" ht="19" customHeight="1">
      <c r="A19" s="66" t="s">
        <v>179</v>
      </c>
      <c r="B19" s="47"/>
      <c r="C19" s="47" t="s">
        <v>183</v>
      </c>
      <c r="D19" s="47" t="s">
        <v>137</v>
      </c>
      <c r="E19" s="47" t="s">
        <v>132</v>
      </c>
      <c r="F19" s="48">
        <v>10</v>
      </c>
      <c r="G19" s="48">
        <f>VLOOKUP(D19,단가!B:D,3,0)</f>
        <v>19000</v>
      </c>
      <c r="H19" s="48">
        <f t="shared" si="1"/>
        <v>190000</v>
      </c>
      <c r="I19" s="48">
        <f t="shared" si="2"/>
        <v>19000</v>
      </c>
      <c r="J19" s="49">
        <f t="shared" si="0"/>
        <v>209000</v>
      </c>
      <c r="K19" s="50"/>
    </row>
    <row r="20" spans="1:11" ht="19" customHeight="1">
      <c r="A20" s="66" t="s">
        <v>179</v>
      </c>
      <c r="B20" s="47"/>
      <c r="C20" s="47" t="s">
        <v>217</v>
      </c>
      <c r="D20" s="47" t="s">
        <v>147</v>
      </c>
      <c r="E20" s="47" t="s">
        <v>160</v>
      </c>
      <c r="F20" s="48">
        <v>4</v>
      </c>
      <c r="G20" s="48">
        <f>VLOOKUP(D20,단가!B:D,3,0)</f>
        <v>10500</v>
      </c>
      <c r="H20" s="48">
        <f t="shared" si="1"/>
        <v>42000</v>
      </c>
      <c r="I20" s="48">
        <f t="shared" si="2"/>
        <v>4200</v>
      </c>
      <c r="J20" s="49">
        <f t="shared" si="0"/>
        <v>46200</v>
      </c>
      <c r="K20" s="50"/>
    </row>
    <row r="21" spans="1:11" ht="19" customHeight="1">
      <c r="A21" s="66" t="s">
        <v>179</v>
      </c>
      <c r="B21" s="47"/>
      <c r="C21" s="47" t="s">
        <v>217</v>
      </c>
      <c r="D21" s="47" t="s">
        <v>153</v>
      </c>
      <c r="E21" s="47" t="s">
        <v>160</v>
      </c>
      <c r="F21" s="48">
        <v>3</v>
      </c>
      <c r="G21" s="48">
        <f>VLOOKUP(D21,단가!B:D,3,0)</f>
        <v>10500</v>
      </c>
      <c r="H21" s="48">
        <f t="shared" si="1"/>
        <v>31500</v>
      </c>
      <c r="I21" s="48">
        <f t="shared" si="2"/>
        <v>3150</v>
      </c>
      <c r="J21" s="49">
        <f t="shared" si="0"/>
        <v>34650</v>
      </c>
      <c r="K21" s="50"/>
    </row>
    <row r="22" spans="1:11" ht="19" customHeight="1">
      <c r="A22" s="66" t="s">
        <v>179</v>
      </c>
      <c r="B22" s="47"/>
      <c r="C22" s="47" t="s">
        <v>217</v>
      </c>
      <c r="D22" s="47" t="s">
        <v>158</v>
      </c>
      <c r="E22" s="47" t="s">
        <v>160</v>
      </c>
      <c r="F22" s="48">
        <v>4</v>
      </c>
      <c r="G22" s="48">
        <f>VLOOKUP(D22,단가!B:D,3,0)</f>
        <v>10500</v>
      </c>
      <c r="H22" s="48">
        <f t="shared" si="1"/>
        <v>42000</v>
      </c>
      <c r="I22" s="48">
        <f t="shared" si="2"/>
        <v>4200</v>
      </c>
      <c r="J22" s="49">
        <f t="shared" si="0"/>
        <v>46200</v>
      </c>
      <c r="K22" s="50"/>
    </row>
    <row r="23" spans="1:11" ht="19" customHeight="1">
      <c r="A23" s="66" t="s">
        <v>179</v>
      </c>
      <c r="B23" s="47"/>
      <c r="C23" s="47" t="s">
        <v>217</v>
      </c>
      <c r="D23" s="47" t="s">
        <v>152</v>
      </c>
      <c r="E23" s="47" t="s">
        <v>160</v>
      </c>
      <c r="F23" s="48">
        <v>3</v>
      </c>
      <c r="G23" s="48">
        <f>VLOOKUP(D23,단가!B:D,3,0)</f>
        <v>10500</v>
      </c>
      <c r="H23" s="48">
        <f t="shared" si="1"/>
        <v>31500</v>
      </c>
      <c r="I23" s="48">
        <f t="shared" si="2"/>
        <v>3150</v>
      </c>
      <c r="J23" s="49">
        <f t="shared" si="0"/>
        <v>34650</v>
      </c>
      <c r="K23" s="50"/>
    </row>
    <row r="24" spans="1:11" ht="19" customHeight="1">
      <c r="A24" s="66" t="s">
        <v>193</v>
      </c>
      <c r="B24" s="47"/>
      <c r="C24" s="47" t="s">
        <v>209</v>
      </c>
      <c r="D24" s="47" t="s">
        <v>162</v>
      </c>
      <c r="E24" s="47" t="s">
        <v>92</v>
      </c>
      <c r="F24" s="48">
        <v>2</v>
      </c>
      <c r="G24" s="48">
        <f>VLOOKUP(D24,단가!B:D,3,0)</f>
        <v>10500</v>
      </c>
      <c r="H24" s="48">
        <f t="shared" si="1"/>
        <v>21000</v>
      </c>
      <c r="I24" s="48">
        <f t="shared" si="2"/>
        <v>2100</v>
      </c>
      <c r="J24" s="49">
        <f t="shared" si="0"/>
        <v>23100</v>
      </c>
      <c r="K24" s="50"/>
    </row>
    <row r="25" spans="1:11" ht="19" customHeight="1">
      <c r="A25" s="66" t="s">
        <v>193</v>
      </c>
      <c r="B25" s="47"/>
      <c r="C25" s="47" t="s">
        <v>209</v>
      </c>
      <c r="D25" s="47" t="s">
        <v>166</v>
      </c>
      <c r="E25" s="47" t="s">
        <v>92</v>
      </c>
      <c r="F25" s="48">
        <v>2</v>
      </c>
      <c r="G25" s="48">
        <f>VLOOKUP(D25,단가!B:D,3,0)</f>
        <v>10500</v>
      </c>
      <c r="H25" s="48">
        <f t="shared" si="1"/>
        <v>21000</v>
      </c>
      <c r="I25" s="48">
        <f t="shared" si="2"/>
        <v>2100</v>
      </c>
      <c r="J25" s="49">
        <f t="shared" si="0"/>
        <v>23100</v>
      </c>
      <c r="K25" s="50"/>
    </row>
    <row r="26" spans="1:11" ht="19" customHeight="1">
      <c r="A26" s="66" t="s">
        <v>194</v>
      </c>
      <c r="B26" s="47"/>
      <c r="C26" s="47" t="s">
        <v>217</v>
      </c>
      <c r="D26" s="47" t="s">
        <v>146</v>
      </c>
      <c r="E26" s="47" t="s">
        <v>160</v>
      </c>
      <c r="F26" s="48">
        <v>1</v>
      </c>
      <c r="G26" s="48">
        <f>VLOOKUP(D26,단가!B:D,3,0)</f>
        <v>10500</v>
      </c>
      <c r="H26" s="48">
        <f t="shared" si="1"/>
        <v>10500</v>
      </c>
      <c r="I26" s="48">
        <f t="shared" si="2"/>
        <v>1050</v>
      </c>
      <c r="J26" s="49">
        <f t="shared" si="0"/>
        <v>11550</v>
      </c>
      <c r="K26" s="50"/>
    </row>
    <row r="27" spans="1:11" ht="19" customHeight="1">
      <c r="A27" s="66" t="s">
        <v>194</v>
      </c>
      <c r="B27" s="47"/>
      <c r="C27" s="47" t="s">
        <v>217</v>
      </c>
      <c r="D27" s="47" t="s">
        <v>149</v>
      </c>
      <c r="E27" s="47" t="s">
        <v>160</v>
      </c>
      <c r="F27" s="48">
        <v>3</v>
      </c>
      <c r="G27" s="48">
        <f>VLOOKUP(D27,단가!B:D,3,0)</f>
        <v>10500</v>
      </c>
      <c r="H27" s="48">
        <f t="shared" si="1"/>
        <v>31500</v>
      </c>
      <c r="I27" s="48">
        <f t="shared" si="2"/>
        <v>3150</v>
      </c>
      <c r="J27" s="49">
        <f t="shared" si="0"/>
        <v>34650</v>
      </c>
      <c r="K27" s="50"/>
    </row>
    <row r="28" spans="1:11" ht="19" customHeight="1">
      <c r="A28" s="62" t="s">
        <v>197</v>
      </c>
      <c r="B28" s="47"/>
      <c r="C28" s="47" t="s">
        <v>217</v>
      </c>
      <c r="D28" s="47" t="s">
        <v>61</v>
      </c>
      <c r="E28" s="47" t="s">
        <v>57</v>
      </c>
      <c r="F28" s="48">
        <v>5</v>
      </c>
      <c r="G28" s="48">
        <f>VLOOKUP(D28,단가!B:D,3,0)</f>
        <v>20000</v>
      </c>
      <c r="H28" s="48">
        <f t="shared" si="1"/>
        <v>100000</v>
      </c>
      <c r="I28" s="48">
        <f t="shared" si="2"/>
        <v>10000</v>
      </c>
      <c r="J28" s="49">
        <f t="shared" ref="J28:J51" si="3">H28+I28</f>
        <v>110000</v>
      </c>
      <c r="K28" s="50"/>
    </row>
    <row r="29" spans="1:11" ht="19" customHeight="1">
      <c r="A29" s="62" t="s">
        <v>198</v>
      </c>
      <c r="B29" s="47"/>
      <c r="C29" s="47" t="s">
        <v>199</v>
      </c>
      <c r="D29" s="47" t="s">
        <v>137</v>
      </c>
      <c r="E29" s="47" t="s">
        <v>57</v>
      </c>
      <c r="F29" s="48">
        <v>10</v>
      </c>
      <c r="G29" s="48">
        <f>VLOOKUP(D29,단가!B:D,3,0)</f>
        <v>19000</v>
      </c>
      <c r="H29" s="48">
        <f t="shared" si="1"/>
        <v>190000</v>
      </c>
      <c r="I29" s="48">
        <f t="shared" si="2"/>
        <v>19000</v>
      </c>
      <c r="J29" s="49">
        <f t="shared" si="3"/>
        <v>209000</v>
      </c>
      <c r="K29" s="50"/>
    </row>
    <row r="30" spans="1:11" ht="19" customHeight="1">
      <c r="A30" s="62" t="s">
        <v>198</v>
      </c>
      <c r="B30" s="47"/>
      <c r="C30" s="47" t="s">
        <v>199</v>
      </c>
      <c r="D30" s="47" t="s">
        <v>130</v>
      </c>
      <c r="E30" s="47" t="s">
        <v>131</v>
      </c>
      <c r="F30" s="48">
        <v>5</v>
      </c>
      <c r="G30" s="48">
        <f>VLOOKUP(D30,단가!B:D,3,0)</f>
        <v>8000</v>
      </c>
      <c r="H30" s="48">
        <f t="shared" si="1"/>
        <v>40000</v>
      </c>
      <c r="I30" s="48">
        <f t="shared" si="2"/>
        <v>4000</v>
      </c>
      <c r="J30" s="49">
        <f t="shared" si="3"/>
        <v>44000</v>
      </c>
      <c r="K30" s="50"/>
    </row>
    <row r="31" spans="1:11" ht="19" customHeight="1">
      <c r="A31" s="62" t="s">
        <v>198</v>
      </c>
      <c r="B31" s="47"/>
      <c r="C31" s="47" t="s">
        <v>217</v>
      </c>
      <c r="D31" s="47" t="s">
        <v>146</v>
      </c>
      <c r="E31" s="47" t="s">
        <v>60</v>
      </c>
      <c r="F31" s="48">
        <v>5</v>
      </c>
      <c r="G31" s="48">
        <f>VLOOKUP(D31,단가!B:D,3,0)</f>
        <v>10500</v>
      </c>
      <c r="H31" s="48">
        <f t="shared" si="1"/>
        <v>52500</v>
      </c>
      <c r="I31" s="48">
        <f t="shared" si="2"/>
        <v>5250</v>
      </c>
      <c r="J31" s="49">
        <f t="shared" si="3"/>
        <v>57750</v>
      </c>
      <c r="K31" s="50"/>
    </row>
    <row r="32" spans="1:11" ht="19" customHeight="1">
      <c r="A32" s="62" t="s">
        <v>198</v>
      </c>
      <c r="B32" s="47"/>
      <c r="C32" s="47" t="s">
        <v>217</v>
      </c>
      <c r="D32" s="47" t="s">
        <v>148</v>
      </c>
      <c r="E32" s="47" t="s">
        <v>60</v>
      </c>
      <c r="F32" s="48">
        <v>5</v>
      </c>
      <c r="G32" s="48">
        <f>VLOOKUP(D32,단가!B:D,3,0)</f>
        <v>10500</v>
      </c>
      <c r="H32" s="48">
        <f t="shared" si="1"/>
        <v>52500</v>
      </c>
      <c r="I32" s="48">
        <f t="shared" si="2"/>
        <v>5250</v>
      </c>
      <c r="J32" s="49">
        <f t="shared" si="3"/>
        <v>57750</v>
      </c>
      <c r="K32" s="50"/>
    </row>
    <row r="33" spans="1:11" ht="19" customHeight="1">
      <c r="A33" s="62" t="s">
        <v>198</v>
      </c>
      <c r="B33" s="47"/>
      <c r="C33" s="47" t="s">
        <v>217</v>
      </c>
      <c r="D33" s="47" t="s">
        <v>154</v>
      </c>
      <c r="E33" s="47" t="s">
        <v>60</v>
      </c>
      <c r="F33" s="48">
        <v>5</v>
      </c>
      <c r="G33" s="48">
        <f>VLOOKUP(D33,단가!B:D,3,0)</f>
        <v>10500</v>
      </c>
      <c r="H33" s="48">
        <f t="shared" si="1"/>
        <v>52500</v>
      </c>
      <c r="I33" s="48">
        <f t="shared" si="2"/>
        <v>5250</v>
      </c>
      <c r="J33" s="49">
        <f t="shared" si="3"/>
        <v>57750</v>
      </c>
      <c r="K33" s="50"/>
    </row>
    <row r="34" spans="1:11" ht="19" customHeight="1">
      <c r="A34" s="62" t="s">
        <v>200</v>
      </c>
      <c r="B34" s="47"/>
      <c r="C34" s="47" t="s">
        <v>201</v>
      </c>
      <c r="D34" s="47" t="s">
        <v>137</v>
      </c>
      <c r="E34" s="47" t="s">
        <v>57</v>
      </c>
      <c r="F34" s="48">
        <v>10</v>
      </c>
      <c r="G34" s="48">
        <f>VLOOKUP(D34,단가!B:D,3,0)</f>
        <v>19000</v>
      </c>
      <c r="H34" s="48">
        <f t="shared" si="1"/>
        <v>190000</v>
      </c>
      <c r="I34" s="48">
        <f t="shared" si="2"/>
        <v>19000</v>
      </c>
      <c r="J34" s="49">
        <f t="shared" si="3"/>
        <v>209000</v>
      </c>
      <c r="K34" s="50"/>
    </row>
    <row r="35" spans="1:11" ht="19" customHeight="1">
      <c r="A35" s="62" t="s">
        <v>200</v>
      </c>
      <c r="B35" s="47"/>
      <c r="C35" s="47" t="s">
        <v>201</v>
      </c>
      <c r="D35" s="47" t="s">
        <v>129</v>
      </c>
      <c r="E35" s="47" t="s">
        <v>131</v>
      </c>
      <c r="F35" s="48">
        <v>2</v>
      </c>
      <c r="G35" s="48">
        <f>VLOOKUP(D35,단가!B:D,3,0)</f>
        <v>6000</v>
      </c>
      <c r="H35" s="48">
        <f t="shared" si="1"/>
        <v>12000</v>
      </c>
      <c r="I35" s="48">
        <f t="shared" si="2"/>
        <v>1200</v>
      </c>
      <c r="J35" s="49">
        <f t="shared" si="3"/>
        <v>13200</v>
      </c>
      <c r="K35" s="50"/>
    </row>
    <row r="36" spans="1:11" ht="19" customHeight="1">
      <c r="A36" s="62" t="s">
        <v>200</v>
      </c>
      <c r="B36" s="47"/>
      <c r="C36" s="47" t="s">
        <v>201</v>
      </c>
      <c r="D36" s="47" t="s">
        <v>130</v>
      </c>
      <c r="E36" s="47" t="s">
        <v>131</v>
      </c>
      <c r="F36" s="48">
        <v>2</v>
      </c>
      <c r="G36" s="48">
        <f>VLOOKUP(D36,단가!B:D,3,0)</f>
        <v>8000</v>
      </c>
      <c r="H36" s="48">
        <f t="shared" si="1"/>
        <v>16000</v>
      </c>
      <c r="I36" s="48">
        <f t="shared" si="2"/>
        <v>1600</v>
      </c>
      <c r="J36" s="49">
        <f t="shared" si="3"/>
        <v>17600</v>
      </c>
      <c r="K36" s="50"/>
    </row>
    <row r="37" spans="1:11" ht="19" customHeight="1">
      <c r="A37" s="62" t="s">
        <v>200</v>
      </c>
      <c r="B37" s="47"/>
      <c r="C37" s="47" t="s">
        <v>217</v>
      </c>
      <c r="D37" s="47" t="s">
        <v>152</v>
      </c>
      <c r="E37" s="47" t="s">
        <v>60</v>
      </c>
      <c r="F37" s="48">
        <v>1</v>
      </c>
      <c r="G37" s="48">
        <f>VLOOKUP(D37,단가!B:D,3,0)</f>
        <v>10500</v>
      </c>
      <c r="H37" s="48">
        <f t="shared" si="1"/>
        <v>10500</v>
      </c>
      <c r="I37" s="48">
        <f t="shared" si="2"/>
        <v>1050</v>
      </c>
      <c r="J37" s="49">
        <f t="shared" si="3"/>
        <v>11550</v>
      </c>
      <c r="K37" s="50"/>
    </row>
    <row r="38" spans="1:11" ht="19" customHeight="1">
      <c r="A38" s="62" t="s">
        <v>200</v>
      </c>
      <c r="B38" s="47"/>
      <c r="C38" s="47" t="s">
        <v>217</v>
      </c>
      <c r="D38" s="47" t="s">
        <v>151</v>
      </c>
      <c r="E38" s="47" t="s">
        <v>60</v>
      </c>
      <c r="F38" s="48">
        <v>1</v>
      </c>
      <c r="G38" s="48">
        <f>VLOOKUP(D38,단가!B:D,3,0)</f>
        <v>10500</v>
      </c>
      <c r="H38" s="48">
        <f t="shared" si="1"/>
        <v>10500</v>
      </c>
      <c r="I38" s="48">
        <f t="shared" si="2"/>
        <v>1050</v>
      </c>
      <c r="J38" s="49">
        <f t="shared" si="3"/>
        <v>11550</v>
      </c>
      <c r="K38" s="50"/>
    </row>
    <row r="39" spans="1:11" ht="19" customHeight="1">
      <c r="A39" s="62" t="s">
        <v>207</v>
      </c>
      <c r="B39" s="47"/>
      <c r="C39" s="47" t="s">
        <v>123</v>
      </c>
      <c r="D39" s="47" t="s">
        <v>137</v>
      </c>
      <c r="E39" s="47" t="s">
        <v>57</v>
      </c>
      <c r="F39" s="48">
        <v>10</v>
      </c>
      <c r="G39" s="48">
        <f>VLOOKUP(D39,단가!B:D,3,0)</f>
        <v>19000</v>
      </c>
      <c r="H39" s="48">
        <f t="shared" si="1"/>
        <v>190000</v>
      </c>
      <c r="I39" s="48">
        <f t="shared" si="2"/>
        <v>19000</v>
      </c>
      <c r="J39" s="49">
        <f t="shared" si="3"/>
        <v>209000</v>
      </c>
      <c r="K39" s="50"/>
    </row>
    <row r="40" spans="1:11" ht="19" customHeight="1">
      <c r="A40" s="62" t="s">
        <v>207</v>
      </c>
      <c r="B40" s="47"/>
      <c r="C40" s="47" t="s">
        <v>123</v>
      </c>
      <c r="D40" s="47" t="s">
        <v>129</v>
      </c>
      <c r="E40" s="47" t="s">
        <v>131</v>
      </c>
      <c r="F40" s="48">
        <v>3</v>
      </c>
      <c r="G40" s="48">
        <f>VLOOKUP(D40,단가!B:D,3,0)</f>
        <v>6000</v>
      </c>
      <c r="H40" s="48">
        <f t="shared" si="1"/>
        <v>18000</v>
      </c>
      <c r="I40" s="48">
        <f t="shared" si="2"/>
        <v>1800</v>
      </c>
      <c r="J40" s="49">
        <f t="shared" si="3"/>
        <v>19800</v>
      </c>
      <c r="K40" s="50"/>
    </row>
    <row r="41" spans="1:11" ht="19" customHeight="1">
      <c r="A41" s="62" t="s">
        <v>207</v>
      </c>
      <c r="B41" s="47"/>
      <c r="C41" s="47" t="s">
        <v>217</v>
      </c>
      <c r="D41" s="47" t="s">
        <v>61</v>
      </c>
      <c r="E41" s="47" t="s">
        <v>57</v>
      </c>
      <c r="F41" s="48">
        <v>3</v>
      </c>
      <c r="G41" s="48">
        <f>VLOOKUP(D41,단가!B:D,3,0)</f>
        <v>20000</v>
      </c>
      <c r="H41" s="48">
        <f t="shared" si="1"/>
        <v>60000</v>
      </c>
      <c r="I41" s="48">
        <f t="shared" si="2"/>
        <v>6000</v>
      </c>
      <c r="J41" s="49">
        <f t="shared" si="3"/>
        <v>66000</v>
      </c>
      <c r="K41" s="50"/>
    </row>
    <row r="42" spans="1:11" ht="19" customHeight="1">
      <c r="A42" s="62" t="s">
        <v>208</v>
      </c>
      <c r="B42" s="47"/>
      <c r="C42" s="47" t="s">
        <v>209</v>
      </c>
      <c r="D42" s="47" t="s">
        <v>61</v>
      </c>
      <c r="E42" s="47" t="s">
        <v>57</v>
      </c>
      <c r="F42" s="48">
        <v>12</v>
      </c>
      <c r="G42" s="48">
        <f>VLOOKUP(D42,단가!B:D,3,0)</f>
        <v>20000</v>
      </c>
      <c r="H42" s="48">
        <f t="shared" si="1"/>
        <v>240000</v>
      </c>
      <c r="I42" s="48">
        <f t="shared" si="2"/>
        <v>24000</v>
      </c>
      <c r="J42" s="49">
        <f t="shared" si="3"/>
        <v>264000</v>
      </c>
      <c r="K42" s="50"/>
    </row>
    <row r="43" spans="1:11" ht="19" customHeight="1">
      <c r="A43" s="62" t="s">
        <v>208</v>
      </c>
      <c r="B43" s="47"/>
      <c r="C43" s="47" t="s">
        <v>209</v>
      </c>
      <c r="D43" s="47" t="s">
        <v>146</v>
      </c>
      <c r="E43" s="47" t="s">
        <v>60</v>
      </c>
      <c r="F43" s="48">
        <v>1</v>
      </c>
      <c r="G43" s="48">
        <f>VLOOKUP(D43,단가!B:D,3,0)</f>
        <v>10500</v>
      </c>
      <c r="H43" s="48">
        <f t="shared" si="1"/>
        <v>10500</v>
      </c>
      <c r="I43" s="48">
        <f t="shared" si="2"/>
        <v>1050</v>
      </c>
      <c r="J43" s="49">
        <f t="shared" si="3"/>
        <v>11550</v>
      </c>
      <c r="K43" s="50"/>
    </row>
    <row r="44" spans="1:11" ht="19" customHeight="1">
      <c r="A44" s="62" t="s">
        <v>208</v>
      </c>
      <c r="B44" s="47"/>
      <c r="C44" s="47" t="s">
        <v>209</v>
      </c>
      <c r="D44" s="47" t="s">
        <v>147</v>
      </c>
      <c r="E44" s="47" t="s">
        <v>60</v>
      </c>
      <c r="F44" s="48">
        <v>1</v>
      </c>
      <c r="G44" s="48">
        <f>VLOOKUP(D44,단가!B:D,3,0)</f>
        <v>10500</v>
      </c>
      <c r="H44" s="48">
        <f t="shared" si="1"/>
        <v>10500</v>
      </c>
      <c r="I44" s="48">
        <f t="shared" si="2"/>
        <v>1050</v>
      </c>
      <c r="J44" s="49">
        <f t="shared" si="3"/>
        <v>11550</v>
      </c>
      <c r="K44" s="50"/>
    </row>
    <row r="45" spans="1:11" ht="19" customHeight="1">
      <c r="A45" s="62" t="s">
        <v>208</v>
      </c>
      <c r="B45" s="47"/>
      <c r="C45" s="47" t="s">
        <v>209</v>
      </c>
      <c r="D45" s="47" t="s">
        <v>162</v>
      </c>
      <c r="E45" s="47" t="s">
        <v>92</v>
      </c>
      <c r="F45" s="48">
        <v>1</v>
      </c>
      <c r="G45" s="48">
        <f>VLOOKUP(D45,단가!B:D,3,0)</f>
        <v>10500</v>
      </c>
      <c r="H45" s="48">
        <f t="shared" si="1"/>
        <v>10500</v>
      </c>
      <c r="I45" s="48">
        <f t="shared" si="2"/>
        <v>1050</v>
      </c>
      <c r="J45" s="49">
        <f t="shared" si="3"/>
        <v>11550</v>
      </c>
      <c r="K45" s="50"/>
    </row>
    <row r="46" spans="1:11" ht="19" customHeight="1">
      <c r="A46" s="62" t="s">
        <v>214</v>
      </c>
      <c r="B46" s="47"/>
      <c r="C46" s="47" t="s">
        <v>217</v>
      </c>
      <c r="D46" s="47" t="s">
        <v>148</v>
      </c>
      <c r="E46" s="47" t="s">
        <v>60</v>
      </c>
      <c r="F46" s="48">
        <v>2</v>
      </c>
      <c r="G46" s="48">
        <f>VLOOKUP(D46,단가!B:D,3,0)</f>
        <v>10500</v>
      </c>
      <c r="H46" s="48">
        <f t="shared" si="1"/>
        <v>21000</v>
      </c>
      <c r="I46" s="48">
        <f t="shared" si="2"/>
        <v>2100</v>
      </c>
      <c r="J46" s="49">
        <f t="shared" si="3"/>
        <v>23100</v>
      </c>
      <c r="K46" s="50"/>
    </row>
    <row r="47" spans="1:11" ht="19" customHeight="1">
      <c r="A47" s="62" t="s">
        <v>214</v>
      </c>
      <c r="B47" s="47"/>
      <c r="C47" s="47" t="s">
        <v>217</v>
      </c>
      <c r="D47" s="47" t="s">
        <v>149</v>
      </c>
      <c r="E47" s="47" t="s">
        <v>60</v>
      </c>
      <c r="F47" s="48">
        <v>2</v>
      </c>
      <c r="G47" s="48">
        <f>VLOOKUP(D47,단가!B:D,3,0)</f>
        <v>10500</v>
      </c>
      <c r="H47" s="48">
        <f t="shared" si="1"/>
        <v>21000</v>
      </c>
      <c r="I47" s="48">
        <f t="shared" si="2"/>
        <v>2100</v>
      </c>
      <c r="J47" s="49">
        <f t="shared" si="3"/>
        <v>23100</v>
      </c>
      <c r="K47" s="50"/>
    </row>
    <row r="48" spans="1:11" ht="19" customHeight="1">
      <c r="A48" s="62" t="s">
        <v>214</v>
      </c>
      <c r="B48" s="47"/>
      <c r="C48" s="47" t="s">
        <v>217</v>
      </c>
      <c r="D48" s="47" t="s">
        <v>151</v>
      </c>
      <c r="E48" s="47" t="s">
        <v>60</v>
      </c>
      <c r="F48" s="48">
        <v>2</v>
      </c>
      <c r="G48" s="48">
        <f>VLOOKUP(D48,단가!B:D,3,0)</f>
        <v>10500</v>
      </c>
      <c r="H48" s="48">
        <f t="shared" si="1"/>
        <v>21000</v>
      </c>
      <c r="I48" s="48">
        <f t="shared" si="2"/>
        <v>2100</v>
      </c>
      <c r="J48" s="49">
        <f t="shared" si="3"/>
        <v>23100</v>
      </c>
      <c r="K48" s="50"/>
    </row>
    <row r="49" spans="1:11" ht="19" customHeight="1">
      <c r="A49" s="62" t="s">
        <v>214</v>
      </c>
      <c r="B49" s="47"/>
      <c r="C49" s="47" t="s">
        <v>217</v>
      </c>
      <c r="D49" s="47" t="s">
        <v>147</v>
      </c>
      <c r="E49" s="47" t="s">
        <v>60</v>
      </c>
      <c r="F49" s="48">
        <v>2</v>
      </c>
      <c r="G49" s="48">
        <f>VLOOKUP(D49,단가!B:D,3,0)</f>
        <v>10500</v>
      </c>
      <c r="H49" s="48">
        <f t="shared" si="1"/>
        <v>21000</v>
      </c>
      <c r="I49" s="48">
        <f t="shared" si="2"/>
        <v>2100</v>
      </c>
      <c r="J49" s="49">
        <f t="shared" si="3"/>
        <v>23100</v>
      </c>
      <c r="K49" s="50"/>
    </row>
    <row r="50" spans="1:11" ht="19" customHeight="1">
      <c r="A50" s="62" t="s">
        <v>214</v>
      </c>
      <c r="B50" s="47"/>
      <c r="C50" s="47" t="s">
        <v>217</v>
      </c>
      <c r="D50" s="47" t="s">
        <v>146</v>
      </c>
      <c r="E50" s="47" t="s">
        <v>60</v>
      </c>
      <c r="F50" s="48">
        <v>5</v>
      </c>
      <c r="G50" s="48">
        <f>VLOOKUP(D50,단가!B:D,3,0)</f>
        <v>10500</v>
      </c>
      <c r="H50" s="48">
        <f t="shared" si="1"/>
        <v>52500</v>
      </c>
      <c r="I50" s="48">
        <f t="shared" si="2"/>
        <v>5250</v>
      </c>
      <c r="J50" s="49">
        <f t="shared" si="3"/>
        <v>57750</v>
      </c>
      <c r="K50" s="50"/>
    </row>
    <row r="51" spans="1:11" ht="19" customHeight="1">
      <c r="A51" s="62" t="s">
        <v>216</v>
      </c>
      <c r="B51" s="47"/>
      <c r="C51" s="47" t="s">
        <v>217</v>
      </c>
      <c r="D51" s="47" t="s">
        <v>153</v>
      </c>
      <c r="E51" s="47" t="s">
        <v>60</v>
      </c>
      <c r="F51" s="48">
        <v>5</v>
      </c>
      <c r="G51" s="48">
        <f>VLOOKUP(D51,단가!B:D,3,0)</f>
        <v>10500</v>
      </c>
      <c r="H51" s="48">
        <f t="shared" si="1"/>
        <v>52500</v>
      </c>
      <c r="I51" s="48">
        <f t="shared" si="2"/>
        <v>5250</v>
      </c>
      <c r="J51" s="49">
        <f t="shared" si="3"/>
        <v>57750</v>
      </c>
      <c r="K51" s="50"/>
    </row>
    <row r="52" spans="1:11" ht="19" customHeight="1">
      <c r="A52" s="62" t="s">
        <v>216</v>
      </c>
      <c r="B52" s="47"/>
      <c r="C52" s="47" t="s">
        <v>217</v>
      </c>
      <c r="D52" s="47" t="s">
        <v>152</v>
      </c>
      <c r="E52" s="47" t="s">
        <v>60</v>
      </c>
      <c r="F52" s="48">
        <v>5</v>
      </c>
      <c r="G52" s="48">
        <f>VLOOKUP(D52,단가!B:D,3,0)</f>
        <v>10500</v>
      </c>
      <c r="H52" s="48">
        <f t="shared" si="1"/>
        <v>52500</v>
      </c>
      <c r="I52" s="48">
        <f t="shared" si="2"/>
        <v>5250</v>
      </c>
      <c r="J52" s="49">
        <f t="shared" ref="J52:J116" si="4">H52+I52</f>
        <v>57750</v>
      </c>
      <c r="K52" s="50"/>
    </row>
    <row r="53" spans="1:11" ht="19" customHeight="1">
      <c r="A53" s="62" t="s">
        <v>216</v>
      </c>
      <c r="B53" s="47"/>
      <c r="C53" s="47" t="s">
        <v>209</v>
      </c>
      <c r="D53" s="47" t="s">
        <v>149</v>
      </c>
      <c r="E53" s="47" t="s">
        <v>60</v>
      </c>
      <c r="F53" s="48">
        <v>1</v>
      </c>
      <c r="G53" s="48">
        <f>VLOOKUP(D53,단가!B:D,3,0)</f>
        <v>10500</v>
      </c>
      <c r="H53" s="48">
        <f t="shared" ref="H53:H117" si="5">F53*G53</f>
        <v>10500</v>
      </c>
      <c r="I53" s="48">
        <f t="shared" ref="I53:I117" si="6">H53*0.1</f>
        <v>1050</v>
      </c>
      <c r="J53" s="49">
        <f t="shared" si="4"/>
        <v>11550</v>
      </c>
      <c r="K53" s="50"/>
    </row>
    <row r="54" spans="1:11" ht="19" customHeight="1">
      <c r="A54" s="62" t="s">
        <v>216</v>
      </c>
      <c r="B54" s="47"/>
      <c r="C54" s="47" t="s">
        <v>209</v>
      </c>
      <c r="D54" s="47" t="s">
        <v>146</v>
      </c>
      <c r="E54" s="47" t="s">
        <v>60</v>
      </c>
      <c r="F54" s="48">
        <v>1</v>
      </c>
      <c r="G54" s="48">
        <f>VLOOKUP(D54,단가!B:D,3,0)</f>
        <v>10500</v>
      </c>
      <c r="H54" s="48">
        <f t="shared" si="5"/>
        <v>10500</v>
      </c>
      <c r="I54" s="48">
        <f t="shared" si="6"/>
        <v>1050</v>
      </c>
      <c r="J54" s="49">
        <f t="shared" si="4"/>
        <v>11550</v>
      </c>
      <c r="K54" s="50"/>
    </row>
    <row r="55" spans="1:11" ht="19" customHeight="1">
      <c r="A55" s="62" t="s">
        <v>216</v>
      </c>
      <c r="B55" s="47"/>
      <c r="C55" s="47" t="s">
        <v>209</v>
      </c>
      <c r="D55" s="47" t="s">
        <v>170</v>
      </c>
      <c r="E55" s="47" t="s">
        <v>92</v>
      </c>
      <c r="F55" s="48">
        <v>2</v>
      </c>
      <c r="G55" s="48">
        <f>VLOOKUP(D55,단가!B:D,3,0)</f>
        <v>10500</v>
      </c>
      <c r="H55" s="48">
        <f t="shared" si="5"/>
        <v>21000</v>
      </c>
      <c r="I55" s="48">
        <f t="shared" si="6"/>
        <v>2100</v>
      </c>
      <c r="J55" s="49">
        <f t="shared" si="4"/>
        <v>23100</v>
      </c>
      <c r="K55" s="50"/>
    </row>
    <row r="56" spans="1:11" ht="19" customHeight="1">
      <c r="A56" s="62" t="s">
        <v>216</v>
      </c>
      <c r="B56" s="47"/>
      <c r="C56" s="47" t="s">
        <v>128</v>
      </c>
      <c r="D56" s="47" t="s">
        <v>130</v>
      </c>
      <c r="E56" s="47" t="s">
        <v>131</v>
      </c>
      <c r="F56" s="48">
        <v>2</v>
      </c>
      <c r="G56" s="48">
        <f>VLOOKUP(D56,단가!B:D,3,0)</f>
        <v>8000</v>
      </c>
      <c r="H56" s="48">
        <f t="shared" si="5"/>
        <v>16000</v>
      </c>
      <c r="I56" s="48">
        <f t="shared" si="6"/>
        <v>1600</v>
      </c>
      <c r="J56" s="49">
        <f t="shared" si="4"/>
        <v>17600</v>
      </c>
      <c r="K56" s="50"/>
    </row>
    <row r="57" spans="1:11" ht="19" customHeight="1">
      <c r="A57" s="62" t="s">
        <v>216</v>
      </c>
      <c r="B57" s="47"/>
      <c r="C57" s="47" t="s">
        <v>128</v>
      </c>
      <c r="D57" s="47" t="s">
        <v>182</v>
      </c>
      <c r="E57" s="47"/>
      <c r="F57" s="48">
        <v>1</v>
      </c>
      <c r="G57" s="48">
        <f>VLOOKUP(D57,단가!B:D,3,0)</f>
        <v>3000</v>
      </c>
      <c r="H57" s="48">
        <f t="shared" si="5"/>
        <v>3000</v>
      </c>
      <c r="I57" s="48"/>
      <c r="J57" s="49">
        <f t="shared" si="4"/>
        <v>3000</v>
      </c>
      <c r="K57" s="50"/>
    </row>
    <row r="58" spans="1:11" ht="19" customHeight="1">
      <c r="A58" s="62" t="s">
        <v>216</v>
      </c>
      <c r="B58" s="47"/>
      <c r="C58" s="47" t="s">
        <v>127</v>
      </c>
      <c r="D58" s="47" t="s">
        <v>130</v>
      </c>
      <c r="E58" s="47" t="s">
        <v>131</v>
      </c>
      <c r="F58" s="48">
        <v>2</v>
      </c>
      <c r="G58" s="48">
        <f>VLOOKUP(D58,단가!B:D,3,0)</f>
        <v>8000</v>
      </c>
      <c r="H58" s="48">
        <f t="shared" si="5"/>
        <v>16000</v>
      </c>
      <c r="I58" s="48">
        <f t="shared" si="6"/>
        <v>1600</v>
      </c>
      <c r="J58" s="49">
        <f t="shared" si="4"/>
        <v>17600</v>
      </c>
      <c r="K58" s="50"/>
    </row>
    <row r="59" spans="1:11" ht="19" customHeight="1">
      <c r="A59" s="62" t="s">
        <v>216</v>
      </c>
      <c r="B59" s="47"/>
      <c r="C59" s="47" t="s">
        <v>217</v>
      </c>
      <c r="D59" s="47" t="s">
        <v>152</v>
      </c>
      <c r="E59" s="47" t="s">
        <v>60</v>
      </c>
      <c r="F59" s="48">
        <v>5</v>
      </c>
      <c r="G59" s="48">
        <f>VLOOKUP(D59,단가!B:D,3,0)</f>
        <v>10500</v>
      </c>
      <c r="H59" s="48">
        <f t="shared" si="5"/>
        <v>52500</v>
      </c>
      <c r="I59" s="48">
        <f t="shared" si="6"/>
        <v>5250</v>
      </c>
      <c r="J59" s="49">
        <f t="shared" si="4"/>
        <v>57750</v>
      </c>
      <c r="K59" s="50"/>
    </row>
    <row r="60" spans="1:11" ht="19" customHeight="1">
      <c r="A60" s="62" t="s">
        <v>227</v>
      </c>
      <c r="B60" s="47"/>
      <c r="C60" s="47" t="s">
        <v>217</v>
      </c>
      <c r="D60" s="47" t="s">
        <v>148</v>
      </c>
      <c r="E60" s="47" t="s">
        <v>60</v>
      </c>
      <c r="F60" s="48">
        <v>5</v>
      </c>
      <c r="G60" s="48">
        <f>VLOOKUP(D60,단가!B:D,3,0)</f>
        <v>10500</v>
      </c>
      <c r="H60" s="48">
        <f t="shared" si="5"/>
        <v>52500</v>
      </c>
      <c r="I60" s="48">
        <f t="shared" si="6"/>
        <v>5250</v>
      </c>
      <c r="J60" s="49">
        <f t="shared" si="4"/>
        <v>57750</v>
      </c>
      <c r="K60" s="50"/>
    </row>
    <row r="61" spans="1:11" ht="19" customHeight="1">
      <c r="A61" s="62" t="s">
        <v>227</v>
      </c>
      <c r="B61" s="47"/>
      <c r="C61" s="47" t="s">
        <v>217</v>
      </c>
      <c r="D61" s="47" t="s">
        <v>150</v>
      </c>
      <c r="E61" s="47" t="s">
        <v>60</v>
      </c>
      <c r="F61" s="48">
        <v>5</v>
      </c>
      <c r="G61" s="48">
        <f>VLOOKUP(D61,단가!B:D,3,0)</f>
        <v>10500</v>
      </c>
      <c r="H61" s="48">
        <f t="shared" si="5"/>
        <v>52500</v>
      </c>
      <c r="I61" s="48">
        <f t="shared" si="6"/>
        <v>5250</v>
      </c>
      <c r="J61" s="49">
        <f t="shared" si="4"/>
        <v>57750</v>
      </c>
      <c r="K61" s="50"/>
    </row>
    <row r="62" spans="1:11" ht="19" customHeight="1">
      <c r="A62" s="62" t="s">
        <v>227</v>
      </c>
      <c r="B62" s="47"/>
      <c r="C62" s="47" t="s">
        <v>217</v>
      </c>
      <c r="D62" s="47" t="s">
        <v>146</v>
      </c>
      <c r="E62" s="47" t="s">
        <v>60</v>
      </c>
      <c r="F62" s="48">
        <v>5</v>
      </c>
      <c r="G62" s="48">
        <f>VLOOKUP(D62,단가!B:D,3,0)</f>
        <v>10500</v>
      </c>
      <c r="H62" s="48">
        <f t="shared" si="5"/>
        <v>52500</v>
      </c>
      <c r="I62" s="48">
        <f t="shared" si="6"/>
        <v>5250</v>
      </c>
      <c r="J62" s="49">
        <f t="shared" si="4"/>
        <v>57750</v>
      </c>
      <c r="K62" s="50"/>
    </row>
    <row r="63" spans="1:11" ht="19" customHeight="1">
      <c r="A63" s="62" t="s">
        <v>227</v>
      </c>
      <c r="B63" s="47"/>
      <c r="C63" s="47" t="s">
        <v>217</v>
      </c>
      <c r="D63" s="47" t="s">
        <v>154</v>
      </c>
      <c r="E63" s="47" t="s">
        <v>60</v>
      </c>
      <c r="F63" s="48">
        <v>5</v>
      </c>
      <c r="G63" s="48">
        <f>VLOOKUP(D63,단가!B:D,3,0)</f>
        <v>10500</v>
      </c>
      <c r="H63" s="48">
        <f t="shared" si="5"/>
        <v>52500</v>
      </c>
      <c r="I63" s="48">
        <f t="shared" si="6"/>
        <v>5250</v>
      </c>
      <c r="J63" s="49">
        <f t="shared" si="4"/>
        <v>57750</v>
      </c>
      <c r="K63" s="50"/>
    </row>
    <row r="64" spans="1:11" ht="19" customHeight="1">
      <c r="A64" s="62" t="s">
        <v>229</v>
      </c>
      <c r="B64" s="47"/>
      <c r="C64" s="47" t="s">
        <v>209</v>
      </c>
      <c r="D64" s="47" t="s">
        <v>149</v>
      </c>
      <c r="E64" s="47" t="s">
        <v>60</v>
      </c>
      <c r="F64" s="48">
        <v>1</v>
      </c>
      <c r="G64" s="48">
        <f>VLOOKUP(D64,단가!B:D,3,0)</f>
        <v>10500</v>
      </c>
      <c r="H64" s="48">
        <f t="shared" si="5"/>
        <v>10500</v>
      </c>
      <c r="I64" s="48">
        <f t="shared" si="6"/>
        <v>1050</v>
      </c>
      <c r="J64" s="49">
        <f t="shared" si="4"/>
        <v>11550</v>
      </c>
      <c r="K64" s="50"/>
    </row>
    <row r="65" spans="1:13" ht="19" customHeight="1">
      <c r="A65" s="62" t="s">
        <v>229</v>
      </c>
      <c r="B65" s="47"/>
      <c r="C65" s="47" t="s">
        <v>209</v>
      </c>
      <c r="D65" s="47" t="s">
        <v>154</v>
      </c>
      <c r="E65" s="47" t="s">
        <v>60</v>
      </c>
      <c r="F65" s="48">
        <v>2</v>
      </c>
      <c r="G65" s="48">
        <f>VLOOKUP(D65,단가!B:D,3,0)</f>
        <v>10500</v>
      </c>
      <c r="H65" s="48">
        <f t="shared" si="5"/>
        <v>21000</v>
      </c>
      <c r="I65" s="48">
        <f t="shared" si="6"/>
        <v>2100</v>
      </c>
      <c r="J65" s="49">
        <f t="shared" si="4"/>
        <v>23100</v>
      </c>
      <c r="K65" s="50"/>
    </row>
    <row r="66" spans="1:13" ht="19" customHeight="1">
      <c r="A66" s="62" t="s">
        <v>229</v>
      </c>
      <c r="B66" s="47"/>
      <c r="C66" s="47" t="s">
        <v>209</v>
      </c>
      <c r="D66" s="47" t="s">
        <v>150</v>
      </c>
      <c r="E66" s="47" t="s">
        <v>60</v>
      </c>
      <c r="F66" s="48">
        <v>1</v>
      </c>
      <c r="G66" s="48">
        <f>VLOOKUP(D66,단가!B:D,3,0)</f>
        <v>10500</v>
      </c>
      <c r="H66" s="48">
        <f t="shared" si="5"/>
        <v>10500</v>
      </c>
      <c r="I66" s="48">
        <f t="shared" si="6"/>
        <v>1050</v>
      </c>
      <c r="J66" s="49">
        <f t="shared" si="4"/>
        <v>11550</v>
      </c>
      <c r="K66" s="50"/>
    </row>
    <row r="67" spans="1:13" ht="19" customHeight="1">
      <c r="A67" s="62" t="s">
        <v>231</v>
      </c>
      <c r="B67" s="47"/>
      <c r="C67" s="47" t="s">
        <v>217</v>
      </c>
      <c r="D67" s="47" t="s">
        <v>151</v>
      </c>
      <c r="E67" s="47" t="s">
        <v>60</v>
      </c>
      <c r="F67" s="48">
        <v>5</v>
      </c>
      <c r="G67" s="48">
        <f>VLOOKUP(D67,단가!B:D,3,0)</f>
        <v>10500</v>
      </c>
      <c r="H67" s="48">
        <f t="shared" si="5"/>
        <v>52500</v>
      </c>
      <c r="I67" s="48">
        <f t="shared" si="6"/>
        <v>5250</v>
      </c>
      <c r="J67" s="49">
        <f t="shared" si="4"/>
        <v>57750</v>
      </c>
      <c r="K67" s="50"/>
    </row>
    <row r="68" spans="1:13" ht="19" customHeight="1">
      <c r="A68" s="62" t="s">
        <v>231</v>
      </c>
      <c r="B68" s="47"/>
      <c r="C68" s="47" t="s">
        <v>217</v>
      </c>
      <c r="D68" s="47" t="s">
        <v>147</v>
      </c>
      <c r="E68" s="47" t="s">
        <v>60</v>
      </c>
      <c r="F68" s="48">
        <v>5</v>
      </c>
      <c r="G68" s="48">
        <f>VLOOKUP(D68,단가!B:D,3,0)</f>
        <v>10500</v>
      </c>
      <c r="H68" s="48">
        <f t="shared" si="5"/>
        <v>52500</v>
      </c>
      <c r="I68" s="48">
        <f t="shared" si="6"/>
        <v>5250</v>
      </c>
      <c r="J68" s="49">
        <f t="shared" si="4"/>
        <v>57750</v>
      </c>
      <c r="K68" s="50"/>
    </row>
    <row r="69" spans="1:13" ht="19" customHeight="1">
      <c r="A69" s="62" t="s">
        <v>231</v>
      </c>
      <c r="B69" s="47"/>
      <c r="C69" s="47" t="s">
        <v>217</v>
      </c>
      <c r="D69" s="47" t="s">
        <v>149</v>
      </c>
      <c r="E69" s="47" t="s">
        <v>60</v>
      </c>
      <c r="F69" s="48">
        <v>5</v>
      </c>
      <c r="G69" s="48">
        <f>VLOOKUP(D69,단가!B:D,3,0)</f>
        <v>10500</v>
      </c>
      <c r="H69" s="48">
        <f t="shared" si="5"/>
        <v>52500</v>
      </c>
      <c r="I69" s="48">
        <f t="shared" si="6"/>
        <v>5250</v>
      </c>
      <c r="J69" s="49">
        <f t="shared" si="4"/>
        <v>57750</v>
      </c>
      <c r="K69" s="50"/>
    </row>
    <row r="70" spans="1:13" ht="19" customHeight="1">
      <c r="A70" s="62" t="s">
        <v>231</v>
      </c>
      <c r="B70" s="47"/>
      <c r="C70" s="47" t="s">
        <v>217</v>
      </c>
      <c r="D70" s="47" t="s">
        <v>152</v>
      </c>
      <c r="E70" s="47" t="s">
        <v>60</v>
      </c>
      <c r="F70" s="48">
        <v>5</v>
      </c>
      <c r="G70" s="48">
        <f>VLOOKUP(D70,단가!B:D,3,0)</f>
        <v>10500</v>
      </c>
      <c r="H70" s="48">
        <f t="shared" si="5"/>
        <v>52500</v>
      </c>
      <c r="I70" s="48">
        <f t="shared" si="6"/>
        <v>5250</v>
      </c>
      <c r="J70" s="49">
        <f t="shared" si="4"/>
        <v>57750</v>
      </c>
      <c r="K70" s="50"/>
    </row>
    <row r="71" spans="1:13" ht="19" customHeight="1">
      <c r="A71" s="62" t="s">
        <v>231</v>
      </c>
      <c r="B71" s="47"/>
      <c r="C71" s="47" t="s">
        <v>217</v>
      </c>
      <c r="D71" s="47" t="s">
        <v>146</v>
      </c>
      <c r="E71" s="47" t="s">
        <v>60</v>
      </c>
      <c r="F71" s="48">
        <v>5</v>
      </c>
      <c r="G71" s="48">
        <f>VLOOKUP(D71,단가!B:D,3,0)</f>
        <v>10500</v>
      </c>
      <c r="H71" s="48">
        <f t="shared" si="5"/>
        <v>52500</v>
      </c>
      <c r="I71" s="48">
        <f t="shared" si="6"/>
        <v>5250</v>
      </c>
      <c r="J71" s="49">
        <f t="shared" si="4"/>
        <v>57750</v>
      </c>
      <c r="K71" s="50"/>
    </row>
    <row r="72" spans="1:13" ht="19" customHeight="1">
      <c r="A72" s="62" t="s">
        <v>232</v>
      </c>
      <c r="B72" s="47"/>
      <c r="C72" s="47" t="s">
        <v>217</v>
      </c>
      <c r="D72" s="47" t="s">
        <v>61</v>
      </c>
      <c r="E72" s="47" t="s">
        <v>57</v>
      </c>
      <c r="F72" s="48">
        <v>5</v>
      </c>
      <c r="G72" s="48">
        <f>VLOOKUP(D72,단가!B:D,3,0)</f>
        <v>20000</v>
      </c>
      <c r="H72" s="48">
        <f t="shared" si="5"/>
        <v>100000</v>
      </c>
      <c r="I72" s="48">
        <f t="shared" si="6"/>
        <v>10000</v>
      </c>
      <c r="J72" s="49">
        <f t="shared" si="4"/>
        <v>110000</v>
      </c>
      <c r="K72" s="50"/>
    </row>
    <row r="73" spans="1:13" ht="19" customHeight="1">
      <c r="A73" s="62" t="s">
        <v>237</v>
      </c>
      <c r="B73" s="47"/>
      <c r="C73" s="47" t="s">
        <v>209</v>
      </c>
      <c r="D73" s="47" t="s">
        <v>61</v>
      </c>
      <c r="E73" s="47" t="s">
        <v>57</v>
      </c>
      <c r="F73" s="48">
        <v>10</v>
      </c>
      <c r="G73" s="48">
        <f>VLOOKUP(D73,단가!B:D,3,0)</f>
        <v>20000</v>
      </c>
      <c r="H73" s="48">
        <f t="shared" si="5"/>
        <v>200000</v>
      </c>
      <c r="I73" s="48">
        <f t="shared" si="6"/>
        <v>20000</v>
      </c>
      <c r="J73" s="49">
        <f t="shared" si="4"/>
        <v>220000</v>
      </c>
      <c r="K73" s="50"/>
    </row>
    <row r="74" spans="1:13" ht="19" customHeight="1">
      <c r="A74" s="62" t="s">
        <v>237</v>
      </c>
      <c r="B74" s="47"/>
      <c r="C74" s="47" t="s">
        <v>209</v>
      </c>
      <c r="D74" s="47" t="s">
        <v>171</v>
      </c>
      <c r="E74" s="47" t="s">
        <v>92</v>
      </c>
      <c r="F74" s="48">
        <v>1</v>
      </c>
      <c r="G74" s="48">
        <f>VLOOKUP(D74,단가!B:D,3,0)</f>
        <v>10500</v>
      </c>
      <c r="H74" s="48">
        <f t="shared" si="5"/>
        <v>10500</v>
      </c>
      <c r="I74" s="48">
        <f t="shared" si="6"/>
        <v>1050</v>
      </c>
      <c r="J74" s="49">
        <f t="shared" si="4"/>
        <v>11550</v>
      </c>
      <c r="K74" s="50"/>
    </row>
    <row r="75" spans="1:13" ht="19" customHeight="1">
      <c r="A75" s="62" t="s">
        <v>237</v>
      </c>
      <c r="B75" s="47"/>
      <c r="C75" s="47" t="s">
        <v>209</v>
      </c>
      <c r="D75" s="47" t="s">
        <v>172</v>
      </c>
      <c r="E75" s="47" t="s">
        <v>92</v>
      </c>
      <c r="F75" s="48">
        <v>1</v>
      </c>
      <c r="G75" s="48">
        <f>VLOOKUP(D75,단가!B:D,3,0)</f>
        <v>10500</v>
      </c>
      <c r="H75" s="48">
        <f t="shared" si="5"/>
        <v>10500</v>
      </c>
      <c r="I75" s="48">
        <f t="shared" si="6"/>
        <v>1050</v>
      </c>
      <c r="J75" s="49">
        <f t="shared" si="4"/>
        <v>11550</v>
      </c>
      <c r="K75" s="50"/>
      <c r="L75" s="28"/>
    </row>
    <row r="76" spans="1:13" ht="19" customHeight="1">
      <c r="A76" s="62" t="s">
        <v>238</v>
      </c>
      <c r="B76" s="47"/>
      <c r="C76" s="47" t="s">
        <v>201</v>
      </c>
      <c r="D76" s="47" t="s">
        <v>129</v>
      </c>
      <c r="E76" s="47" t="s">
        <v>131</v>
      </c>
      <c r="F76" s="48">
        <v>3</v>
      </c>
      <c r="G76" s="48">
        <f>VLOOKUP(D76,단가!B:D,3,0)</f>
        <v>6000</v>
      </c>
      <c r="H76" s="48">
        <f t="shared" si="5"/>
        <v>18000</v>
      </c>
      <c r="I76" s="48">
        <f t="shared" si="6"/>
        <v>1800</v>
      </c>
      <c r="J76" s="49">
        <f t="shared" si="4"/>
        <v>19800</v>
      </c>
      <c r="K76" s="50"/>
      <c r="L76" s="28"/>
    </row>
    <row r="77" spans="1:13" ht="19" customHeight="1">
      <c r="A77" s="62" t="s">
        <v>238</v>
      </c>
      <c r="B77" s="47"/>
      <c r="C77" s="47" t="s">
        <v>201</v>
      </c>
      <c r="D77" s="47" t="s">
        <v>130</v>
      </c>
      <c r="E77" s="47" t="s">
        <v>131</v>
      </c>
      <c r="F77" s="48">
        <v>3</v>
      </c>
      <c r="G77" s="48">
        <f>VLOOKUP(D77,단가!B:D,3,0)</f>
        <v>8000</v>
      </c>
      <c r="H77" s="48">
        <f t="shared" si="5"/>
        <v>24000</v>
      </c>
      <c r="I77" s="48">
        <f t="shared" si="6"/>
        <v>2400</v>
      </c>
      <c r="J77" s="49">
        <f t="shared" si="4"/>
        <v>26400</v>
      </c>
      <c r="K77" s="50"/>
    </row>
    <row r="78" spans="1:13" ht="19" customHeight="1">
      <c r="A78" s="62" t="s">
        <v>239</v>
      </c>
      <c r="B78" s="47"/>
      <c r="C78" s="47" t="s">
        <v>108</v>
      </c>
      <c r="D78" s="47" t="s">
        <v>240</v>
      </c>
      <c r="E78" s="47" t="s">
        <v>57</v>
      </c>
      <c r="F78" s="48">
        <v>1</v>
      </c>
      <c r="G78" s="48">
        <f>VLOOKUP(D78,단가!B:D,3,0)</f>
        <v>20000</v>
      </c>
      <c r="H78" s="48">
        <f t="shared" si="5"/>
        <v>20000</v>
      </c>
      <c r="I78" s="48">
        <f t="shared" si="6"/>
        <v>2000</v>
      </c>
      <c r="J78" s="49">
        <f t="shared" si="4"/>
        <v>22000</v>
      </c>
      <c r="K78" s="50"/>
      <c r="L78" s="28"/>
    </row>
    <row r="79" spans="1:13" ht="19" customHeight="1">
      <c r="A79" s="62" t="s">
        <v>241</v>
      </c>
      <c r="B79" s="47"/>
      <c r="C79" s="47" t="s">
        <v>127</v>
      </c>
      <c r="D79" s="47" t="s">
        <v>137</v>
      </c>
      <c r="E79" s="47" t="s">
        <v>57</v>
      </c>
      <c r="F79" s="48">
        <v>10</v>
      </c>
      <c r="G79" s="48">
        <f>VLOOKUP(D79,단가!B:D,3,0)</f>
        <v>19000</v>
      </c>
      <c r="H79" s="48">
        <f t="shared" si="5"/>
        <v>190000</v>
      </c>
      <c r="I79" s="48">
        <f t="shared" si="6"/>
        <v>19000</v>
      </c>
      <c r="J79" s="49">
        <f t="shared" si="4"/>
        <v>209000</v>
      </c>
      <c r="K79" s="50"/>
      <c r="L79" s="28"/>
      <c r="M79" s="28"/>
    </row>
    <row r="80" spans="1:13" ht="19" customHeight="1">
      <c r="A80" s="62" t="s">
        <v>241</v>
      </c>
      <c r="B80" s="47"/>
      <c r="C80" s="47" t="s">
        <v>126</v>
      </c>
      <c r="D80" s="47" t="s">
        <v>137</v>
      </c>
      <c r="E80" s="47" t="s">
        <v>57</v>
      </c>
      <c r="F80" s="48">
        <v>10</v>
      </c>
      <c r="G80" s="48">
        <f>VLOOKUP(D80,단가!B:D,3,0)</f>
        <v>19000</v>
      </c>
      <c r="H80" s="48">
        <f t="shared" si="5"/>
        <v>190000</v>
      </c>
      <c r="I80" s="48">
        <f t="shared" si="6"/>
        <v>19000</v>
      </c>
      <c r="J80" s="49">
        <f t="shared" si="4"/>
        <v>209000</v>
      </c>
      <c r="K80" s="50"/>
    </row>
    <row r="81" spans="1:12" ht="19" customHeight="1">
      <c r="A81" s="62" t="s">
        <v>242</v>
      </c>
      <c r="B81" s="47"/>
      <c r="C81" s="47" t="s">
        <v>217</v>
      </c>
      <c r="D81" s="47" t="s">
        <v>61</v>
      </c>
      <c r="E81" s="47" t="s">
        <v>57</v>
      </c>
      <c r="F81" s="48">
        <v>4</v>
      </c>
      <c r="G81" s="48">
        <f>VLOOKUP(D81,단가!B:D,3,0)</f>
        <v>20000</v>
      </c>
      <c r="H81" s="48">
        <f t="shared" si="5"/>
        <v>80000</v>
      </c>
      <c r="I81" s="48">
        <f t="shared" si="6"/>
        <v>8000</v>
      </c>
      <c r="J81" s="49">
        <f t="shared" si="4"/>
        <v>88000</v>
      </c>
      <c r="K81" s="50"/>
    </row>
    <row r="82" spans="1:12" ht="19" customHeight="1">
      <c r="A82" s="62" t="s">
        <v>243</v>
      </c>
      <c r="B82" s="47"/>
      <c r="C82" s="47" t="s">
        <v>217</v>
      </c>
      <c r="D82" s="47" t="s">
        <v>149</v>
      </c>
      <c r="E82" s="47" t="s">
        <v>60</v>
      </c>
      <c r="F82" s="48">
        <v>5</v>
      </c>
      <c r="G82" s="48">
        <f>VLOOKUP(D82,단가!B:D,3,0)</f>
        <v>10500</v>
      </c>
      <c r="H82" s="48">
        <f t="shared" si="5"/>
        <v>52500</v>
      </c>
      <c r="I82" s="48">
        <f t="shared" si="6"/>
        <v>5250</v>
      </c>
      <c r="J82" s="49">
        <f t="shared" si="4"/>
        <v>57750</v>
      </c>
      <c r="K82" s="50"/>
      <c r="L82" s="28"/>
    </row>
    <row r="83" spans="1:12" ht="19" customHeight="1">
      <c r="A83" s="62" t="s">
        <v>243</v>
      </c>
      <c r="B83" s="47"/>
      <c r="C83" s="47" t="s">
        <v>217</v>
      </c>
      <c r="D83" s="47" t="s">
        <v>154</v>
      </c>
      <c r="E83" s="47" t="s">
        <v>60</v>
      </c>
      <c r="F83" s="48">
        <v>5</v>
      </c>
      <c r="G83" s="48">
        <f>VLOOKUP(D83,단가!B:D,3,0)</f>
        <v>10500</v>
      </c>
      <c r="H83" s="48">
        <f t="shared" si="5"/>
        <v>52500</v>
      </c>
      <c r="I83" s="48">
        <f t="shared" si="6"/>
        <v>5250</v>
      </c>
      <c r="J83" s="49">
        <f t="shared" si="4"/>
        <v>57750</v>
      </c>
      <c r="K83" s="50"/>
    </row>
    <row r="84" spans="1:12" ht="19" customHeight="1">
      <c r="A84" s="62" t="s">
        <v>243</v>
      </c>
      <c r="B84" s="47"/>
      <c r="C84" s="47" t="s">
        <v>217</v>
      </c>
      <c r="D84" s="47" t="s">
        <v>152</v>
      </c>
      <c r="E84" s="47" t="s">
        <v>60</v>
      </c>
      <c r="F84" s="48">
        <v>4</v>
      </c>
      <c r="G84" s="48">
        <f>VLOOKUP(D84,단가!B:D,3,0)</f>
        <v>10500</v>
      </c>
      <c r="H84" s="48">
        <f t="shared" si="5"/>
        <v>42000</v>
      </c>
      <c r="I84" s="48">
        <f t="shared" si="6"/>
        <v>4200</v>
      </c>
      <c r="J84" s="49">
        <f t="shared" si="4"/>
        <v>46200</v>
      </c>
      <c r="K84" s="50"/>
    </row>
    <row r="85" spans="1:12" ht="19" customHeight="1">
      <c r="A85" s="62" t="s">
        <v>243</v>
      </c>
      <c r="B85" s="47"/>
      <c r="C85" s="47" t="s">
        <v>217</v>
      </c>
      <c r="D85" s="47" t="s">
        <v>151</v>
      </c>
      <c r="E85" s="47" t="s">
        <v>60</v>
      </c>
      <c r="F85" s="48">
        <v>5</v>
      </c>
      <c r="G85" s="48">
        <f>VLOOKUP(D85,단가!B:D,3,0)</f>
        <v>10500</v>
      </c>
      <c r="H85" s="48">
        <f t="shared" si="5"/>
        <v>52500</v>
      </c>
      <c r="I85" s="48">
        <f t="shared" si="6"/>
        <v>5250</v>
      </c>
      <c r="J85" s="49">
        <f t="shared" si="4"/>
        <v>57750</v>
      </c>
      <c r="K85" s="50"/>
    </row>
    <row r="86" spans="1:12" ht="19" customHeight="1">
      <c r="A86" s="62" t="s">
        <v>243</v>
      </c>
      <c r="B86" s="47"/>
      <c r="C86" s="47" t="s">
        <v>217</v>
      </c>
      <c r="D86" s="47" t="s">
        <v>150</v>
      </c>
      <c r="E86" s="47" t="s">
        <v>60</v>
      </c>
      <c r="F86" s="48">
        <v>5</v>
      </c>
      <c r="G86" s="48">
        <f>VLOOKUP(D86,단가!B:D,3,0)</f>
        <v>10500</v>
      </c>
      <c r="H86" s="48">
        <f t="shared" si="5"/>
        <v>52500</v>
      </c>
      <c r="I86" s="48">
        <f t="shared" si="6"/>
        <v>5250</v>
      </c>
      <c r="J86" s="49">
        <f t="shared" si="4"/>
        <v>57750</v>
      </c>
      <c r="K86" s="52"/>
    </row>
    <row r="87" spans="1:12" ht="19" customHeight="1">
      <c r="A87" s="62" t="s">
        <v>243</v>
      </c>
      <c r="B87" s="47"/>
      <c r="C87" s="47" t="s">
        <v>217</v>
      </c>
      <c r="D87" s="47" t="s">
        <v>146</v>
      </c>
      <c r="E87" s="47" t="s">
        <v>60</v>
      </c>
      <c r="F87" s="48">
        <v>4</v>
      </c>
      <c r="G87" s="48">
        <f>VLOOKUP(D87,단가!B:D,3,0)</f>
        <v>10500</v>
      </c>
      <c r="H87" s="48">
        <f t="shared" si="5"/>
        <v>42000</v>
      </c>
      <c r="I87" s="48">
        <f t="shared" si="6"/>
        <v>4200</v>
      </c>
      <c r="J87" s="49">
        <f t="shared" si="4"/>
        <v>46200</v>
      </c>
      <c r="K87" s="53"/>
    </row>
    <row r="88" spans="1:12" ht="19" customHeight="1">
      <c r="A88" s="62" t="s">
        <v>243</v>
      </c>
      <c r="B88" s="47"/>
      <c r="C88" s="47" t="s">
        <v>217</v>
      </c>
      <c r="D88" s="47" t="s">
        <v>147</v>
      </c>
      <c r="E88" s="47" t="s">
        <v>60</v>
      </c>
      <c r="F88" s="48">
        <v>5</v>
      </c>
      <c r="G88" s="48">
        <f>VLOOKUP(D88,단가!B:D,3,0)</f>
        <v>10500</v>
      </c>
      <c r="H88" s="48">
        <f t="shared" si="5"/>
        <v>52500</v>
      </c>
      <c r="I88" s="48">
        <f t="shared" si="6"/>
        <v>5250</v>
      </c>
      <c r="J88" s="49">
        <f t="shared" si="4"/>
        <v>57750</v>
      </c>
      <c r="K88" s="53"/>
    </row>
    <row r="89" spans="1:12" ht="19" customHeight="1">
      <c r="A89" s="62" t="s">
        <v>243</v>
      </c>
      <c r="B89" s="47"/>
      <c r="C89" s="47" t="s">
        <v>217</v>
      </c>
      <c r="D89" s="47" t="s">
        <v>148</v>
      </c>
      <c r="E89" s="47" t="s">
        <v>60</v>
      </c>
      <c r="F89" s="48">
        <v>3</v>
      </c>
      <c r="G89" s="48">
        <f>VLOOKUP(D89,단가!B:D,3,0)</f>
        <v>10500</v>
      </c>
      <c r="H89" s="48">
        <f t="shared" si="5"/>
        <v>31500</v>
      </c>
      <c r="I89" s="48">
        <f t="shared" si="6"/>
        <v>3150</v>
      </c>
      <c r="J89" s="49">
        <f t="shared" si="4"/>
        <v>34650</v>
      </c>
      <c r="K89" s="53"/>
    </row>
    <row r="90" spans="1:12" ht="19" customHeight="1">
      <c r="A90" s="62" t="s">
        <v>253</v>
      </c>
      <c r="B90" s="47"/>
      <c r="C90" s="47" t="s">
        <v>201</v>
      </c>
      <c r="D90" s="47" t="s">
        <v>137</v>
      </c>
      <c r="E90" s="47" t="s">
        <v>57</v>
      </c>
      <c r="F90" s="48">
        <v>10</v>
      </c>
      <c r="G90" s="48">
        <f>VLOOKUP(D90,단가!B:D,3,0)</f>
        <v>19000</v>
      </c>
      <c r="H90" s="48">
        <f t="shared" si="5"/>
        <v>190000</v>
      </c>
      <c r="I90" s="48">
        <f t="shared" si="6"/>
        <v>19000</v>
      </c>
      <c r="J90" s="49">
        <f t="shared" si="4"/>
        <v>209000</v>
      </c>
      <c r="K90" s="53"/>
    </row>
    <row r="91" spans="1:12" ht="19" customHeight="1">
      <c r="A91" s="62" t="s">
        <v>253</v>
      </c>
      <c r="B91" s="47"/>
      <c r="C91" s="47" t="s">
        <v>247</v>
      </c>
      <c r="D91" s="47" t="s">
        <v>61</v>
      </c>
      <c r="E91" s="47" t="s">
        <v>57</v>
      </c>
      <c r="F91" s="48">
        <v>5</v>
      </c>
      <c r="G91" s="48">
        <f>VLOOKUP(D91,단가!B:D,3,0)</f>
        <v>20000</v>
      </c>
      <c r="H91" s="48">
        <f t="shared" si="5"/>
        <v>100000</v>
      </c>
      <c r="I91" s="48">
        <f t="shared" si="6"/>
        <v>10000</v>
      </c>
      <c r="J91" s="49">
        <f t="shared" si="4"/>
        <v>110000</v>
      </c>
      <c r="K91" s="53"/>
    </row>
    <row r="92" spans="1:12" ht="19" customHeight="1">
      <c r="A92" s="62" t="s">
        <v>253</v>
      </c>
      <c r="B92" s="47"/>
      <c r="C92" s="47" t="s">
        <v>247</v>
      </c>
      <c r="D92" s="47" t="s">
        <v>62</v>
      </c>
      <c r="E92" s="47" t="s">
        <v>57</v>
      </c>
      <c r="F92" s="48">
        <v>5</v>
      </c>
      <c r="G92" s="48">
        <f>VLOOKUP(D92,단가!B:D,3,0)</f>
        <v>20000</v>
      </c>
      <c r="H92" s="48">
        <f t="shared" si="5"/>
        <v>100000</v>
      </c>
      <c r="I92" s="48">
        <f t="shared" si="6"/>
        <v>10000</v>
      </c>
      <c r="J92" s="49">
        <f t="shared" si="4"/>
        <v>110000</v>
      </c>
      <c r="K92" s="53"/>
    </row>
    <row r="93" spans="1:12" ht="19" customHeight="1">
      <c r="A93" s="62" t="s">
        <v>254</v>
      </c>
      <c r="B93" s="47"/>
      <c r="C93" s="47" t="s">
        <v>209</v>
      </c>
      <c r="D93" s="47" t="s">
        <v>61</v>
      </c>
      <c r="E93" s="47" t="s">
        <v>57</v>
      </c>
      <c r="F93" s="48">
        <v>8</v>
      </c>
      <c r="G93" s="48">
        <f>VLOOKUP(D93,단가!B:D,3,0)</f>
        <v>20000</v>
      </c>
      <c r="H93" s="48">
        <f t="shared" si="5"/>
        <v>160000</v>
      </c>
      <c r="I93" s="48">
        <f t="shared" si="6"/>
        <v>16000</v>
      </c>
      <c r="J93" s="49">
        <f t="shared" si="4"/>
        <v>176000</v>
      </c>
      <c r="K93" s="53"/>
    </row>
    <row r="94" spans="1:12" ht="19" customHeight="1">
      <c r="A94" s="62" t="s">
        <v>254</v>
      </c>
      <c r="B94" s="47"/>
      <c r="C94" s="47" t="s">
        <v>209</v>
      </c>
      <c r="D94" s="47" t="s">
        <v>149</v>
      </c>
      <c r="E94" s="47" t="s">
        <v>60</v>
      </c>
      <c r="F94" s="48">
        <v>1</v>
      </c>
      <c r="G94" s="48">
        <f>VLOOKUP(D94,단가!B:D,3,0)</f>
        <v>10500</v>
      </c>
      <c r="H94" s="48">
        <f t="shared" si="5"/>
        <v>10500</v>
      </c>
      <c r="I94" s="48">
        <f t="shared" si="6"/>
        <v>1050</v>
      </c>
      <c r="J94" s="49">
        <f t="shared" si="4"/>
        <v>11550</v>
      </c>
      <c r="K94" s="53"/>
    </row>
    <row r="95" spans="1:12" ht="19" customHeight="1">
      <c r="A95" s="62" t="s">
        <v>254</v>
      </c>
      <c r="B95" s="47"/>
      <c r="C95" s="47" t="s">
        <v>209</v>
      </c>
      <c r="D95" s="47" t="s">
        <v>146</v>
      </c>
      <c r="E95" s="47" t="s">
        <v>60</v>
      </c>
      <c r="F95" s="48">
        <v>1</v>
      </c>
      <c r="G95" s="48">
        <f>VLOOKUP(D95,단가!B:D,3,0)</f>
        <v>10500</v>
      </c>
      <c r="H95" s="48">
        <f t="shared" si="5"/>
        <v>10500</v>
      </c>
      <c r="I95" s="48">
        <f t="shared" si="6"/>
        <v>1050</v>
      </c>
      <c r="J95" s="49">
        <f t="shared" si="4"/>
        <v>11550</v>
      </c>
      <c r="K95" s="53"/>
    </row>
    <row r="96" spans="1:12" ht="19" customHeight="1">
      <c r="A96" s="62" t="s">
        <v>254</v>
      </c>
      <c r="B96" s="47"/>
      <c r="C96" s="47" t="s">
        <v>209</v>
      </c>
      <c r="D96" s="47" t="s">
        <v>178</v>
      </c>
      <c r="E96" s="47" t="s">
        <v>60</v>
      </c>
      <c r="F96" s="48">
        <v>2</v>
      </c>
      <c r="G96" s="48">
        <f>VLOOKUP(D96,단가!B:D,3,0)</f>
        <v>10500</v>
      </c>
      <c r="H96" s="48">
        <f t="shared" si="5"/>
        <v>21000</v>
      </c>
      <c r="I96" s="48">
        <f t="shared" si="6"/>
        <v>2100</v>
      </c>
      <c r="J96" s="49">
        <f t="shared" si="4"/>
        <v>23100</v>
      </c>
      <c r="K96" s="53"/>
    </row>
    <row r="97" spans="1:13" ht="19" customHeight="1">
      <c r="A97" s="62" t="s">
        <v>254</v>
      </c>
      <c r="B97" s="47"/>
      <c r="C97" s="47" t="s">
        <v>209</v>
      </c>
      <c r="D97" s="47" t="s">
        <v>162</v>
      </c>
      <c r="E97" s="47" t="s">
        <v>92</v>
      </c>
      <c r="F97" s="48">
        <v>2</v>
      </c>
      <c r="G97" s="48">
        <f>VLOOKUP(D97,단가!B:D,3,0)</f>
        <v>10500</v>
      </c>
      <c r="H97" s="48">
        <f t="shared" si="5"/>
        <v>21000</v>
      </c>
      <c r="I97" s="48">
        <f t="shared" si="6"/>
        <v>2100</v>
      </c>
      <c r="J97" s="49">
        <f t="shared" si="4"/>
        <v>23100</v>
      </c>
      <c r="K97" s="53"/>
    </row>
    <row r="98" spans="1:13" ht="19" customHeight="1">
      <c r="A98" s="62" t="s">
        <v>254</v>
      </c>
      <c r="B98" s="47"/>
      <c r="C98" s="47" t="s">
        <v>209</v>
      </c>
      <c r="D98" s="47" t="s">
        <v>170</v>
      </c>
      <c r="E98" s="47" t="s">
        <v>92</v>
      </c>
      <c r="F98" s="48">
        <v>1</v>
      </c>
      <c r="G98" s="48">
        <f>VLOOKUP(D98,단가!B:D,3,0)</f>
        <v>10500</v>
      </c>
      <c r="H98" s="48">
        <f t="shared" si="5"/>
        <v>10500</v>
      </c>
      <c r="I98" s="48">
        <f t="shared" si="6"/>
        <v>1050</v>
      </c>
      <c r="J98" s="49">
        <f t="shared" si="4"/>
        <v>11550</v>
      </c>
      <c r="K98" s="53"/>
      <c r="M98" s="28"/>
    </row>
    <row r="99" spans="1:13" ht="19" customHeight="1">
      <c r="A99" s="62" t="s">
        <v>254</v>
      </c>
      <c r="B99" s="47"/>
      <c r="C99" s="47" t="s">
        <v>209</v>
      </c>
      <c r="D99" s="47" t="s">
        <v>171</v>
      </c>
      <c r="E99" s="47" t="s">
        <v>92</v>
      </c>
      <c r="F99" s="48">
        <v>1</v>
      </c>
      <c r="G99" s="48">
        <f>VLOOKUP(D99,단가!B:D,3,0)</f>
        <v>10500</v>
      </c>
      <c r="H99" s="48">
        <f t="shared" si="5"/>
        <v>10500</v>
      </c>
      <c r="I99" s="48">
        <f t="shared" si="6"/>
        <v>1050</v>
      </c>
      <c r="J99" s="49">
        <f t="shared" si="4"/>
        <v>11550</v>
      </c>
      <c r="K99" s="53"/>
    </row>
    <row r="100" spans="1:13" ht="19" customHeight="1">
      <c r="A100" s="62" t="s">
        <v>254</v>
      </c>
      <c r="B100" s="47"/>
      <c r="C100" s="47" t="s">
        <v>217</v>
      </c>
      <c r="D100" s="47" t="s">
        <v>152</v>
      </c>
      <c r="E100" s="47" t="s">
        <v>60</v>
      </c>
      <c r="F100" s="48">
        <v>5</v>
      </c>
      <c r="G100" s="48">
        <f>VLOOKUP(D100,단가!B:D,3,0)</f>
        <v>10500</v>
      </c>
      <c r="H100" s="48">
        <f t="shared" si="5"/>
        <v>52500</v>
      </c>
      <c r="I100" s="48">
        <f t="shared" si="6"/>
        <v>5250</v>
      </c>
      <c r="J100" s="49">
        <f t="shared" si="4"/>
        <v>57750</v>
      </c>
      <c r="K100" s="53"/>
    </row>
    <row r="101" spans="1:13" ht="19" customHeight="1">
      <c r="A101" s="62" t="s">
        <v>254</v>
      </c>
      <c r="B101" s="47"/>
      <c r="C101" s="47" t="s">
        <v>217</v>
      </c>
      <c r="D101" s="47" t="s">
        <v>178</v>
      </c>
      <c r="E101" s="47" t="s">
        <v>60</v>
      </c>
      <c r="F101" s="48">
        <v>3</v>
      </c>
      <c r="G101" s="48">
        <f>VLOOKUP(D101,단가!B:D,3,0)</f>
        <v>10500</v>
      </c>
      <c r="H101" s="48">
        <f t="shared" si="5"/>
        <v>31500</v>
      </c>
      <c r="I101" s="48">
        <f t="shared" si="6"/>
        <v>3150</v>
      </c>
      <c r="J101" s="49">
        <f t="shared" si="4"/>
        <v>34650</v>
      </c>
      <c r="K101" s="53"/>
    </row>
    <row r="102" spans="1:13" ht="19" customHeight="1">
      <c r="A102" s="62" t="s">
        <v>254</v>
      </c>
      <c r="B102" s="47"/>
      <c r="C102" s="47" t="s">
        <v>217</v>
      </c>
      <c r="D102" s="47" t="s">
        <v>153</v>
      </c>
      <c r="E102" s="47" t="s">
        <v>60</v>
      </c>
      <c r="F102" s="48">
        <v>5</v>
      </c>
      <c r="G102" s="48">
        <f>VLOOKUP(D102,단가!B:D,3,0)</f>
        <v>10500</v>
      </c>
      <c r="H102" s="48">
        <f t="shared" si="5"/>
        <v>52500</v>
      </c>
      <c r="I102" s="48">
        <f t="shared" si="6"/>
        <v>5250</v>
      </c>
      <c r="J102" s="49">
        <f t="shared" si="4"/>
        <v>57750</v>
      </c>
      <c r="K102" s="53"/>
    </row>
    <row r="103" spans="1:13" ht="19" customHeight="1">
      <c r="A103" s="62" t="s">
        <v>255</v>
      </c>
      <c r="B103" s="47"/>
      <c r="C103" s="47" t="s">
        <v>217</v>
      </c>
      <c r="D103" s="47" t="s">
        <v>61</v>
      </c>
      <c r="E103" s="47" t="s">
        <v>57</v>
      </c>
      <c r="F103" s="48">
        <v>3</v>
      </c>
      <c r="G103" s="48">
        <f>VLOOKUP(D103,단가!B:D,3,0)</f>
        <v>20000</v>
      </c>
      <c r="H103" s="48">
        <f t="shared" si="5"/>
        <v>60000</v>
      </c>
      <c r="I103" s="48">
        <f t="shared" si="6"/>
        <v>6000</v>
      </c>
      <c r="J103" s="49">
        <f t="shared" si="4"/>
        <v>66000</v>
      </c>
      <c r="K103" s="53"/>
    </row>
    <row r="104" spans="1:13" ht="19" customHeight="1">
      <c r="A104" s="62" t="s">
        <v>255</v>
      </c>
      <c r="B104" s="47"/>
      <c r="C104" s="47" t="s">
        <v>201</v>
      </c>
      <c r="D104" s="47" t="s">
        <v>129</v>
      </c>
      <c r="E104" s="47" t="s">
        <v>131</v>
      </c>
      <c r="F104" s="48">
        <v>25</v>
      </c>
      <c r="G104" s="48">
        <f>VLOOKUP(D104,단가!B:D,3,0)</f>
        <v>6000</v>
      </c>
      <c r="H104" s="48">
        <f t="shared" si="5"/>
        <v>150000</v>
      </c>
      <c r="I104" s="48">
        <f t="shared" si="6"/>
        <v>15000</v>
      </c>
      <c r="J104" s="49">
        <f t="shared" si="4"/>
        <v>165000</v>
      </c>
      <c r="K104" s="53"/>
    </row>
    <row r="105" spans="1:13" ht="19" customHeight="1">
      <c r="A105" s="62" t="s">
        <v>255</v>
      </c>
      <c r="B105" s="47"/>
      <c r="C105" s="47" t="s">
        <v>201</v>
      </c>
      <c r="D105" s="47" t="s">
        <v>130</v>
      </c>
      <c r="E105" s="47" t="s">
        <v>131</v>
      </c>
      <c r="F105" s="48">
        <v>3</v>
      </c>
      <c r="G105" s="48">
        <f>VLOOKUP(D105,단가!B:D,3,0)</f>
        <v>8000</v>
      </c>
      <c r="H105" s="48">
        <f t="shared" si="5"/>
        <v>24000</v>
      </c>
      <c r="I105" s="48">
        <f t="shared" si="6"/>
        <v>2400</v>
      </c>
      <c r="J105" s="49">
        <f t="shared" si="4"/>
        <v>26400</v>
      </c>
      <c r="K105" s="53"/>
    </row>
    <row r="106" spans="1:13" ht="19" customHeight="1">
      <c r="A106" s="62" t="s">
        <v>259</v>
      </c>
      <c r="B106" s="47"/>
      <c r="C106" s="47" t="s">
        <v>217</v>
      </c>
      <c r="D106" s="47" t="s">
        <v>146</v>
      </c>
      <c r="E106" s="47" t="s">
        <v>60</v>
      </c>
      <c r="F106" s="48">
        <v>10</v>
      </c>
      <c r="G106" s="48">
        <f>VLOOKUP(D106,단가!B:D,3,0)</f>
        <v>10500</v>
      </c>
      <c r="H106" s="48">
        <f t="shared" si="5"/>
        <v>105000</v>
      </c>
      <c r="I106" s="48">
        <f t="shared" si="6"/>
        <v>10500</v>
      </c>
      <c r="J106" s="49">
        <f t="shared" si="4"/>
        <v>115500</v>
      </c>
      <c r="K106" s="53"/>
    </row>
    <row r="107" spans="1:13" ht="19" customHeight="1">
      <c r="A107" s="62" t="s">
        <v>259</v>
      </c>
      <c r="B107" s="47"/>
      <c r="C107" s="47" t="s">
        <v>217</v>
      </c>
      <c r="D107" s="47" t="s">
        <v>152</v>
      </c>
      <c r="E107" s="47" t="s">
        <v>60</v>
      </c>
      <c r="F107" s="48">
        <v>10</v>
      </c>
      <c r="G107" s="48">
        <f>VLOOKUP(D107,단가!B:D,3,0)</f>
        <v>10500</v>
      </c>
      <c r="H107" s="48">
        <f t="shared" si="5"/>
        <v>105000</v>
      </c>
      <c r="I107" s="48">
        <f t="shared" si="6"/>
        <v>10500</v>
      </c>
      <c r="J107" s="49">
        <f t="shared" si="4"/>
        <v>115500</v>
      </c>
      <c r="K107" s="53"/>
    </row>
    <row r="108" spans="1:13" ht="19" customHeight="1">
      <c r="A108" s="62" t="s">
        <v>259</v>
      </c>
      <c r="B108" s="47"/>
      <c r="C108" s="47" t="s">
        <v>217</v>
      </c>
      <c r="D108" s="47" t="s">
        <v>61</v>
      </c>
      <c r="E108" s="47" t="s">
        <v>57</v>
      </c>
      <c r="F108" s="48">
        <v>5</v>
      </c>
      <c r="G108" s="48">
        <f>VLOOKUP(D108,단가!B:D,3,0)</f>
        <v>20000</v>
      </c>
      <c r="H108" s="48">
        <f t="shared" si="5"/>
        <v>100000</v>
      </c>
      <c r="I108" s="48">
        <f t="shared" si="6"/>
        <v>10000</v>
      </c>
      <c r="J108" s="49">
        <f t="shared" si="4"/>
        <v>110000</v>
      </c>
      <c r="K108" s="53"/>
    </row>
    <row r="109" spans="1:13" ht="19" customHeight="1">
      <c r="A109" s="62" t="s">
        <v>260</v>
      </c>
      <c r="B109" s="47"/>
      <c r="C109" s="47" t="s">
        <v>217</v>
      </c>
      <c r="D109" s="47" t="s">
        <v>146</v>
      </c>
      <c r="E109" s="47" t="s">
        <v>60</v>
      </c>
      <c r="F109" s="48">
        <v>5</v>
      </c>
      <c r="G109" s="48">
        <f>VLOOKUP(D109,단가!B:D,3,0)</f>
        <v>10500</v>
      </c>
      <c r="H109" s="48">
        <f t="shared" si="5"/>
        <v>52500</v>
      </c>
      <c r="I109" s="48">
        <f t="shared" si="6"/>
        <v>5250</v>
      </c>
      <c r="J109" s="49">
        <f t="shared" si="4"/>
        <v>57750</v>
      </c>
      <c r="K109" s="53"/>
    </row>
    <row r="110" spans="1:13" ht="19" customHeight="1">
      <c r="A110" s="62" t="s">
        <v>260</v>
      </c>
      <c r="B110" s="47"/>
      <c r="C110" s="47" t="s">
        <v>217</v>
      </c>
      <c r="D110" s="47" t="s">
        <v>149</v>
      </c>
      <c r="E110" s="47" t="s">
        <v>60</v>
      </c>
      <c r="F110" s="48">
        <v>5</v>
      </c>
      <c r="G110" s="48">
        <f>VLOOKUP(D110,단가!B:D,3,0)</f>
        <v>10500</v>
      </c>
      <c r="H110" s="48">
        <f t="shared" si="5"/>
        <v>52500</v>
      </c>
      <c r="I110" s="48">
        <f t="shared" si="6"/>
        <v>5250</v>
      </c>
      <c r="J110" s="49">
        <f t="shared" si="4"/>
        <v>57750</v>
      </c>
      <c r="K110" s="53"/>
    </row>
    <row r="111" spans="1:13" ht="19" customHeight="1">
      <c r="A111" s="62" t="s">
        <v>260</v>
      </c>
      <c r="B111" s="47"/>
      <c r="C111" s="47" t="s">
        <v>217</v>
      </c>
      <c r="D111" s="47" t="s">
        <v>148</v>
      </c>
      <c r="E111" s="47" t="s">
        <v>60</v>
      </c>
      <c r="F111" s="48">
        <v>5</v>
      </c>
      <c r="G111" s="48">
        <f>VLOOKUP(D111,단가!B:D,3,0)</f>
        <v>10500</v>
      </c>
      <c r="H111" s="48">
        <f t="shared" si="5"/>
        <v>52500</v>
      </c>
      <c r="I111" s="48">
        <f t="shared" si="6"/>
        <v>5250</v>
      </c>
      <c r="J111" s="49">
        <f t="shared" si="4"/>
        <v>57750</v>
      </c>
      <c r="K111" s="53"/>
      <c r="L111" s="28"/>
    </row>
    <row r="112" spans="1:13" ht="19" customHeight="1">
      <c r="A112" s="62" t="s">
        <v>261</v>
      </c>
      <c r="B112" s="47"/>
      <c r="C112" s="47" t="s">
        <v>209</v>
      </c>
      <c r="D112" s="47" t="s">
        <v>61</v>
      </c>
      <c r="E112" s="47" t="s">
        <v>57</v>
      </c>
      <c r="F112" s="48">
        <v>10</v>
      </c>
      <c r="G112" s="48">
        <f>VLOOKUP(D112,단가!B:D,3,0)</f>
        <v>20000</v>
      </c>
      <c r="H112" s="48">
        <f t="shared" si="5"/>
        <v>200000</v>
      </c>
      <c r="I112" s="48">
        <f t="shared" si="6"/>
        <v>20000</v>
      </c>
      <c r="J112" s="49">
        <f t="shared" si="4"/>
        <v>220000</v>
      </c>
      <c r="K112" s="53"/>
    </row>
    <row r="113" spans="1:11" ht="19" customHeight="1">
      <c r="A113" s="62" t="s">
        <v>261</v>
      </c>
      <c r="B113" s="47"/>
      <c r="C113" s="47" t="s">
        <v>217</v>
      </c>
      <c r="D113" s="47" t="s">
        <v>147</v>
      </c>
      <c r="E113" s="47" t="s">
        <v>60</v>
      </c>
      <c r="F113" s="48">
        <v>5</v>
      </c>
      <c r="G113" s="48">
        <f>VLOOKUP(D113,단가!B:D,3,0)</f>
        <v>10500</v>
      </c>
      <c r="H113" s="48">
        <f t="shared" si="5"/>
        <v>52500</v>
      </c>
      <c r="I113" s="48">
        <f t="shared" si="6"/>
        <v>5250</v>
      </c>
      <c r="J113" s="49">
        <f t="shared" si="4"/>
        <v>57750</v>
      </c>
      <c r="K113" s="53"/>
    </row>
    <row r="114" spans="1:11" ht="19" customHeight="1">
      <c r="A114" s="62" t="s">
        <v>261</v>
      </c>
      <c r="B114" s="47"/>
      <c r="C114" s="47" t="s">
        <v>217</v>
      </c>
      <c r="D114" s="47" t="s">
        <v>151</v>
      </c>
      <c r="E114" s="47" t="s">
        <v>60</v>
      </c>
      <c r="F114" s="48">
        <v>5</v>
      </c>
      <c r="G114" s="48">
        <f>VLOOKUP(D114,단가!B:D,3,0)</f>
        <v>10500</v>
      </c>
      <c r="H114" s="48">
        <f t="shared" si="5"/>
        <v>52500</v>
      </c>
      <c r="I114" s="48">
        <f t="shared" si="6"/>
        <v>5250</v>
      </c>
      <c r="J114" s="49">
        <f t="shared" si="4"/>
        <v>57750</v>
      </c>
      <c r="K114" s="53"/>
    </row>
    <row r="115" spans="1:11" ht="19" customHeight="1">
      <c r="A115" s="62" t="s">
        <v>261</v>
      </c>
      <c r="B115" s="47"/>
      <c r="C115" s="47" t="s">
        <v>217</v>
      </c>
      <c r="D115" s="47" t="s">
        <v>150</v>
      </c>
      <c r="E115" s="47" t="s">
        <v>60</v>
      </c>
      <c r="F115" s="48">
        <v>5</v>
      </c>
      <c r="G115" s="48">
        <f>VLOOKUP(D115,단가!B:D,3,0)</f>
        <v>10500</v>
      </c>
      <c r="H115" s="48">
        <f t="shared" si="5"/>
        <v>52500</v>
      </c>
      <c r="I115" s="48">
        <f t="shared" si="6"/>
        <v>5250</v>
      </c>
      <c r="J115" s="49">
        <f t="shared" si="4"/>
        <v>57750</v>
      </c>
      <c r="K115" s="53"/>
    </row>
    <row r="116" spans="1:11" ht="19" customHeight="1">
      <c r="A116" s="62" t="s">
        <v>262</v>
      </c>
      <c r="B116" s="47"/>
      <c r="C116" s="47" t="s">
        <v>217</v>
      </c>
      <c r="D116" s="47" t="s">
        <v>148</v>
      </c>
      <c r="E116" s="47" t="s">
        <v>60</v>
      </c>
      <c r="F116" s="48">
        <v>5</v>
      </c>
      <c r="G116" s="48">
        <f>VLOOKUP(D116,단가!B:D,3,0)</f>
        <v>10500</v>
      </c>
      <c r="H116" s="48">
        <f t="shared" si="5"/>
        <v>52500</v>
      </c>
      <c r="I116" s="48">
        <f t="shared" si="6"/>
        <v>5250</v>
      </c>
      <c r="J116" s="49">
        <f t="shared" si="4"/>
        <v>57750</v>
      </c>
      <c r="K116" s="53"/>
    </row>
    <row r="117" spans="1:11" ht="19" customHeight="1">
      <c r="A117" s="62" t="s">
        <v>262</v>
      </c>
      <c r="B117" s="47"/>
      <c r="C117" s="47" t="s">
        <v>217</v>
      </c>
      <c r="D117" s="47" t="s">
        <v>154</v>
      </c>
      <c r="E117" s="47" t="s">
        <v>60</v>
      </c>
      <c r="F117" s="48">
        <v>5</v>
      </c>
      <c r="G117" s="48">
        <f>VLOOKUP(D117,단가!B:D,3,0)</f>
        <v>10500</v>
      </c>
      <c r="H117" s="48">
        <f t="shared" si="5"/>
        <v>52500</v>
      </c>
      <c r="I117" s="48">
        <f t="shared" si="6"/>
        <v>5250</v>
      </c>
      <c r="J117" s="49">
        <f t="shared" ref="J117:J180" si="7">H117+I117</f>
        <v>57750</v>
      </c>
      <c r="K117" s="53"/>
    </row>
    <row r="118" spans="1:11" ht="19" customHeight="1">
      <c r="A118" s="62" t="s">
        <v>262</v>
      </c>
      <c r="B118" s="47"/>
      <c r="C118" s="47" t="s">
        <v>217</v>
      </c>
      <c r="D118" s="47" t="s">
        <v>153</v>
      </c>
      <c r="E118" s="47" t="s">
        <v>60</v>
      </c>
      <c r="F118" s="48">
        <v>5</v>
      </c>
      <c r="G118" s="48">
        <f>VLOOKUP(D118,단가!B:D,3,0)</f>
        <v>10500</v>
      </c>
      <c r="H118" s="48">
        <f t="shared" ref="H118:H181" si="8">F118*G118</f>
        <v>52500</v>
      </c>
      <c r="I118" s="48">
        <f t="shared" ref="I118:I181" si="9">H118*0.1</f>
        <v>5250</v>
      </c>
      <c r="J118" s="49">
        <f t="shared" si="7"/>
        <v>57750</v>
      </c>
      <c r="K118" s="53"/>
    </row>
    <row r="119" spans="1:11" ht="19" customHeight="1">
      <c r="A119" s="62" t="s">
        <v>264</v>
      </c>
      <c r="B119" s="47"/>
      <c r="C119" s="47" t="s">
        <v>201</v>
      </c>
      <c r="D119" s="47" t="s">
        <v>137</v>
      </c>
      <c r="E119" s="47" t="s">
        <v>57</v>
      </c>
      <c r="F119" s="48">
        <v>10</v>
      </c>
      <c r="G119" s="48">
        <f>VLOOKUP(D119,단가!B:D,3,0)</f>
        <v>19000</v>
      </c>
      <c r="H119" s="48">
        <f t="shared" si="8"/>
        <v>190000</v>
      </c>
      <c r="I119" s="48">
        <f t="shared" si="9"/>
        <v>19000</v>
      </c>
      <c r="J119" s="49">
        <f t="shared" si="7"/>
        <v>209000</v>
      </c>
      <c r="K119" s="53"/>
    </row>
    <row r="120" spans="1:11" ht="19" customHeight="1">
      <c r="A120" s="62" t="s">
        <v>264</v>
      </c>
      <c r="B120" s="47"/>
      <c r="C120" s="47" t="s">
        <v>201</v>
      </c>
      <c r="D120" s="47" t="s">
        <v>129</v>
      </c>
      <c r="E120" s="47" t="s">
        <v>131</v>
      </c>
      <c r="F120" s="48">
        <v>4</v>
      </c>
      <c r="G120" s="48">
        <f>VLOOKUP(D120,단가!B:D,3,0)</f>
        <v>6000</v>
      </c>
      <c r="H120" s="48">
        <f t="shared" si="8"/>
        <v>24000</v>
      </c>
      <c r="I120" s="48">
        <f t="shared" si="9"/>
        <v>2400</v>
      </c>
      <c r="J120" s="49">
        <f t="shared" si="7"/>
        <v>26400</v>
      </c>
      <c r="K120" s="53"/>
    </row>
    <row r="121" spans="1:11" ht="19" customHeight="1">
      <c r="A121" s="62" t="s">
        <v>264</v>
      </c>
      <c r="B121" s="47"/>
      <c r="C121" s="47" t="s">
        <v>201</v>
      </c>
      <c r="D121" s="47" t="s">
        <v>130</v>
      </c>
      <c r="E121" s="47" t="s">
        <v>131</v>
      </c>
      <c r="F121" s="48">
        <v>2</v>
      </c>
      <c r="G121" s="48">
        <f>VLOOKUP(D121,단가!B:D,3,0)</f>
        <v>8000</v>
      </c>
      <c r="H121" s="48">
        <f t="shared" si="8"/>
        <v>16000</v>
      </c>
      <c r="I121" s="48">
        <f t="shared" si="9"/>
        <v>1600</v>
      </c>
      <c r="J121" s="49">
        <f t="shared" si="7"/>
        <v>17600</v>
      </c>
      <c r="K121" s="53"/>
    </row>
    <row r="122" spans="1:11" ht="19" customHeight="1">
      <c r="A122" s="62" t="s">
        <v>264</v>
      </c>
      <c r="B122" s="47"/>
      <c r="C122" s="47" t="s">
        <v>217</v>
      </c>
      <c r="D122" s="47" t="s">
        <v>61</v>
      </c>
      <c r="E122" s="47" t="s">
        <v>57</v>
      </c>
      <c r="F122" s="48">
        <v>6</v>
      </c>
      <c r="G122" s="48">
        <f>VLOOKUP(D122,단가!B:D,3,0)</f>
        <v>20000</v>
      </c>
      <c r="H122" s="48">
        <f t="shared" si="8"/>
        <v>120000</v>
      </c>
      <c r="I122" s="48">
        <f t="shared" si="9"/>
        <v>12000</v>
      </c>
      <c r="J122" s="49">
        <f t="shared" si="7"/>
        <v>132000</v>
      </c>
      <c r="K122" s="53"/>
    </row>
    <row r="123" spans="1:11" ht="19" customHeight="1">
      <c r="A123" s="62" t="s">
        <v>264</v>
      </c>
      <c r="B123" s="47"/>
      <c r="C123" s="47" t="s">
        <v>217</v>
      </c>
      <c r="D123" s="47" t="s">
        <v>148</v>
      </c>
      <c r="E123" s="47" t="s">
        <v>60</v>
      </c>
      <c r="F123" s="48">
        <v>5</v>
      </c>
      <c r="G123" s="48">
        <f>VLOOKUP(D123,단가!B:D,3,0)</f>
        <v>10500</v>
      </c>
      <c r="H123" s="48">
        <f t="shared" si="8"/>
        <v>52500</v>
      </c>
      <c r="I123" s="48">
        <f t="shared" si="9"/>
        <v>5250</v>
      </c>
      <c r="J123" s="49">
        <f t="shared" si="7"/>
        <v>57750</v>
      </c>
      <c r="K123" s="53"/>
    </row>
    <row r="124" spans="1:11" ht="19" customHeight="1">
      <c r="A124" s="62" t="s">
        <v>264</v>
      </c>
      <c r="B124" s="47"/>
      <c r="C124" s="47" t="s">
        <v>217</v>
      </c>
      <c r="D124" s="47" t="s">
        <v>146</v>
      </c>
      <c r="E124" s="47" t="s">
        <v>60</v>
      </c>
      <c r="F124" s="48">
        <v>5</v>
      </c>
      <c r="G124" s="48">
        <f>VLOOKUP(D124,단가!B:D,3,0)</f>
        <v>10500</v>
      </c>
      <c r="H124" s="48">
        <f t="shared" si="8"/>
        <v>52500</v>
      </c>
      <c r="I124" s="48">
        <f t="shared" si="9"/>
        <v>5250</v>
      </c>
      <c r="J124" s="49">
        <f t="shared" si="7"/>
        <v>57750</v>
      </c>
      <c r="K124" s="53"/>
    </row>
    <row r="125" spans="1:11" ht="19" customHeight="1">
      <c r="A125" s="62" t="s">
        <v>264</v>
      </c>
      <c r="B125" s="47"/>
      <c r="C125" s="47" t="s">
        <v>217</v>
      </c>
      <c r="D125" s="47" t="s">
        <v>149</v>
      </c>
      <c r="E125" s="47" t="s">
        <v>60</v>
      </c>
      <c r="F125" s="48">
        <v>5</v>
      </c>
      <c r="G125" s="48">
        <f>VLOOKUP(D125,단가!B:D,3,0)</f>
        <v>10500</v>
      </c>
      <c r="H125" s="48">
        <f t="shared" si="8"/>
        <v>52500</v>
      </c>
      <c r="I125" s="48">
        <f t="shared" si="9"/>
        <v>5250</v>
      </c>
      <c r="J125" s="49">
        <f t="shared" si="7"/>
        <v>57750</v>
      </c>
      <c r="K125" s="53"/>
    </row>
    <row r="126" spans="1:11" ht="19" customHeight="1">
      <c r="A126" s="62" t="s">
        <v>265</v>
      </c>
      <c r="B126" s="47"/>
      <c r="C126" s="47" t="s">
        <v>217</v>
      </c>
      <c r="D126" s="47" t="s">
        <v>146</v>
      </c>
      <c r="E126" s="47" t="s">
        <v>60</v>
      </c>
      <c r="F126" s="48">
        <v>5</v>
      </c>
      <c r="G126" s="48">
        <f>VLOOKUP(D126,단가!B:D,3,0)</f>
        <v>10500</v>
      </c>
      <c r="H126" s="48">
        <f t="shared" si="8"/>
        <v>52500</v>
      </c>
      <c r="I126" s="48">
        <f t="shared" si="9"/>
        <v>5250</v>
      </c>
      <c r="J126" s="49">
        <f t="shared" si="7"/>
        <v>57750</v>
      </c>
      <c r="K126" s="53"/>
    </row>
    <row r="127" spans="1:11" ht="19" customHeight="1">
      <c r="A127" s="62" t="s">
        <v>265</v>
      </c>
      <c r="B127" s="47"/>
      <c r="C127" s="47" t="s">
        <v>217</v>
      </c>
      <c r="D127" s="47" t="s">
        <v>152</v>
      </c>
      <c r="E127" s="47" t="s">
        <v>60</v>
      </c>
      <c r="F127" s="48">
        <v>5</v>
      </c>
      <c r="G127" s="48">
        <f>VLOOKUP(D127,단가!B:D,3,0)</f>
        <v>10500</v>
      </c>
      <c r="H127" s="48">
        <f t="shared" si="8"/>
        <v>52500</v>
      </c>
      <c r="I127" s="48">
        <f t="shared" si="9"/>
        <v>5250</v>
      </c>
      <c r="J127" s="49">
        <f t="shared" si="7"/>
        <v>57750</v>
      </c>
      <c r="K127" s="53"/>
    </row>
    <row r="128" spans="1:11" ht="19" customHeight="1">
      <c r="A128" s="62" t="s">
        <v>266</v>
      </c>
      <c r="B128" s="47"/>
      <c r="C128" s="47" t="s">
        <v>183</v>
      </c>
      <c r="D128" s="47" t="s">
        <v>137</v>
      </c>
      <c r="E128" s="47" t="s">
        <v>57</v>
      </c>
      <c r="F128" s="48">
        <v>10</v>
      </c>
      <c r="G128" s="48">
        <f>VLOOKUP(D128,단가!B:D,3,0)</f>
        <v>19000</v>
      </c>
      <c r="H128" s="48">
        <f t="shared" si="8"/>
        <v>190000</v>
      </c>
      <c r="I128" s="48">
        <f t="shared" si="9"/>
        <v>19000</v>
      </c>
      <c r="J128" s="49">
        <f t="shared" si="7"/>
        <v>209000</v>
      </c>
      <c r="K128" s="53"/>
    </row>
    <row r="129" spans="1:14" ht="19" customHeight="1">
      <c r="A129" s="62" t="s">
        <v>266</v>
      </c>
      <c r="B129" s="47"/>
      <c r="C129" s="47" t="s">
        <v>217</v>
      </c>
      <c r="D129" s="47" t="s">
        <v>147</v>
      </c>
      <c r="E129" s="47" t="s">
        <v>60</v>
      </c>
      <c r="F129" s="48">
        <v>10</v>
      </c>
      <c r="G129" s="48">
        <f>VLOOKUP(D129,단가!B:D,3,0)</f>
        <v>10500</v>
      </c>
      <c r="H129" s="48">
        <f t="shared" si="8"/>
        <v>105000</v>
      </c>
      <c r="I129" s="48">
        <f t="shared" si="9"/>
        <v>10500</v>
      </c>
      <c r="J129" s="49">
        <f t="shared" si="7"/>
        <v>115500</v>
      </c>
      <c r="K129" s="53"/>
    </row>
    <row r="130" spans="1:14" ht="19" customHeight="1">
      <c r="A130" s="62" t="s">
        <v>267</v>
      </c>
      <c r="B130" s="47"/>
      <c r="C130" s="47" t="s">
        <v>209</v>
      </c>
      <c r="D130" s="47" t="s">
        <v>61</v>
      </c>
      <c r="E130" s="47" t="s">
        <v>57</v>
      </c>
      <c r="F130" s="48">
        <v>10</v>
      </c>
      <c r="G130" s="48">
        <f>VLOOKUP(D130,단가!B:D,3,0)</f>
        <v>20000</v>
      </c>
      <c r="H130" s="48">
        <f t="shared" si="8"/>
        <v>200000</v>
      </c>
      <c r="I130" s="48">
        <f t="shared" si="9"/>
        <v>20000</v>
      </c>
      <c r="J130" s="49">
        <f t="shared" si="7"/>
        <v>220000</v>
      </c>
      <c r="K130" s="53"/>
    </row>
    <row r="131" spans="1:14" ht="19" customHeight="1">
      <c r="A131" s="62" t="s">
        <v>267</v>
      </c>
      <c r="B131" s="47"/>
      <c r="C131" s="47" t="s">
        <v>209</v>
      </c>
      <c r="D131" s="67" t="s">
        <v>173</v>
      </c>
      <c r="E131" s="47" t="s">
        <v>92</v>
      </c>
      <c r="F131" s="48">
        <v>2</v>
      </c>
      <c r="G131" s="48">
        <f>VLOOKUP(D131,단가!B:D,3,0)</f>
        <v>10500</v>
      </c>
      <c r="H131" s="48">
        <f t="shared" si="8"/>
        <v>21000</v>
      </c>
      <c r="I131" s="48">
        <f t="shared" si="9"/>
        <v>2100</v>
      </c>
      <c r="J131" s="49">
        <f t="shared" si="7"/>
        <v>23100</v>
      </c>
      <c r="K131" s="53"/>
    </row>
    <row r="132" spans="1:14" ht="19" customHeight="1">
      <c r="A132" s="62" t="s">
        <v>267</v>
      </c>
      <c r="B132" s="47"/>
      <c r="C132" s="47" t="s">
        <v>209</v>
      </c>
      <c r="D132" s="47" t="s">
        <v>166</v>
      </c>
      <c r="E132" s="47" t="s">
        <v>92</v>
      </c>
      <c r="F132" s="48">
        <v>2</v>
      </c>
      <c r="G132" s="48">
        <f>VLOOKUP(D132,단가!B:D,3,0)</f>
        <v>10500</v>
      </c>
      <c r="H132" s="48">
        <f t="shared" si="8"/>
        <v>21000</v>
      </c>
      <c r="I132" s="48">
        <f t="shared" si="9"/>
        <v>2100</v>
      </c>
      <c r="J132" s="49">
        <f t="shared" si="7"/>
        <v>23100</v>
      </c>
      <c r="K132" s="53"/>
    </row>
    <row r="133" spans="1:14" ht="19" customHeight="1">
      <c r="A133" s="62" t="s">
        <v>267</v>
      </c>
      <c r="B133" s="47"/>
      <c r="C133" s="47" t="s">
        <v>209</v>
      </c>
      <c r="D133" s="47" t="s">
        <v>146</v>
      </c>
      <c r="E133" s="47" t="s">
        <v>60</v>
      </c>
      <c r="F133" s="48">
        <v>1</v>
      </c>
      <c r="G133" s="48">
        <f>VLOOKUP(D133,단가!B:D,3,0)</f>
        <v>10500</v>
      </c>
      <c r="H133" s="48">
        <f t="shared" si="8"/>
        <v>10500</v>
      </c>
      <c r="I133" s="48">
        <f t="shared" si="9"/>
        <v>1050</v>
      </c>
      <c r="J133" s="49">
        <f t="shared" si="7"/>
        <v>11550</v>
      </c>
      <c r="K133" s="53"/>
    </row>
    <row r="134" spans="1:14" ht="19" customHeight="1">
      <c r="A134" s="62" t="s">
        <v>267</v>
      </c>
      <c r="B134" s="47"/>
      <c r="C134" s="47" t="s">
        <v>247</v>
      </c>
      <c r="D134" s="47" t="s">
        <v>61</v>
      </c>
      <c r="E134" s="47" t="s">
        <v>57</v>
      </c>
      <c r="F134" s="48">
        <v>5</v>
      </c>
      <c r="G134" s="48">
        <f>VLOOKUP(D134,단가!B:D,3,0)</f>
        <v>20000</v>
      </c>
      <c r="H134" s="48">
        <f t="shared" si="8"/>
        <v>100000</v>
      </c>
      <c r="I134" s="48">
        <f t="shared" si="9"/>
        <v>10000</v>
      </c>
      <c r="J134" s="49">
        <f t="shared" si="7"/>
        <v>110000</v>
      </c>
      <c r="K134" s="53"/>
      <c r="N134" s="28"/>
    </row>
    <row r="135" spans="1:14" ht="19" customHeight="1">
      <c r="A135" s="62" t="s">
        <v>267</v>
      </c>
      <c r="B135" s="47"/>
      <c r="C135" s="47" t="s">
        <v>247</v>
      </c>
      <c r="D135" s="47" t="s">
        <v>62</v>
      </c>
      <c r="E135" s="47" t="s">
        <v>57</v>
      </c>
      <c r="F135" s="48">
        <v>5</v>
      </c>
      <c r="G135" s="48">
        <f>VLOOKUP(D135,단가!B:D,3,0)</f>
        <v>20000</v>
      </c>
      <c r="H135" s="48">
        <f t="shared" si="8"/>
        <v>100000</v>
      </c>
      <c r="I135" s="48">
        <f t="shared" si="9"/>
        <v>10000</v>
      </c>
      <c r="J135" s="49">
        <f t="shared" si="7"/>
        <v>110000</v>
      </c>
      <c r="K135" s="54"/>
    </row>
    <row r="136" spans="1:14" ht="19" customHeight="1">
      <c r="A136" s="62" t="s">
        <v>269</v>
      </c>
      <c r="B136" s="47"/>
      <c r="C136" s="47" t="s">
        <v>123</v>
      </c>
      <c r="D136" s="47" t="s">
        <v>137</v>
      </c>
      <c r="E136" s="47" t="s">
        <v>57</v>
      </c>
      <c r="F136" s="48">
        <v>10</v>
      </c>
      <c r="G136" s="48">
        <f>VLOOKUP(D136,단가!B:D,3,0)</f>
        <v>19000</v>
      </c>
      <c r="H136" s="48">
        <f t="shared" si="8"/>
        <v>190000</v>
      </c>
      <c r="I136" s="48">
        <f t="shared" si="9"/>
        <v>19000</v>
      </c>
      <c r="J136" s="49">
        <f t="shared" si="7"/>
        <v>209000</v>
      </c>
      <c r="K136" s="53"/>
    </row>
    <row r="137" spans="1:14" ht="19" customHeight="1">
      <c r="A137" s="62" t="s">
        <v>269</v>
      </c>
      <c r="B137" s="47"/>
      <c r="C137" s="47" t="s">
        <v>123</v>
      </c>
      <c r="D137" s="47" t="s">
        <v>129</v>
      </c>
      <c r="E137" s="47" t="s">
        <v>131</v>
      </c>
      <c r="F137" s="48">
        <v>2</v>
      </c>
      <c r="G137" s="48">
        <f>VLOOKUP(D137,단가!B:D,3,0)</f>
        <v>6000</v>
      </c>
      <c r="H137" s="48">
        <f t="shared" si="8"/>
        <v>12000</v>
      </c>
      <c r="I137" s="48">
        <f t="shared" si="9"/>
        <v>1200</v>
      </c>
      <c r="J137" s="49">
        <f t="shared" si="7"/>
        <v>13200</v>
      </c>
      <c r="K137" s="53"/>
    </row>
    <row r="138" spans="1:14" ht="19" customHeight="1">
      <c r="A138" s="62" t="s">
        <v>269</v>
      </c>
      <c r="B138" s="47"/>
      <c r="C138" s="47" t="s">
        <v>123</v>
      </c>
      <c r="D138" s="47" t="s">
        <v>130</v>
      </c>
      <c r="E138" s="47" t="s">
        <v>131</v>
      </c>
      <c r="F138" s="48">
        <v>2</v>
      </c>
      <c r="G138" s="48">
        <f>VLOOKUP(D138,단가!B:D,3,0)</f>
        <v>8000</v>
      </c>
      <c r="H138" s="48">
        <f t="shared" si="8"/>
        <v>16000</v>
      </c>
      <c r="I138" s="48">
        <f t="shared" si="9"/>
        <v>1600</v>
      </c>
      <c r="J138" s="49">
        <f t="shared" si="7"/>
        <v>17600</v>
      </c>
      <c r="K138" s="53"/>
    </row>
    <row r="139" spans="1:14" ht="19" customHeight="1">
      <c r="A139" s="62" t="s">
        <v>271</v>
      </c>
      <c r="B139" s="47"/>
      <c r="C139" s="47" t="s">
        <v>217</v>
      </c>
      <c r="D139" s="47" t="s">
        <v>149</v>
      </c>
      <c r="E139" s="47" t="s">
        <v>60</v>
      </c>
      <c r="F139" s="48">
        <v>5</v>
      </c>
      <c r="G139" s="48">
        <f>VLOOKUP(D139,단가!B:D,3,0)</f>
        <v>10500</v>
      </c>
      <c r="H139" s="48">
        <f t="shared" si="8"/>
        <v>52500</v>
      </c>
      <c r="I139" s="48">
        <f t="shared" si="9"/>
        <v>5250</v>
      </c>
      <c r="J139" s="49">
        <f t="shared" si="7"/>
        <v>57750</v>
      </c>
      <c r="K139" s="53"/>
    </row>
    <row r="140" spans="1:14" ht="19" customHeight="1">
      <c r="A140" s="62" t="s">
        <v>271</v>
      </c>
      <c r="B140" s="47"/>
      <c r="C140" s="47" t="s">
        <v>217</v>
      </c>
      <c r="D140" s="47" t="s">
        <v>151</v>
      </c>
      <c r="E140" s="47" t="s">
        <v>60</v>
      </c>
      <c r="F140" s="48">
        <v>10</v>
      </c>
      <c r="G140" s="48">
        <f>VLOOKUP(D140,단가!B:D,3,0)</f>
        <v>10500</v>
      </c>
      <c r="H140" s="48">
        <f t="shared" si="8"/>
        <v>105000</v>
      </c>
      <c r="I140" s="48">
        <f t="shared" si="9"/>
        <v>10500</v>
      </c>
      <c r="J140" s="49">
        <f t="shared" si="7"/>
        <v>115500</v>
      </c>
      <c r="K140" s="53"/>
    </row>
    <row r="141" spans="1:14" ht="19" customHeight="1">
      <c r="A141" s="62" t="s">
        <v>271</v>
      </c>
      <c r="B141" s="47"/>
      <c r="C141" s="47" t="s">
        <v>217</v>
      </c>
      <c r="D141" s="47" t="s">
        <v>153</v>
      </c>
      <c r="E141" s="47" t="s">
        <v>60</v>
      </c>
      <c r="F141" s="48">
        <v>5</v>
      </c>
      <c r="G141" s="48">
        <f>VLOOKUP(D141,단가!B:D,3,0)</f>
        <v>10500</v>
      </c>
      <c r="H141" s="48">
        <f t="shared" si="8"/>
        <v>52500</v>
      </c>
      <c r="I141" s="48">
        <f t="shared" si="9"/>
        <v>5250</v>
      </c>
      <c r="J141" s="49">
        <f t="shared" si="7"/>
        <v>57750</v>
      </c>
      <c r="K141" s="53"/>
    </row>
    <row r="142" spans="1:14" ht="19" customHeight="1">
      <c r="A142" s="62" t="s">
        <v>271</v>
      </c>
      <c r="B142" s="47"/>
      <c r="C142" s="47" t="s">
        <v>217</v>
      </c>
      <c r="D142" s="47" t="s">
        <v>154</v>
      </c>
      <c r="E142" s="47" t="s">
        <v>60</v>
      </c>
      <c r="F142" s="48">
        <v>5</v>
      </c>
      <c r="G142" s="48">
        <f>VLOOKUP(D142,단가!B:D,3,0)</f>
        <v>10500</v>
      </c>
      <c r="H142" s="48">
        <f t="shared" si="8"/>
        <v>52500</v>
      </c>
      <c r="I142" s="48">
        <f t="shared" si="9"/>
        <v>5250</v>
      </c>
      <c r="J142" s="49">
        <f t="shared" si="7"/>
        <v>57750</v>
      </c>
      <c r="K142" s="53"/>
    </row>
    <row r="143" spans="1:14" ht="19" customHeight="1">
      <c r="A143" s="62" t="s">
        <v>271</v>
      </c>
      <c r="B143" s="47"/>
      <c r="C143" s="47" t="s">
        <v>217</v>
      </c>
      <c r="D143" s="47" t="s">
        <v>146</v>
      </c>
      <c r="E143" s="47" t="s">
        <v>60</v>
      </c>
      <c r="F143" s="48">
        <v>5</v>
      </c>
      <c r="G143" s="48">
        <f>VLOOKUP(D143,단가!B:D,3,0)</f>
        <v>10500</v>
      </c>
      <c r="H143" s="48">
        <f t="shared" si="8"/>
        <v>52500</v>
      </c>
      <c r="I143" s="48">
        <f t="shared" si="9"/>
        <v>5250</v>
      </c>
      <c r="J143" s="49">
        <f t="shared" si="7"/>
        <v>57750</v>
      </c>
      <c r="K143" s="53"/>
    </row>
    <row r="144" spans="1:14" ht="19" customHeight="1">
      <c r="A144" s="62" t="s">
        <v>267</v>
      </c>
      <c r="B144" s="47"/>
      <c r="C144" s="47" t="s">
        <v>209</v>
      </c>
      <c r="D144" s="47" t="s">
        <v>162</v>
      </c>
      <c r="E144" s="47" t="s">
        <v>92</v>
      </c>
      <c r="F144" s="48">
        <v>2</v>
      </c>
      <c r="G144" s="48">
        <f>VLOOKUP(D144,단가!B:D,3,0)</f>
        <v>10500</v>
      </c>
      <c r="H144" s="48">
        <f t="shared" si="8"/>
        <v>21000</v>
      </c>
      <c r="I144" s="48">
        <f t="shared" si="9"/>
        <v>2100</v>
      </c>
      <c r="J144" s="49">
        <f t="shared" si="7"/>
        <v>23100</v>
      </c>
      <c r="K144" s="53"/>
    </row>
    <row r="145" spans="1:12" ht="19" customHeight="1">
      <c r="A145" s="62" t="s">
        <v>267</v>
      </c>
      <c r="B145" s="47"/>
      <c r="C145" s="47" t="s">
        <v>209</v>
      </c>
      <c r="D145" s="47" t="s">
        <v>149</v>
      </c>
      <c r="E145" s="47" t="s">
        <v>60</v>
      </c>
      <c r="F145" s="48">
        <v>1</v>
      </c>
      <c r="G145" s="48">
        <f>VLOOKUP(D145,단가!B:D,3,0)</f>
        <v>10500</v>
      </c>
      <c r="H145" s="48">
        <f t="shared" si="8"/>
        <v>10500</v>
      </c>
      <c r="I145" s="48">
        <f t="shared" si="9"/>
        <v>1050</v>
      </c>
      <c r="J145" s="49">
        <f t="shared" si="7"/>
        <v>11550</v>
      </c>
      <c r="K145" s="53"/>
    </row>
    <row r="146" spans="1:12" ht="19" customHeight="1">
      <c r="A146" s="62" t="s">
        <v>267</v>
      </c>
      <c r="B146" s="47"/>
      <c r="C146" s="47" t="s">
        <v>209</v>
      </c>
      <c r="D146" s="47" t="s">
        <v>146</v>
      </c>
      <c r="E146" s="47" t="s">
        <v>60</v>
      </c>
      <c r="F146" s="48">
        <v>1</v>
      </c>
      <c r="G146" s="48">
        <f>VLOOKUP(D146,단가!B:D,3,0)</f>
        <v>10500</v>
      </c>
      <c r="H146" s="48">
        <f t="shared" si="8"/>
        <v>10500</v>
      </c>
      <c r="I146" s="48">
        <f t="shared" si="9"/>
        <v>1050</v>
      </c>
      <c r="J146" s="49">
        <f t="shared" si="7"/>
        <v>11550</v>
      </c>
      <c r="K146" s="53"/>
    </row>
    <row r="147" spans="1:12" ht="19" customHeight="1">
      <c r="A147" s="62" t="s">
        <v>267</v>
      </c>
      <c r="B147" s="47"/>
      <c r="C147" s="47" t="s">
        <v>209</v>
      </c>
      <c r="D147" s="47" t="s">
        <v>148</v>
      </c>
      <c r="E147" s="47" t="s">
        <v>60</v>
      </c>
      <c r="F147" s="48">
        <v>1</v>
      </c>
      <c r="G147" s="48">
        <f>VLOOKUP(D147,단가!B:D,3,0)</f>
        <v>10500</v>
      </c>
      <c r="H147" s="48">
        <f t="shared" si="8"/>
        <v>10500</v>
      </c>
      <c r="I147" s="48">
        <f t="shared" si="9"/>
        <v>1050</v>
      </c>
      <c r="J147" s="49">
        <f t="shared" si="7"/>
        <v>11550</v>
      </c>
      <c r="K147" s="53"/>
    </row>
    <row r="148" spans="1:12" ht="19" customHeight="1">
      <c r="A148" s="62" t="s">
        <v>267</v>
      </c>
      <c r="B148" s="47"/>
      <c r="C148" s="47" t="s">
        <v>209</v>
      </c>
      <c r="D148" s="47" t="s">
        <v>151</v>
      </c>
      <c r="E148" s="47" t="s">
        <v>60</v>
      </c>
      <c r="F148" s="48">
        <v>1</v>
      </c>
      <c r="G148" s="48">
        <f>VLOOKUP(D148,단가!B:D,3,0)</f>
        <v>10500</v>
      </c>
      <c r="H148" s="48">
        <f t="shared" si="8"/>
        <v>10500</v>
      </c>
      <c r="I148" s="48">
        <f t="shared" si="9"/>
        <v>1050</v>
      </c>
      <c r="J148" s="49">
        <f t="shared" si="7"/>
        <v>11550</v>
      </c>
      <c r="K148" s="53"/>
    </row>
    <row r="149" spans="1:12" ht="19" customHeight="1">
      <c r="A149" s="62" t="s">
        <v>267</v>
      </c>
      <c r="B149" s="47"/>
      <c r="C149" s="47" t="s">
        <v>209</v>
      </c>
      <c r="D149" s="47" t="s">
        <v>153</v>
      </c>
      <c r="E149" s="47" t="s">
        <v>60</v>
      </c>
      <c r="F149" s="48">
        <v>1</v>
      </c>
      <c r="G149" s="48">
        <f>VLOOKUP(D149,단가!B:D,3,0)</f>
        <v>10500</v>
      </c>
      <c r="H149" s="48">
        <f t="shared" si="8"/>
        <v>10500</v>
      </c>
      <c r="I149" s="48">
        <f t="shared" si="9"/>
        <v>1050</v>
      </c>
      <c r="J149" s="49">
        <f t="shared" si="7"/>
        <v>11550</v>
      </c>
      <c r="K149" s="53"/>
    </row>
    <row r="150" spans="1:12" ht="19" customHeight="1">
      <c r="A150" s="62" t="s">
        <v>272</v>
      </c>
      <c r="B150" s="47"/>
      <c r="C150" s="47" t="s">
        <v>127</v>
      </c>
      <c r="D150" s="47" t="s">
        <v>129</v>
      </c>
      <c r="E150" s="47" t="s">
        <v>131</v>
      </c>
      <c r="F150" s="48">
        <v>5</v>
      </c>
      <c r="G150" s="48">
        <f>VLOOKUP(D150,단가!B:D,3,0)</f>
        <v>6000</v>
      </c>
      <c r="H150" s="48">
        <f t="shared" si="8"/>
        <v>30000</v>
      </c>
      <c r="I150" s="48">
        <f t="shared" si="9"/>
        <v>3000</v>
      </c>
      <c r="J150" s="49">
        <f t="shared" si="7"/>
        <v>33000</v>
      </c>
      <c r="K150" s="56"/>
    </row>
    <row r="151" spans="1:12" ht="19" customHeight="1">
      <c r="A151" s="62" t="s">
        <v>273</v>
      </c>
      <c r="B151" s="47"/>
      <c r="C151" s="47" t="s">
        <v>217</v>
      </c>
      <c r="D151" s="47" t="s">
        <v>61</v>
      </c>
      <c r="E151" s="47" t="s">
        <v>57</v>
      </c>
      <c r="F151" s="48">
        <v>5</v>
      </c>
      <c r="G151" s="48">
        <f>VLOOKUP(D151,단가!B:D,3,0)</f>
        <v>20000</v>
      </c>
      <c r="H151" s="48">
        <f t="shared" si="8"/>
        <v>100000</v>
      </c>
      <c r="I151" s="48">
        <f t="shared" si="9"/>
        <v>10000</v>
      </c>
      <c r="J151" s="49">
        <f t="shared" si="7"/>
        <v>110000</v>
      </c>
      <c r="K151" s="53"/>
    </row>
    <row r="152" spans="1:12" ht="19" customHeight="1">
      <c r="A152" s="62" t="s">
        <v>273</v>
      </c>
      <c r="B152" s="47"/>
      <c r="C152" s="47" t="s">
        <v>217</v>
      </c>
      <c r="D152" s="47" t="s">
        <v>152</v>
      </c>
      <c r="E152" s="47" t="s">
        <v>60</v>
      </c>
      <c r="F152" s="48">
        <v>5</v>
      </c>
      <c r="G152" s="48">
        <f>VLOOKUP(D152,단가!B:D,3,0)</f>
        <v>10500</v>
      </c>
      <c r="H152" s="48">
        <f t="shared" si="8"/>
        <v>52500</v>
      </c>
      <c r="I152" s="48">
        <f t="shared" si="9"/>
        <v>5250</v>
      </c>
      <c r="J152" s="49">
        <f t="shared" si="7"/>
        <v>57750</v>
      </c>
      <c r="K152" s="53"/>
    </row>
    <row r="153" spans="1:12" ht="19" customHeight="1">
      <c r="A153" s="62" t="s">
        <v>273</v>
      </c>
      <c r="B153" s="47"/>
      <c r="C153" s="47" t="s">
        <v>217</v>
      </c>
      <c r="D153" s="47" t="s">
        <v>148</v>
      </c>
      <c r="E153" s="47" t="s">
        <v>60</v>
      </c>
      <c r="F153" s="48">
        <v>5</v>
      </c>
      <c r="G153" s="48">
        <f>VLOOKUP(D153,단가!B:D,3,0)</f>
        <v>10500</v>
      </c>
      <c r="H153" s="48">
        <f t="shared" si="8"/>
        <v>52500</v>
      </c>
      <c r="I153" s="48">
        <f t="shared" si="9"/>
        <v>5250</v>
      </c>
      <c r="J153" s="49">
        <f t="shared" si="7"/>
        <v>57750</v>
      </c>
      <c r="K153" s="53"/>
    </row>
    <row r="154" spans="1:12" ht="19" customHeight="1">
      <c r="A154" s="62" t="s">
        <v>273</v>
      </c>
      <c r="B154" s="47"/>
      <c r="C154" s="47" t="s">
        <v>217</v>
      </c>
      <c r="D154" s="47" t="s">
        <v>178</v>
      </c>
      <c r="E154" s="47" t="s">
        <v>60</v>
      </c>
      <c r="F154" s="48">
        <v>5</v>
      </c>
      <c r="G154" s="48">
        <f>VLOOKUP(D154,단가!B:D,3,0)</f>
        <v>10500</v>
      </c>
      <c r="H154" s="48">
        <f t="shared" si="8"/>
        <v>52500</v>
      </c>
      <c r="I154" s="48">
        <f t="shared" si="9"/>
        <v>5250</v>
      </c>
      <c r="J154" s="49">
        <f t="shared" si="7"/>
        <v>57750</v>
      </c>
      <c r="K154" s="53"/>
      <c r="L154" s="28"/>
    </row>
    <row r="155" spans="1:12" ht="19" customHeight="1">
      <c r="A155" s="62" t="s">
        <v>273</v>
      </c>
      <c r="B155" s="47"/>
      <c r="C155" s="47" t="s">
        <v>217</v>
      </c>
      <c r="D155" s="47" t="s">
        <v>150</v>
      </c>
      <c r="E155" s="47" t="s">
        <v>60</v>
      </c>
      <c r="F155" s="48">
        <v>5</v>
      </c>
      <c r="G155" s="48">
        <f>VLOOKUP(D155,단가!B:D,3,0)</f>
        <v>10500</v>
      </c>
      <c r="H155" s="48">
        <f t="shared" si="8"/>
        <v>52500</v>
      </c>
      <c r="I155" s="48">
        <f t="shared" si="9"/>
        <v>5250</v>
      </c>
      <c r="J155" s="49">
        <f t="shared" si="7"/>
        <v>57750</v>
      </c>
      <c r="K155" s="53"/>
    </row>
    <row r="156" spans="1:12" ht="19" customHeight="1">
      <c r="A156" s="62" t="s">
        <v>275</v>
      </c>
      <c r="B156" s="47"/>
      <c r="C156" s="47" t="s">
        <v>217</v>
      </c>
      <c r="D156" s="47" t="s">
        <v>152</v>
      </c>
      <c r="E156" s="47" t="s">
        <v>60</v>
      </c>
      <c r="F156" s="48">
        <v>5</v>
      </c>
      <c r="G156" s="48">
        <f>VLOOKUP(D156,단가!B:D,3,0)</f>
        <v>10500</v>
      </c>
      <c r="H156" s="48">
        <f t="shared" si="8"/>
        <v>52500</v>
      </c>
      <c r="I156" s="48">
        <f t="shared" si="9"/>
        <v>5250</v>
      </c>
      <c r="J156" s="49">
        <f t="shared" si="7"/>
        <v>57750</v>
      </c>
      <c r="K156" s="53"/>
    </row>
    <row r="157" spans="1:12" ht="19" customHeight="1">
      <c r="A157" s="62" t="s">
        <v>275</v>
      </c>
      <c r="B157" s="47"/>
      <c r="C157" s="47" t="s">
        <v>217</v>
      </c>
      <c r="D157" s="47" t="s">
        <v>151</v>
      </c>
      <c r="E157" s="47" t="s">
        <v>60</v>
      </c>
      <c r="F157" s="48">
        <v>5</v>
      </c>
      <c r="G157" s="48">
        <f>VLOOKUP(D157,단가!B:D,3,0)</f>
        <v>10500</v>
      </c>
      <c r="H157" s="48">
        <f t="shared" si="8"/>
        <v>52500</v>
      </c>
      <c r="I157" s="48">
        <f t="shared" si="9"/>
        <v>5250</v>
      </c>
      <c r="J157" s="49">
        <f t="shared" si="7"/>
        <v>57750</v>
      </c>
      <c r="K157" s="53"/>
    </row>
    <row r="158" spans="1:12" ht="19" customHeight="1">
      <c r="A158" s="62" t="s">
        <v>275</v>
      </c>
      <c r="B158" s="47"/>
      <c r="C158" s="47" t="s">
        <v>217</v>
      </c>
      <c r="D158" s="47" t="s">
        <v>146</v>
      </c>
      <c r="E158" s="47" t="s">
        <v>60</v>
      </c>
      <c r="F158" s="48">
        <v>10</v>
      </c>
      <c r="G158" s="48">
        <f>VLOOKUP(D158,단가!B:D,3,0)</f>
        <v>10500</v>
      </c>
      <c r="H158" s="48">
        <f t="shared" si="8"/>
        <v>105000</v>
      </c>
      <c r="I158" s="48">
        <f t="shared" si="9"/>
        <v>10500</v>
      </c>
      <c r="J158" s="49">
        <f t="shared" si="7"/>
        <v>115500</v>
      </c>
      <c r="K158" s="53"/>
      <c r="L158" s="28"/>
    </row>
    <row r="159" spans="1:12" ht="19" customHeight="1">
      <c r="A159" s="62" t="s">
        <v>276</v>
      </c>
      <c r="B159" s="47"/>
      <c r="C159" s="47" t="s">
        <v>108</v>
      </c>
      <c r="D159" s="47" t="s">
        <v>62</v>
      </c>
      <c r="E159" s="47" t="s">
        <v>57</v>
      </c>
      <c r="F159" s="48">
        <v>1</v>
      </c>
      <c r="G159" s="48">
        <f>VLOOKUP(D159,단가!B:D,3,0)</f>
        <v>20000</v>
      </c>
      <c r="H159" s="48">
        <f t="shared" si="8"/>
        <v>20000</v>
      </c>
      <c r="I159" s="48">
        <f t="shared" si="9"/>
        <v>2000</v>
      </c>
      <c r="J159" s="49">
        <f t="shared" si="7"/>
        <v>22000</v>
      </c>
      <c r="K159" s="54"/>
    </row>
    <row r="160" spans="1:12" ht="19" customHeight="1">
      <c r="A160" s="62" t="s">
        <v>276</v>
      </c>
      <c r="B160" s="47"/>
      <c r="C160" s="47" t="s">
        <v>199</v>
      </c>
      <c r="D160" s="47" t="s">
        <v>137</v>
      </c>
      <c r="E160" s="47" t="s">
        <v>57</v>
      </c>
      <c r="F160" s="48">
        <v>10</v>
      </c>
      <c r="G160" s="48">
        <f>VLOOKUP(D160,단가!B:D,3,0)</f>
        <v>19000</v>
      </c>
      <c r="H160" s="48">
        <f t="shared" si="8"/>
        <v>190000</v>
      </c>
      <c r="I160" s="48">
        <f t="shared" si="9"/>
        <v>19000</v>
      </c>
      <c r="J160" s="49">
        <f t="shared" si="7"/>
        <v>209000</v>
      </c>
      <c r="K160" s="53"/>
    </row>
    <row r="161" spans="1:11" ht="19" customHeight="1">
      <c r="A161" s="62" t="s">
        <v>281</v>
      </c>
      <c r="B161" s="47"/>
      <c r="C161" s="47" t="s">
        <v>217</v>
      </c>
      <c r="D161" s="47" t="s">
        <v>61</v>
      </c>
      <c r="E161" s="47" t="s">
        <v>57</v>
      </c>
      <c r="F161" s="48">
        <v>5</v>
      </c>
      <c r="G161" s="48">
        <f>VLOOKUP(D161,단가!B:D,3,0)</f>
        <v>20000</v>
      </c>
      <c r="H161" s="48">
        <f t="shared" si="8"/>
        <v>100000</v>
      </c>
      <c r="I161" s="48">
        <f t="shared" si="9"/>
        <v>10000</v>
      </c>
      <c r="J161" s="49">
        <f t="shared" si="7"/>
        <v>110000</v>
      </c>
      <c r="K161" s="53"/>
    </row>
    <row r="162" spans="1:11" ht="19" customHeight="1">
      <c r="A162" s="62" t="s">
        <v>282</v>
      </c>
      <c r="B162" s="47"/>
      <c r="C162" s="47" t="s">
        <v>126</v>
      </c>
      <c r="D162" s="47" t="s">
        <v>137</v>
      </c>
      <c r="E162" s="47" t="s">
        <v>57</v>
      </c>
      <c r="F162" s="48">
        <v>10</v>
      </c>
      <c r="G162" s="48">
        <f>VLOOKUP(D162,단가!B:D,3,0)</f>
        <v>19000</v>
      </c>
      <c r="H162" s="48">
        <f t="shared" si="8"/>
        <v>190000</v>
      </c>
      <c r="I162" s="48">
        <f t="shared" si="9"/>
        <v>19000</v>
      </c>
      <c r="J162" s="49">
        <f t="shared" si="7"/>
        <v>209000</v>
      </c>
      <c r="K162" s="53"/>
    </row>
    <row r="163" spans="1:11" ht="19" customHeight="1">
      <c r="A163" s="62" t="s">
        <v>282</v>
      </c>
      <c r="B163" s="47"/>
      <c r="C163" s="47" t="s">
        <v>126</v>
      </c>
      <c r="D163" s="47" t="s">
        <v>130</v>
      </c>
      <c r="E163" s="47" t="s">
        <v>131</v>
      </c>
      <c r="F163" s="48">
        <v>2</v>
      </c>
      <c r="G163" s="48">
        <f>VLOOKUP(D163,단가!B:D,3,0)</f>
        <v>8000</v>
      </c>
      <c r="H163" s="48">
        <f t="shared" si="8"/>
        <v>16000</v>
      </c>
      <c r="I163" s="48">
        <f t="shared" si="9"/>
        <v>1600</v>
      </c>
      <c r="J163" s="49">
        <f t="shared" si="7"/>
        <v>17600</v>
      </c>
      <c r="K163" s="53"/>
    </row>
    <row r="164" spans="1:11" ht="19" customHeight="1">
      <c r="A164" s="62" t="s">
        <v>284</v>
      </c>
      <c r="B164" s="47"/>
      <c r="C164" s="47" t="s">
        <v>217</v>
      </c>
      <c r="D164" s="47" t="s">
        <v>146</v>
      </c>
      <c r="E164" s="47" t="s">
        <v>60</v>
      </c>
      <c r="F164" s="48">
        <v>5</v>
      </c>
      <c r="G164" s="48">
        <f>VLOOKUP(D164,단가!B:D,3,0)</f>
        <v>10500</v>
      </c>
      <c r="H164" s="48">
        <f t="shared" si="8"/>
        <v>52500</v>
      </c>
      <c r="I164" s="48">
        <f t="shared" si="9"/>
        <v>5250</v>
      </c>
      <c r="J164" s="49">
        <f t="shared" si="7"/>
        <v>57750</v>
      </c>
      <c r="K164" s="53"/>
    </row>
    <row r="165" spans="1:11" ht="19" customHeight="1">
      <c r="A165" s="62" t="s">
        <v>284</v>
      </c>
      <c r="B165" s="47"/>
      <c r="C165" s="47" t="s">
        <v>217</v>
      </c>
      <c r="D165" s="47" t="s">
        <v>147</v>
      </c>
      <c r="E165" s="47" t="s">
        <v>60</v>
      </c>
      <c r="F165" s="48">
        <v>5</v>
      </c>
      <c r="G165" s="48">
        <f>VLOOKUP(D165,단가!B:D,3,0)</f>
        <v>10500</v>
      </c>
      <c r="H165" s="48">
        <f t="shared" si="8"/>
        <v>52500</v>
      </c>
      <c r="I165" s="48">
        <f t="shared" si="9"/>
        <v>5250</v>
      </c>
      <c r="J165" s="49">
        <f t="shared" si="7"/>
        <v>57750</v>
      </c>
      <c r="K165" s="53"/>
    </row>
    <row r="166" spans="1:11" ht="19" customHeight="1">
      <c r="A166" s="62" t="s">
        <v>284</v>
      </c>
      <c r="B166" s="47"/>
      <c r="C166" s="47" t="s">
        <v>217</v>
      </c>
      <c r="D166" s="47" t="s">
        <v>149</v>
      </c>
      <c r="E166" s="47" t="s">
        <v>60</v>
      </c>
      <c r="F166" s="48">
        <v>10</v>
      </c>
      <c r="G166" s="48">
        <f>VLOOKUP(D166,단가!B:D,3,0)</f>
        <v>10500</v>
      </c>
      <c r="H166" s="48">
        <f t="shared" si="8"/>
        <v>105000</v>
      </c>
      <c r="I166" s="48">
        <f t="shared" si="9"/>
        <v>10500</v>
      </c>
      <c r="J166" s="49">
        <f t="shared" si="7"/>
        <v>115500</v>
      </c>
      <c r="K166" s="53"/>
    </row>
    <row r="167" spans="1:11" ht="19" customHeight="1">
      <c r="A167" s="62" t="s">
        <v>284</v>
      </c>
      <c r="B167" s="47"/>
      <c r="C167" s="47" t="s">
        <v>217</v>
      </c>
      <c r="D167" s="47" t="s">
        <v>153</v>
      </c>
      <c r="E167" s="47" t="s">
        <v>60</v>
      </c>
      <c r="F167" s="48">
        <v>5</v>
      </c>
      <c r="G167" s="48">
        <f>VLOOKUP(D167,단가!B:D,3,0)</f>
        <v>10500</v>
      </c>
      <c r="H167" s="48">
        <f t="shared" si="8"/>
        <v>52500</v>
      </c>
      <c r="I167" s="48">
        <f t="shared" si="9"/>
        <v>5250</v>
      </c>
      <c r="J167" s="49">
        <f t="shared" si="7"/>
        <v>57750</v>
      </c>
      <c r="K167" s="53"/>
    </row>
    <row r="168" spans="1:11" ht="19" customHeight="1">
      <c r="A168" s="62" t="s">
        <v>284</v>
      </c>
      <c r="B168" s="47"/>
      <c r="C168" s="47" t="s">
        <v>217</v>
      </c>
      <c r="D168" s="47" t="s">
        <v>148</v>
      </c>
      <c r="E168" s="47" t="s">
        <v>60</v>
      </c>
      <c r="F168" s="48">
        <v>5</v>
      </c>
      <c r="G168" s="48">
        <f>VLOOKUP(D168,단가!B:D,3,0)</f>
        <v>10500</v>
      </c>
      <c r="H168" s="48">
        <f t="shared" si="8"/>
        <v>52500</v>
      </c>
      <c r="I168" s="48">
        <f t="shared" si="9"/>
        <v>5250</v>
      </c>
      <c r="J168" s="49">
        <f t="shared" si="7"/>
        <v>57750</v>
      </c>
      <c r="K168" s="53"/>
    </row>
    <row r="169" spans="1:11" ht="19" customHeight="1">
      <c r="A169" s="62" t="s">
        <v>284</v>
      </c>
      <c r="B169" s="47"/>
      <c r="C169" s="47" t="s">
        <v>183</v>
      </c>
      <c r="D169" s="47" t="s">
        <v>130</v>
      </c>
      <c r="E169" s="47" t="s">
        <v>131</v>
      </c>
      <c r="F169" s="48">
        <v>3</v>
      </c>
      <c r="G169" s="48">
        <f>VLOOKUP(D169,단가!B:D,3,0)</f>
        <v>8000</v>
      </c>
      <c r="H169" s="48">
        <f t="shared" si="8"/>
        <v>24000</v>
      </c>
      <c r="I169" s="48">
        <f t="shared" si="9"/>
        <v>2400</v>
      </c>
      <c r="J169" s="49">
        <f t="shared" si="7"/>
        <v>26400</v>
      </c>
      <c r="K169" s="53"/>
    </row>
    <row r="170" spans="1:11" ht="19" customHeight="1">
      <c r="A170" s="62" t="s">
        <v>284</v>
      </c>
      <c r="B170" s="47"/>
      <c r="C170" s="47" t="s">
        <v>183</v>
      </c>
      <c r="D170" s="47" t="s">
        <v>129</v>
      </c>
      <c r="E170" s="47" t="s">
        <v>131</v>
      </c>
      <c r="F170" s="48">
        <v>2</v>
      </c>
      <c r="G170" s="48">
        <f>VLOOKUP(D170,단가!B:D,3,0)</f>
        <v>6000</v>
      </c>
      <c r="H170" s="48">
        <f t="shared" si="8"/>
        <v>12000</v>
      </c>
      <c r="I170" s="48">
        <f t="shared" si="9"/>
        <v>1200</v>
      </c>
      <c r="J170" s="49">
        <f t="shared" si="7"/>
        <v>13200</v>
      </c>
      <c r="K170" s="53"/>
    </row>
    <row r="171" spans="1:11" ht="19" customHeight="1">
      <c r="A171" s="62" t="s">
        <v>285</v>
      </c>
      <c r="B171" s="47"/>
      <c r="C171" s="47" t="s">
        <v>209</v>
      </c>
      <c r="D171" s="47" t="s">
        <v>61</v>
      </c>
      <c r="E171" s="47" t="s">
        <v>57</v>
      </c>
      <c r="F171" s="48">
        <v>10</v>
      </c>
      <c r="G171" s="48">
        <f>VLOOKUP(D171,단가!B:D,3,0)</f>
        <v>20000</v>
      </c>
      <c r="H171" s="48">
        <f t="shared" si="8"/>
        <v>200000</v>
      </c>
      <c r="I171" s="48">
        <f t="shared" si="9"/>
        <v>20000</v>
      </c>
      <c r="J171" s="49">
        <f t="shared" si="7"/>
        <v>220000</v>
      </c>
      <c r="K171" s="53"/>
    </row>
    <row r="172" spans="1:11" ht="19" customHeight="1">
      <c r="A172" s="62" t="s">
        <v>285</v>
      </c>
      <c r="B172" s="47"/>
      <c r="C172" s="47" t="s">
        <v>209</v>
      </c>
      <c r="D172" s="47" t="s">
        <v>146</v>
      </c>
      <c r="E172" s="47" t="s">
        <v>60</v>
      </c>
      <c r="F172" s="48">
        <v>2</v>
      </c>
      <c r="G172" s="48">
        <f>VLOOKUP(D172,단가!B:D,3,0)</f>
        <v>10500</v>
      </c>
      <c r="H172" s="48">
        <f t="shared" si="8"/>
        <v>21000</v>
      </c>
      <c r="I172" s="48">
        <f t="shared" si="9"/>
        <v>2100</v>
      </c>
      <c r="J172" s="49">
        <f t="shared" si="7"/>
        <v>23100</v>
      </c>
      <c r="K172" s="53"/>
    </row>
    <row r="173" spans="1:11" ht="19" customHeight="1">
      <c r="A173" s="62" t="s">
        <v>285</v>
      </c>
      <c r="B173" s="47"/>
      <c r="C173" s="47" t="s">
        <v>209</v>
      </c>
      <c r="D173" s="67" t="s">
        <v>173</v>
      </c>
      <c r="E173" s="47" t="s">
        <v>92</v>
      </c>
      <c r="F173" s="48">
        <v>2</v>
      </c>
      <c r="G173" s="48">
        <f>VLOOKUP(D173,단가!B:D,3,0)</f>
        <v>10500</v>
      </c>
      <c r="H173" s="48">
        <f t="shared" si="8"/>
        <v>21000</v>
      </c>
      <c r="I173" s="48">
        <f t="shared" si="9"/>
        <v>2100</v>
      </c>
      <c r="J173" s="49">
        <f t="shared" si="7"/>
        <v>23100</v>
      </c>
      <c r="K173" s="54"/>
    </row>
    <row r="174" spans="1:11" ht="19" customHeight="1">
      <c r="A174" s="62" t="s">
        <v>286</v>
      </c>
      <c r="B174" s="47"/>
      <c r="C174" s="47" t="s">
        <v>201</v>
      </c>
      <c r="D174" s="47" t="s">
        <v>137</v>
      </c>
      <c r="E174" s="47" t="s">
        <v>57</v>
      </c>
      <c r="F174" s="48">
        <v>10</v>
      </c>
      <c r="G174" s="48">
        <f>VLOOKUP(D174,단가!B:D,3,0)</f>
        <v>19000</v>
      </c>
      <c r="H174" s="48">
        <f t="shared" si="8"/>
        <v>190000</v>
      </c>
      <c r="I174" s="48">
        <f t="shared" si="9"/>
        <v>19000</v>
      </c>
      <c r="J174" s="49">
        <f t="shared" si="7"/>
        <v>209000</v>
      </c>
      <c r="K174" s="53"/>
    </row>
    <row r="175" spans="1:11" ht="19" customHeight="1">
      <c r="A175" s="62" t="s">
        <v>286</v>
      </c>
      <c r="B175" s="47"/>
      <c r="C175" s="47" t="s">
        <v>201</v>
      </c>
      <c r="D175" s="47" t="s">
        <v>130</v>
      </c>
      <c r="E175" s="47" t="s">
        <v>131</v>
      </c>
      <c r="F175" s="48">
        <v>3</v>
      </c>
      <c r="G175" s="48">
        <f>VLOOKUP(D175,단가!B:D,3,0)</f>
        <v>8000</v>
      </c>
      <c r="H175" s="48">
        <f t="shared" si="8"/>
        <v>24000</v>
      </c>
      <c r="I175" s="48">
        <f t="shared" si="9"/>
        <v>2400</v>
      </c>
      <c r="J175" s="49">
        <f t="shared" si="7"/>
        <v>26400</v>
      </c>
      <c r="K175" s="53"/>
    </row>
    <row r="176" spans="1:11" ht="19" customHeight="1">
      <c r="A176" s="62" t="s">
        <v>286</v>
      </c>
      <c r="B176" s="47"/>
      <c r="C176" s="47" t="s">
        <v>217</v>
      </c>
      <c r="D176" s="47" t="s">
        <v>61</v>
      </c>
      <c r="E176" s="47" t="s">
        <v>57</v>
      </c>
      <c r="F176" s="48">
        <v>5</v>
      </c>
      <c r="G176" s="48">
        <f>VLOOKUP(D176,단가!B:D,3,0)</f>
        <v>20000</v>
      </c>
      <c r="H176" s="48">
        <f t="shared" si="8"/>
        <v>100000</v>
      </c>
      <c r="I176" s="48">
        <f t="shared" si="9"/>
        <v>10000</v>
      </c>
      <c r="J176" s="49">
        <f t="shared" si="7"/>
        <v>110000</v>
      </c>
      <c r="K176" s="53"/>
    </row>
    <row r="177" spans="1:13" ht="19" customHeight="1">
      <c r="A177" s="62" t="s">
        <v>286</v>
      </c>
      <c r="B177" s="47"/>
      <c r="C177" s="47" t="s">
        <v>217</v>
      </c>
      <c r="D177" s="47" t="s">
        <v>146</v>
      </c>
      <c r="E177" s="47" t="s">
        <v>60</v>
      </c>
      <c r="F177" s="48">
        <v>5</v>
      </c>
      <c r="G177" s="48">
        <f>VLOOKUP(D177,단가!B:D,3,0)</f>
        <v>10500</v>
      </c>
      <c r="H177" s="48">
        <f t="shared" si="8"/>
        <v>52500</v>
      </c>
      <c r="I177" s="48">
        <f t="shared" si="9"/>
        <v>5250</v>
      </c>
      <c r="J177" s="49">
        <f t="shared" si="7"/>
        <v>57750</v>
      </c>
      <c r="K177" s="53"/>
    </row>
    <row r="178" spans="1:13" ht="19" customHeight="1">
      <c r="A178" s="62" t="s">
        <v>286</v>
      </c>
      <c r="B178" s="47"/>
      <c r="C178" s="47" t="s">
        <v>217</v>
      </c>
      <c r="D178" s="47" t="s">
        <v>150</v>
      </c>
      <c r="E178" s="47" t="s">
        <v>60</v>
      </c>
      <c r="F178" s="48">
        <v>5</v>
      </c>
      <c r="G178" s="48">
        <f>VLOOKUP(D178,단가!B:D,3,0)</f>
        <v>10500</v>
      </c>
      <c r="H178" s="48">
        <f t="shared" si="8"/>
        <v>52500</v>
      </c>
      <c r="I178" s="48">
        <f t="shared" si="9"/>
        <v>5250</v>
      </c>
      <c r="J178" s="49">
        <f t="shared" si="7"/>
        <v>57750</v>
      </c>
      <c r="K178" s="53"/>
    </row>
    <row r="179" spans="1:13" ht="19" customHeight="1">
      <c r="A179" s="62" t="s">
        <v>286</v>
      </c>
      <c r="B179" s="47"/>
      <c r="C179" s="47" t="s">
        <v>217</v>
      </c>
      <c r="D179" s="47" t="s">
        <v>152</v>
      </c>
      <c r="E179" s="47" t="s">
        <v>60</v>
      </c>
      <c r="F179" s="48">
        <v>5</v>
      </c>
      <c r="G179" s="48">
        <f>VLOOKUP(D179,단가!B:D,3,0)</f>
        <v>10500</v>
      </c>
      <c r="H179" s="48">
        <f t="shared" si="8"/>
        <v>52500</v>
      </c>
      <c r="I179" s="48">
        <f t="shared" si="9"/>
        <v>5250</v>
      </c>
      <c r="J179" s="49">
        <f t="shared" si="7"/>
        <v>57750</v>
      </c>
      <c r="K179" s="53"/>
    </row>
    <row r="180" spans="1:13" ht="19" customHeight="1">
      <c r="A180" s="62" t="s">
        <v>286</v>
      </c>
      <c r="B180" s="47"/>
      <c r="C180" s="47" t="s">
        <v>217</v>
      </c>
      <c r="D180" s="47" t="s">
        <v>154</v>
      </c>
      <c r="E180" s="47" t="s">
        <v>60</v>
      </c>
      <c r="F180" s="48">
        <v>5</v>
      </c>
      <c r="G180" s="48">
        <f>VLOOKUP(D180,단가!B:D,3,0)</f>
        <v>10500</v>
      </c>
      <c r="H180" s="48">
        <f t="shared" si="8"/>
        <v>52500</v>
      </c>
      <c r="I180" s="48">
        <f t="shared" si="9"/>
        <v>5250</v>
      </c>
      <c r="J180" s="49">
        <f t="shared" si="7"/>
        <v>57750</v>
      </c>
      <c r="K180" s="53"/>
      <c r="L180" s="28"/>
    </row>
    <row r="181" spans="1:13" ht="19" customHeight="1">
      <c r="A181" s="62" t="s">
        <v>287</v>
      </c>
      <c r="B181" s="47"/>
      <c r="C181" s="47" t="s">
        <v>217</v>
      </c>
      <c r="D181" s="47" t="s">
        <v>146</v>
      </c>
      <c r="E181" s="47" t="s">
        <v>60</v>
      </c>
      <c r="F181" s="48">
        <v>5</v>
      </c>
      <c r="G181" s="48">
        <f>VLOOKUP(D181,단가!B:D,3,0)</f>
        <v>10500</v>
      </c>
      <c r="H181" s="48">
        <f t="shared" si="8"/>
        <v>52500</v>
      </c>
      <c r="I181" s="48">
        <f t="shared" si="9"/>
        <v>5250</v>
      </c>
      <c r="J181" s="49">
        <f t="shared" ref="J181:J244" si="10">H181+I181</f>
        <v>57750</v>
      </c>
      <c r="K181" s="53"/>
      <c r="L181" s="28"/>
    </row>
    <row r="182" spans="1:13" ht="19" customHeight="1">
      <c r="A182" s="62" t="s">
        <v>287</v>
      </c>
      <c r="B182" s="47"/>
      <c r="C182" s="47" t="s">
        <v>217</v>
      </c>
      <c r="D182" s="47" t="s">
        <v>147</v>
      </c>
      <c r="E182" s="47" t="s">
        <v>60</v>
      </c>
      <c r="F182" s="48">
        <v>5</v>
      </c>
      <c r="G182" s="48">
        <f>VLOOKUP(D182,단가!B:D,3,0)</f>
        <v>10500</v>
      </c>
      <c r="H182" s="48">
        <f t="shared" ref="H182:H245" si="11">F182*G182</f>
        <v>52500</v>
      </c>
      <c r="I182" s="48">
        <f t="shared" ref="I182:I245" si="12">H182*0.1</f>
        <v>5250</v>
      </c>
      <c r="J182" s="49">
        <f t="shared" si="10"/>
        <v>57750</v>
      </c>
      <c r="K182" s="53"/>
    </row>
    <row r="183" spans="1:13" ht="19" customHeight="1">
      <c r="A183" s="62" t="s">
        <v>287</v>
      </c>
      <c r="B183" s="47"/>
      <c r="C183" s="47" t="s">
        <v>217</v>
      </c>
      <c r="D183" s="47" t="s">
        <v>148</v>
      </c>
      <c r="E183" s="47" t="s">
        <v>60</v>
      </c>
      <c r="F183" s="48">
        <v>5</v>
      </c>
      <c r="G183" s="48">
        <f>VLOOKUP(D183,단가!B:D,3,0)</f>
        <v>10500</v>
      </c>
      <c r="H183" s="48">
        <f t="shared" si="11"/>
        <v>52500</v>
      </c>
      <c r="I183" s="48">
        <f t="shared" si="12"/>
        <v>5250</v>
      </c>
      <c r="J183" s="49">
        <f t="shared" si="10"/>
        <v>57750</v>
      </c>
      <c r="K183" s="53"/>
    </row>
    <row r="184" spans="1:13" ht="19" customHeight="1">
      <c r="A184" s="62" t="s">
        <v>287</v>
      </c>
      <c r="B184" s="47"/>
      <c r="C184" s="47" t="s">
        <v>217</v>
      </c>
      <c r="D184" s="47" t="s">
        <v>149</v>
      </c>
      <c r="E184" s="47" t="s">
        <v>60</v>
      </c>
      <c r="F184" s="48">
        <v>5</v>
      </c>
      <c r="G184" s="48">
        <f>VLOOKUP(D184,단가!B:D,3,0)</f>
        <v>10500</v>
      </c>
      <c r="H184" s="48">
        <f t="shared" si="11"/>
        <v>52500</v>
      </c>
      <c r="I184" s="48">
        <f t="shared" si="12"/>
        <v>5250</v>
      </c>
      <c r="J184" s="49">
        <f t="shared" si="10"/>
        <v>57750</v>
      </c>
      <c r="K184" s="53"/>
    </row>
    <row r="185" spans="1:13" ht="19" customHeight="1">
      <c r="A185" s="62" t="s">
        <v>287</v>
      </c>
      <c r="B185" s="47"/>
      <c r="C185" s="47" t="s">
        <v>217</v>
      </c>
      <c r="D185" s="47" t="s">
        <v>150</v>
      </c>
      <c r="E185" s="47" t="s">
        <v>60</v>
      </c>
      <c r="F185" s="48">
        <v>5</v>
      </c>
      <c r="G185" s="48">
        <f>VLOOKUP(D185,단가!B:D,3,0)</f>
        <v>10500</v>
      </c>
      <c r="H185" s="48">
        <f t="shared" si="11"/>
        <v>52500</v>
      </c>
      <c r="I185" s="48">
        <f t="shared" si="12"/>
        <v>5250</v>
      </c>
      <c r="J185" s="49">
        <f t="shared" si="10"/>
        <v>57750</v>
      </c>
      <c r="K185" s="53"/>
    </row>
    <row r="186" spans="1:13" ht="19" customHeight="1">
      <c r="A186" s="62" t="s">
        <v>287</v>
      </c>
      <c r="B186" s="47"/>
      <c r="C186" s="47" t="s">
        <v>217</v>
      </c>
      <c r="D186" s="47" t="s">
        <v>151</v>
      </c>
      <c r="E186" s="47" t="s">
        <v>60</v>
      </c>
      <c r="F186" s="48">
        <v>5</v>
      </c>
      <c r="G186" s="48">
        <f>VLOOKUP(D186,단가!B:D,3,0)</f>
        <v>10500</v>
      </c>
      <c r="H186" s="48">
        <f t="shared" si="11"/>
        <v>52500</v>
      </c>
      <c r="I186" s="48">
        <f t="shared" si="12"/>
        <v>5250</v>
      </c>
      <c r="J186" s="49">
        <f t="shared" si="10"/>
        <v>57750</v>
      </c>
      <c r="K186" s="53"/>
    </row>
    <row r="187" spans="1:13" ht="19" customHeight="1">
      <c r="A187" s="62" t="s">
        <v>287</v>
      </c>
      <c r="B187" s="47"/>
      <c r="C187" s="47" t="s">
        <v>217</v>
      </c>
      <c r="D187" s="47" t="s">
        <v>152</v>
      </c>
      <c r="E187" s="47" t="s">
        <v>60</v>
      </c>
      <c r="F187" s="48">
        <v>5</v>
      </c>
      <c r="G187" s="48">
        <f>VLOOKUP(D187,단가!B:D,3,0)</f>
        <v>10500</v>
      </c>
      <c r="H187" s="48">
        <f t="shared" si="11"/>
        <v>52500</v>
      </c>
      <c r="I187" s="48">
        <f t="shared" si="12"/>
        <v>5250</v>
      </c>
      <c r="J187" s="49">
        <f t="shared" si="10"/>
        <v>57750</v>
      </c>
      <c r="K187" s="53"/>
    </row>
    <row r="188" spans="1:13" ht="19" customHeight="1">
      <c r="A188" s="62" t="s">
        <v>287</v>
      </c>
      <c r="B188" s="47"/>
      <c r="C188" s="47" t="s">
        <v>217</v>
      </c>
      <c r="D188" s="47" t="s">
        <v>153</v>
      </c>
      <c r="E188" s="47" t="s">
        <v>60</v>
      </c>
      <c r="F188" s="48">
        <v>5</v>
      </c>
      <c r="G188" s="48">
        <f>VLOOKUP(D188,단가!B:D,3,0)</f>
        <v>10500</v>
      </c>
      <c r="H188" s="48">
        <f t="shared" si="11"/>
        <v>52500</v>
      </c>
      <c r="I188" s="48">
        <f t="shared" si="12"/>
        <v>5250</v>
      </c>
      <c r="J188" s="49">
        <f t="shared" si="10"/>
        <v>57750</v>
      </c>
      <c r="K188" s="53"/>
    </row>
    <row r="189" spans="1:13" ht="19" customHeight="1">
      <c r="A189" s="62" t="s">
        <v>287</v>
      </c>
      <c r="B189" s="47"/>
      <c r="C189" s="47" t="s">
        <v>217</v>
      </c>
      <c r="D189" s="47" t="s">
        <v>154</v>
      </c>
      <c r="E189" s="47" t="s">
        <v>60</v>
      </c>
      <c r="F189" s="48">
        <v>5</v>
      </c>
      <c r="G189" s="48">
        <f>VLOOKUP(D189,단가!B:D,3,0)</f>
        <v>10500</v>
      </c>
      <c r="H189" s="48">
        <f t="shared" si="11"/>
        <v>52500</v>
      </c>
      <c r="I189" s="48">
        <f t="shared" si="12"/>
        <v>5250</v>
      </c>
      <c r="J189" s="49">
        <f t="shared" si="10"/>
        <v>57750</v>
      </c>
      <c r="K189" s="53"/>
    </row>
    <row r="190" spans="1:13" ht="19" customHeight="1">
      <c r="A190" s="62" t="s">
        <v>287</v>
      </c>
      <c r="B190" s="47"/>
      <c r="C190" s="47" t="s">
        <v>108</v>
      </c>
      <c r="D190" s="47" t="s">
        <v>62</v>
      </c>
      <c r="E190" s="47" t="s">
        <v>57</v>
      </c>
      <c r="F190" s="48">
        <v>1</v>
      </c>
      <c r="G190" s="48">
        <f>VLOOKUP(D190,단가!B:D,3,0)</f>
        <v>20000</v>
      </c>
      <c r="H190" s="48">
        <f t="shared" si="11"/>
        <v>20000</v>
      </c>
      <c r="I190" s="48">
        <f t="shared" si="12"/>
        <v>2000</v>
      </c>
      <c r="J190" s="49">
        <f t="shared" si="10"/>
        <v>22000</v>
      </c>
      <c r="K190" s="53"/>
    </row>
    <row r="191" spans="1:13" ht="19" customHeight="1">
      <c r="A191" s="62" t="s">
        <v>289</v>
      </c>
      <c r="B191" s="47"/>
      <c r="C191" s="47" t="s">
        <v>209</v>
      </c>
      <c r="D191" s="47" t="s">
        <v>61</v>
      </c>
      <c r="E191" s="47" t="s">
        <v>57</v>
      </c>
      <c r="F191" s="48">
        <v>8</v>
      </c>
      <c r="G191" s="48">
        <f>VLOOKUP(D191,단가!B:D,3,0)</f>
        <v>20000</v>
      </c>
      <c r="H191" s="48">
        <f t="shared" si="11"/>
        <v>160000</v>
      </c>
      <c r="I191" s="48">
        <f t="shared" si="12"/>
        <v>16000</v>
      </c>
      <c r="J191" s="49">
        <f t="shared" si="10"/>
        <v>176000</v>
      </c>
      <c r="K191" s="53"/>
    </row>
    <row r="192" spans="1:13" ht="19" customHeight="1">
      <c r="A192" s="62" t="s">
        <v>289</v>
      </c>
      <c r="B192" s="47"/>
      <c r="C192" s="47" t="s">
        <v>209</v>
      </c>
      <c r="D192" s="47" t="s">
        <v>149</v>
      </c>
      <c r="E192" s="47" t="s">
        <v>60</v>
      </c>
      <c r="F192" s="48">
        <v>1</v>
      </c>
      <c r="G192" s="48">
        <f>VLOOKUP(D192,단가!B:D,3,0)</f>
        <v>10500</v>
      </c>
      <c r="H192" s="48">
        <f t="shared" si="11"/>
        <v>10500</v>
      </c>
      <c r="I192" s="48">
        <f t="shared" si="12"/>
        <v>1050</v>
      </c>
      <c r="J192" s="49">
        <f t="shared" si="10"/>
        <v>11550</v>
      </c>
      <c r="K192" s="53"/>
      <c r="M192" s="28"/>
    </row>
    <row r="193" spans="1:12" ht="19" customHeight="1">
      <c r="A193" s="62" t="s">
        <v>289</v>
      </c>
      <c r="B193" s="47"/>
      <c r="C193" s="47" t="s">
        <v>209</v>
      </c>
      <c r="D193" s="47" t="s">
        <v>167</v>
      </c>
      <c r="E193" s="47" t="s">
        <v>92</v>
      </c>
      <c r="F193" s="48">
        <v>1</v>
      </c>
      <c r="G193" s="48">
        <f>VLOOKUP(D193,단가!B:D,3,0)</f>
        <v>10500</v>
      </c>
      <c r="H193" s="48">
        <f t="shared" si="11"/>
        <v>10500</v>
      </c>
      <c r="I193" s="48">
        <f t="shared" si="12"/>
        <v>1050</v>
      </c>
      <c r="J193" s="49">
        <f t="shared" si="10"/>
        <v>11550</v>
      </c>
      <c r="K193" s="53"/>
    </row>
    <row r="194" spans="1:12" ht="19" customHeight="1">
      <c r="A194" s="62" t="s">
        <v>289</v>
      </c>
      <c r="B194" s="47"/>
      <c r="C194" s="47" t="s">
        <v>209</v>
      </c>
      <c r="D194" s="47" t="s">
        <v>170</v>
      </c>
      <c r="E194" s="47" t="s">
        <v>92</v>
      </c>
      <c r="F194" s="48">
        <v>1</v>
      </c>
      <c r="G194" s="48">
        <f>VLOOKUP(D194,단가!B:D,3,0)</f>
        <v>10500</v>
      </c>
      <c r="H194" s="48">
        <f t="shared" si="11"/>
        <v>10500</v>
      </c>
      <c r="I194" s="48">
        <f t="shared" si="12"/>
        <v>1050</v>
      </c>
      <c r="J194" s="49">
        <f t="shared" si="10"/>
        <v>11550</v>
      </c>
      <c r="K194" s="53"/>
    </row>
    <row r="195" spans="1:12" ht="19" customHeight="1">
      <c r="A195" s="62" t="s">
        <v>289</v>
      </c>
      <c r="B195" s="47"/>
      <c r="C195" s="47" t="s">
        <v>217</v>
      </c>
      <c r="D195" s="47" t="s">
        <v>61</v>
      </c>
      <c r="E195" s="47" t="s">
        <v>57</v>
      </c>
      <c r="F195" s="48">
        <v>5</v>
      </c>
      <c r="G195" s="48">
        <f>VLOOKUP(D195,단가!B:D,3,0)</f>
        <v>20000</v>
      </c>
      <c r="H195" s="48">
        <f t="shared" si="11"/>
        <v>100000</v>
      </c>
      <c r="I195" s="48">
        <f t="shared" si="12"/>
        <v>10000</v>
      </c>
      <c r="J195" s="49">
        <f t="shared" si="10"/>
        <v>110000</v>
      </c>
      <c r="K195" s="53"/>
      <c r="L195" s="28"/>
    </row>
    <row r="196" spans="1:12" ht="19" customHeight="1">
      <c r="A196" s="62" t="s">
        <v>290</v>
      </c>
      <c r="B196" s="47"/>
      <c r="C196" s="47" t="s">
        <v>247</v>
      </c>
      <c r="D196" s="47" t="s">
        <v>62</v>
      </c>
      <c r="E196" s="47" t="s">
        <v>57</v>
      </c>
      <c r="F196" s="48">
        <v>10</v>
      </c>
      <c r="G196" s="48">
        <f>VLOOKUP(D196,단가!B:D,3,0)</f>
        <v>20000</v>
      </c>
      <c r="H196" s="48">
        <f t="shared" si="11"/>
        <v>200000</v>
      </c>
      <c r="I196" s="48">
        <f t="shared" si="12"/>
        <v>20000</v>
      </c>
      <c r="J196" s="49">
        <f t="shared" si="10"/>
        <v>220000</v>
      </c>
      <c r="K196" s="53"/>
    </row>
    <row r="197" spans="1:12" ht="19" customHeight="1">
      <c r="A197" s="62" t="s">
        <v>290</v>
      </c>
      <c r="B197" s="47"/>
      <c r="C197" s="47" t="s">
        <v>217</v>
      </c>
      <c r="D197" s="47" t="s">
        <v>146</v>
      </c>
      <c r="E197" s="47" t="s">
        <v>60</v>
      </c>
      <c r="F197" s="48">
        <v>5</v>
      </c>
      <c r="G197" s="48">
        <f>VLOOKUP(D197,단가!B:D,3,0)</f>
        <v>10500</v>
      </c>
      <c r="H197" s="48">
        <f t="shared" si="11"/>
        <v>52500</v>
      </c>
      <c r="I197" s="48">
        <f t="shared" si="12"/>
        <v>5250</v>
      </c>
      <c r="J197" s="49">
        <f t="shared" si="10"/>
        <v>57750</v>
      </c>
      <c r="K197" s="53"/>
    </row>
    <row r="198" spans="1:12" ht="19" customHeight="1">
      <c r="A198" s="62" t="s">
        <v>290</v>
      </c>
      <c r="B198" s="47"/>
      <c r="C198" s="47" t="s">
        <v>217</v>
      </c>
      <c r="D198" s="47" t="s">
        <v>147</v>
      </c>
      <c r="E198" s="47" t="s">
        <v>60</v>
      </c>
      <c r="F198" s="48">
        <v>5</v>
      </c>
      <c r="G198" s="48">
        <f>VLOOKUP(D198,단가!B:D,3,0)</f>
        <v>10500</v>
      </c>
      <c r="H198" s="48">
        <f t="shared" si="11"/>
        <v>52500</v>
      </c>
      <c r="I198" s="48">
        <f t="shared" si="12"/>
        <v>5250</v>
      </c>
      <c r="J198" s="49">
        <f t="shared" si="10"/>
        <v>57750</v>
      </c>
      <c r="K198" s="53"/>
    </row>
    <row r="199" spans="1:12" ht="19" customHeight="1">
      <c r="A199" s="62" t="s">
        <v>290</v>
      </c>
      <c r="B199" s="47"/>
      <c r="C199" s="47" t="s">
        <v>217</v>
      </c>
      <c r="D199" s="47" t="s">
        <v>152</v>
      </c>
      <c r="E199" s="47" t="s">
        <v>60</v>
      </c>
      <c r="F199" s="48">
        <v>5</v>
      </c>
      <c r="G199" s="48">
        <f>VLOOKUP(D199,단가!B:D,3,0)</f>
        <v>10500</v>
      </c>
      <c r="H199" s="48">
        <f t="shared" si="11"/>
        <v>52500</v>
      </c>
      <c r="I199" s="48">
        <f t="shared" si="12"/>
        <v>5250</v>
      </c>
      <c r="J199" s="49">
        <f t="shared" si="10"/>
        <v>57750</v>
      </c>
      <c r="K199" s="53"/>
    </row>
    <row r="200" spans="1:12" ht="19" customHeight="1">
      <c r="A200" s="62" t="s">
        <v>293</v>
      </c>
      <c r="B200" s="47"/>
      <c r="C200" s="47" t="s">
        <v>127</v>
      </c>
      <c r="D200" s="47" t="s">
        <v>137</v>
      </c>
      <c r="E200" s="47" t="s">
        <v>57</v>
      </c>
      <c r="F200" s="48">
        <v>10</v>
      </c>
      <c r="G200" s="48">
        <f>VLOOKUP(D200,단가!B:D,3,0)</f>
        <v>19000</v>
      </c>
      <c r="H200" s="48">
        <f t="shared" si="11"/>
        <v>190000</v>
      </c>
      <c r="I200" s="48">
        <f t="shared" si="12"/>
        <v>19000</v>
      </c>
      <c r="J200" s="49">
        <f t="shared" si="10"/>
        <v>209000</v>
      </c>
      <c r="K200" s="53"/>
    </row>
    <row r="201" spans="1:12" ht="19" customHeight="1">
      <c r="A201" s="62" t="s">
        <v>293</v>
      </c>
      <c r="B201" s="47"/>
      <c r="C201" s="47" t="s">
        <v>217</v>
      </c>
      <c r="D201" s="47" t="s">
        <v>146</v>
      </c>
      <c r="E201" s="47" t="s">
        <v>60</v>
      </c>
      <c r="F201" s="48">
        <v>5</v>
      </c>
      <c r="G201" s="48">
        <f>VLOOKUP(D201,단가!B:D,3,0)</f>
        <v>10500</v>
      </c>
      <c r="H201" s="48">
        <f t="shared" si="11"/>
        <v>52500</v>
      </c>
      <c r="I201" s="48">
        <f t="shared" si="12"/>
        <v>5250</v>
      </c>
      <c r="J201" s="49">
        <f t="shared" si="10"/>
        <v>57750</v>
      </c>
      <c r="K201" s="53"/>
    </row>
    <row r="202" spans="1:12" ht="19" customHeight="1">
      <c r="A202" s="62" t="s">
        <v>293</v>
      </c>
      <c r="B202" s="47"/>
      <c r="C202" s="47" t="s">
        <v>217</v>
      </c>
      <c r="D202" s="47" t="s">
        <v>149</v>
      </c>
      <c r="E202" s="47" t="s">
        <v>60</v>
      </c>
      <c r="F202" s="48">
        <v>5</v>
      </c>
      <c r="G202" s="48">
        <f>VLOOKUP(D202,단가!B:D,3,0)</f>
        <v>10500</v>
      </c>
      <c r="H202" s="48">
        <f t="shared" si="11"/>
        <v>52500</v>
      </c>
      <c r="I202" s="48">
        <f t="shared" si="12"/>
        <v>5250</v>
      </c>
      <c r="J202" s="49">
        <f t="shared" si="10"/>
        <v>57750</v>
      </c>
      <c r="K202" s="53"/>
    </row>
    <row r="203" spans="1:12" ht="19" customHeight="1">
      <c r="A203" s="62" t="s">
        <v>293</v>
      </c>
      <c r="B203" s="47"/>
      <c r="C203" s="47" t="s">
        <v>217</v>
      </c>
      <c r="D203" s="47" t="s">
        <v>150</v>
      </c>
      <c r="E203" s="47" t="s">
        <v>60</v>
      </c>
      <c r="F203" s="48">
        <v>5</v>
      </c>
      <c r="G203" s="48">
        <f>VLOOKUP(D203,단가!B:D,3,0)</f>
        <v>10500</v>
      </c>
      <c r="H203" s="48">
        <f t="shared" si="11"/>
        <v>52500</v>
      </c>
      <c r="I203" s="48">
        <f t="shared" si="12"/>
        <v>5250</v>
      </c>
      <c r="J203" s="49">
        <f t="shared" si="10"/>
        <v>57750</v>
      </c>
      <c r="K203" s="53"/>
    </row>
    <row r="204" spans="1:12" ht="19" customHeight="1">
      <c r="A204" s="62" t="s">
        <v>300</v>
      </c>
      <c r="B204" s="47"/>
      <c r="C204" s="47" t="s">
        <v>294</v>
      </c>
      <c r="D204" s="47" t="s">
        <v>302</v>
      </c>
      <c r="E204" s="47" t="s">
        <v>57</v>
      </c>
      <c r="F204" s="48">
        <v>1</v>
      </c>
      <c r="G204" s="48">
        <f>VLOOKUP(D204,단가!B:D,3,0)</f>
        <v>22000</v>
      </c>
      <c r="H204" s="48">
        <f t="shared" si="11"/>
        <v>22000</v>
      </c>
      <c r="I204" s="48">
        <f t="shared" si="12"/>
        <v>2200</v>
      </c>
      <c r="J204" s="49">
        <f t="shared" si="10"/>
        <v>24200</v>
      </c>
      <c r="K204" s="53"/>
    </row>
    <row r="205" spans="1:12" ht="19" customHeight="1">
      <c r="A205" s="62" t="s">
        <v>300</v>
      </c>
      <c r="B205" s="47"/>
      <c r="C205" s="47" t="s">
        <v>294</v>
      </c>
      <c r="D205" s="47" t="s">
        <v>61</v>
      </c>
      <c r="E205" s="47" t="s">
        <v>57</v>
      </c>
      <c r="F205" s="48">
        <v>2</v>
      </c>
      <c r="G205" s="48">
        <f>VLOOKUP(D205,단가!B:D,3,0)</f>
        <v>20000</v>
      </c>
      <c r="H205" s="48">
        <f t="shared" si="11"/>
        <v>40000</v>
      </c>
      <c r="I205" s="48">
        <f t="shared" si="12"/>
        <v>4000</v>
      </c>
      <c r="J205" s="49">
        <f t="shared" si="10"/>
        <v>44000</v>
      </c>
      <c r="K205" s="53"/>
    </row>
    <row r="206" spans="1:12" ht="19" customHeight="1">
      <c r="A206" s="62" t="s">
        <v>303</v>
      </c>
      <c r="B206" s="47"/>
      <c r="C206" s="47" t="s">
        <v>123</v>
      </c>
      <c r="D206" s="47" t="s">
        <v>137</v>
      </c>
      <c r="E206" s="47" t="s">
        <v>57</v>
      </c>
      <c r="F206" s="48">
        <v>10</v>
      </c>
      <c r="G206" s="48">
        <f>VLOOKUP(D206,단가!B:D,3,0)</f>
        <v>19000</v>
      </c>
      <c r="H206" s="48">
        <f t="shared" si="11"/>
        <v>190000</v>
      </c>
      <c r="I206" s="48">
        <f t="shared" si="12"/>
        <v>19000</v>
      </c>
      <c r="J206" s="49">
        <f t="shared" si="10"/>
        <v>209000</v>
      </c>
      <c r="K206" s="53"/>
    </row>
    <row r="207" spans="1:12" ht="19" customHeight="1">
      <c r="A207" s="62" t="s">
        <v>303</v>
      </c>
      <c r="B207" s="47"/>
      <c r="C207" s="47" t="s">
        <v>123</v>
      </c>
      <c r="D207" s="47" t="s">
        <v>129</v>
      </c>
      <c r="E207" s="47" t="s">
        <v>131</v>
      </c>
      <c r="F207" s="48">
        <v>2</v>
      </c>
      <c r="G207" s="48">
        <f>VLOOKUP(D207,단가!B:D,3,0)</f>
        <v>6000</v>
      </c>
      <c r="H207" s="48">
        <f t="shared" si="11"/>
        <v>12000</v>
      </c>
      <c r="I207" s="48">
        <f t="shared" si="12"/>
        <v>1200</v>
      </c>
      <c r="J207" s="49">
        <f t="shared" si="10"/>
        <v>13200</v>
      </c>
      <c r="K207" s="53"/>
    </row>
    <row r="208" spans="1:12" ht="19" customHeight="1">
      <c r="A208" s="62" t="s">
        <v>303</v>
      </c>
      <c r="B208" s="47"/>
      <c r="C208" s="47" t="s">
        <v>123</v>
      </c>
      <c r="D208" s="47" t="s">
        <v>130</v>
      </c>
      <c r="E208" s="47" t="s">
        <v>131</v>
      </c>
      <c r="F208" s="48">
        <v>2</v>
      </c>
      <c r="G208" s="48">
        <f>VLOOKUP(D208,단가!B:D,3,0)</f>
        <v>8000</v>
      </c>
      <c r="H208" s="48">
        <f t="shared" si="11"/>
        <v>16000</v>
      </c>
      <c r="I208" s="48">
        <f t="shared" si="12"/>
        <v>1600</v>
      </c>
      <c r="J208" s="49">
        <f t="shared" si="10"/>
        <v>17600</v>
      </c>
      <c r="K208" s="53"/>
    </row>
    <row r="209" spans="1:11" ht="19" customHeight="1">
      <c r="A209" s="62" t="s">
        <v>304</v>
      </c>
      <c r="B209" s="47"/>
      <c r="C209" s="47" t="s">
        <v>217</v>
      </c>
      <c r="D209" s="47" t="s">
        <v>61</v>
      </c>
      <c r="E209" s="47" t="s">
        <v>57</v>
      </c>
      <c r="F209" s="48">
        <v>5</v>
      </c>
      <c r="G209" s="48">
        <f>VLOOKUP(D209,단가!B:D,3,0)</f>
        <v>20000</v>
      </c>
      <c r="H209" s="48">
        <f t="shared" si="11"/>
        <v>100000</v>
      </c>
      <c r="I209" s="48">
        <f t="shared" si="12"/>
        <v>10000</v>
      </c>
      <c r="J209" s="49">
        <f t="shared" si="10"/>
        <v>110000</v>
      </c>
      <c r="K209" s="53"/>
    </row>
    <row r="210" spans="1:11" ht="19" customHeight="1">
      <c r="A210" s="62" t="s">
        <v>305</v>
      </c>
      <c r="B210" s="47"/>
      <c r="C210" s="47" t="s">
        <v>217</v>
      </c>
      <c r="D210" s="47" t="s">
        <v>148</v>
      </c>
      <c r="E210" s="47" t="s">
        <v>60</v>
      </c>
      <c r="F210" s="48">
        <v>5</v>
      </c>
      <c r="G210" s="48">
        <f>VLOOKUP(D210,단가!B:D,3,0)</f>
        <v>10500</v>
      </c>
      <c r="H210" s="48">
        <f t="shared" si="11"/>
        <v>52500</v>
      </c>
      <c r="I210" s="48">
        <f t="shared" si="12"/>
        <v>5250</v>
      </c>
      <c r="J210" s="49">
        <f t="shared" si="10"/>
        <v>57750</v>
      </c>
      <c r="K210" s="53"/>
    </row>
    <row r="211" spans="1:11" ht="19" customHeight="1">
      <c r="A211" s="62" t="s">
        <v>305</v>
      </c>
      <c r="B211" s="47"/>
      <c r="C211" s="47" t="s">
        <v>217</v>
      </c>
      <c r="D211" s="47" t="s">
        <v>146</v>
      </c>
      <c r="E211" s="47" t="s">
        <v>60</v>
      </c>
      <c r="F211" s="48">
        <v>5</v>
      </c>
      <c r="G211" s="48">
        <f>VLOOKUP(D211,단가!B:D,3,0)</f>
        <v>10500</v>
      </c>
      <c r="H211" s="48">
        <f t="shared" si="11"/>
        <v>52500</v>
      </c>
      <c r="I211" s="48">
        <f t="shared" si="12"/>
        <v>5250</v>
      </c>
      <c r="J211" s="49">
        <f t="shared" si="10"/>
        <v>57750</v>
      </c>
      <c r="K211" s="53"/>
    </row>
    <row r="212" spans="1:11" ht="19" customHeight="1">
      <c r="A212" s="62" t="s">
        <v>306</v>
      </c>
      <c r="B212" s="47"/>
      <c r="C212" s="47" t="s">
        <v>294</v>
      </c>
      <c r="D212" s="47" t="s">
        <v>61</v>
      </c>
      <c r="E212" s="47" t="s">
        <v>57</v>
      </c>
      <c r="F212" s="48">
        <v>3</v>
      </c>
      <c r="G212" s="48">
        <f>VLOOKUP(D212,단가!B:D,3,0)</f>
        <v>20000</v>
      </c>
      <c r="H212" s="48">
        <f t="shared" si="11"/>
        <v>60000</v>
      </c>
      <c r="I212" s="48">
        <f t="shared" si="12"/>
        <v>6000</v>
      </c>
      <c r="J212" s="49">
        <f t="shared" si="10"/>
        <v>66000</v>
      </c>
      <c r="K212" s="53"/>
    </row>
    <row r="213" spans="1:11" ht="19" customHeight="1">
      <c r="A213" s="62" t="s">
        <v>306</v>
      </c>
      <c r="B213" s="47"/>
      <c r="C213" s="47" t="s">
        <v>294</v>
      </c>
      <c r="D213" s="47" t="s">
        <v>302</v>
      </c>
      <c r="E213" s="47" t="s">
        <v>57</v>
      </c>
      <c r="F213" s="48">
        <v>1</v>
      </c>
      <c r="G213" s="48">
        <f>VLOOKUP(D213,단가!B:D,3,0)</f>
        <v>22000</v>
      </c>
      <c r="H213" s="48">
        <f t="shared" si="11"/>
        <v>22000</v>
      </c>
      <c r="I213" s="48">
        <f t="shared" si="12"/>
        <v>2200</v>
      </c>
      <c r="J213" s="49">
        <f t="shared" si="10"/>
        <v>24200</v>
      </c>
      <c r="K213" s="53"/>
    </row>
    <row r="214" spans="1:11" ht="19" customHeight="1">
      <c r="A214" s="62" t="s">
        <v>306</v>
      </c>
      <c r="B214" s="47"/>
      <c r="C214" s="47" t="s">
        <v>294</v>
      </c>
      <c r="D214" s="47" t="s">
        <v>307</v>
      </c>
      <c r="E214" s="47" t="s">
        <v>92</v>
      </c>
      <c r="F214" s="48">
        <v>2</v>
      </c>
      <c r="G214" s="48">
        <f>VLOOKUP(D214,단가!B:D,3,0)</f>
        <v>10500</v>
      </c>
      <c r="H214" s="48">
        <f t="shared" si="11"/>
        <v>21000</v>
      </c>
      <c r="I214" s="48">
        <f t="shared" si="12"/>
        <v>2100</v>
      </c>
      <c r="J214" s="49">
        <f t="shared" si="10"/>
        <v>23100</v>
      </c>
      <c r="K214" s="53"/>
    </row>
    <row r="215" spans="1:11" ht="19" customHeight="1">
      <c r="A215" s="62" t="s">
        <v>308</v>
      </c>
      <c r="B215" s="47"/>
      <c r="C215" s="47" t="s">
        <v>209</v>
      </c>
      <c r="D215" s="47" t="s">
        <v>61</v>
      </c>
      <c r="E215" s="47" t="s">
        <v>57</v>
      </c>
      <c r="F215" s="48">
        <v>10</v>
      </c>
      <c r="G215" s="48">
        <f>VLOOKUP(D215,단가!B:D,3,0)</f>
        <v>20000</v>
      </c>
      <c r="H215" s="48">
        <f t="shared" si="11"/>
        <v>200000</v>
      </c>
      <c r="I215" s="48">
        <f t="shared" si="12"/>
        <v>20000</v>
      </c>
      <c r="J215" s="49">
        <f t="shared" si="10"/>
        <v>220000</v>
      </c>
      <c r="K215" s="53"/>
    </row>
    <row r="216" spans="1:11" ht="19" customHeight="1">
      <c r="A216" s="62" t="s">
        <v>308</v>
      </c>
      <c r="B216" s="47"/>
      <c r="C216" s="47" t="s">
        <v>209</v>
      </c>
      <c r="D216" s="47" t="s">
        <v>302</v>
      </c>
      <c r="E216" s="47" t="s">
        <v>57</v>
      </c>
      <c r="F216" s="48">
        <v>1</v>
      </c>
      <c r="G216" s="48">
        <f>VLOOKUP(D216,단가!B:D,3,0)</f>
        <v>22000</v>
      </c>
      <c r="H216" s="48">
        <f t="shared" si="11"/>
        <v>22000</v>
      </c>
      <c r="I216" s="48">
        <f t="shared" si="12"/>
        <v>2200</v>
      </c>
      <c r="J216" s="49">
        <f t="shared" si="10"/>
        <v>24200</v>
      </c>
      <c r="K216" s="53"/>
    </row>
    <row r="217" spans="1:11" ht="19" customHeight="1">
      <c r="A217" s="62" t="s">
        <v>308</v>
      </c>
      <c r="B217" s="47"/>
      <c r="C217" s="47" t="s">
        <v>209</v>
      </c>
      <c r="D217" s="47" t="s">
        <v>149</v>
      </c>
      <c r="E217" s="47" t="s">
        <v>60</v>
      </c>
      <c r="F217" s="48">
        <v>1</v>
      </c>
      <c r="G217" s="48">
        <f>VLOOKUP(D217,단가!B:D,3,0)</f>
        <v>10500</v>
      </c>
      <c r="H217" s="48">
        <f t="shared" si="11"/>
        <v>10500</v>
      </c>
      <c r="I217" s="48">
        <f t="shared" si="12"/>
        <v>1050</v>
      </c>
      <c r="J217" s="49">
        <f t="shared" si="10"/>
        <v>11550</v>
      </c>
      <c r="K217" s="53"/>
    </row>
    <row r="218" spans="1:11" ht="19" customHeight="1">
      <c r="A218" s="62" t="s">
        <v>308</v>
      </c>
      <c r="B218" s="47"/>
      <c r="C218" s="47" t="s">
        <v>209</v>
      </c>
      <c r="D218" s="47" t="s">
        <v>153</v>
      </c>
      <c r="E218" s="47" t="s">
        <v>60</v>
      </c>
      <c r="F218" s="48">
        <v>1</v>
      </c>
      <c r="G218" s="48">
        <f>VLOOKUP(D218,단가!B:D,3,0)</f>
        <v>10500</v>
      </c>
      <c r="H218" s="48">
        <f t="shared" si="11"/>
        <v>10500</v>
      </c>
      <c r="I218" s="48">
        <f t="shared" si="12"/>
        <v>1050</v>
      </c>
      <c r="J218" s="49">
        <f t="shared" si="10"/>
        <v>11550</v>
      </c>
      <c r="K218" s="53"/>
    </row>
    <row r="219" spans="1:11" ht="19" customHeight="1">
      <c r="A219" s="62" t="s">
        <v>308</v>
      </c>
      <c r="B219" s="47"/>
      <c r="C219" s="47" t="s">
        <v>209</v>
      </c>
      <c r="D219" s="47" t="s">
        <v>148</v>
      </c>
      <c r="E219" s="47" t="s">
        <v>60</v>
      </c>
      <c r="F219" s="48">
        <v>1</v>
      </c>
      <c r="G219" s="48">
        <f>VLOOKUP(D219,단가!B:D,3,0)</f>
        <v>10500</v>
      </c>
      <c r="H219" s="48">
        <f t="shared" si="11"/>
        <v>10500</v>
      </c>
      <c r="I219" s="48">
        <f t="shared" si="12"/>
        <v>1050</v>
      </c>
      <c r="J219" s="49">
        <f t="shared" si="10"/>
        <v>11550</v>
      </c>
      <c r="K219" s="53"/>
    </row>
    <row r="220" spans="1:11" ht="19" customHeight="1">
      <c r="A220" s="62" t="s">
        <v>308</v>
      </c>
      <c r="B220" s="47"/>
      <c r="C220" s="47" t="s">
        <v>209</v>
      </c>
      <c r="D220" s="47" t="s">
        <v>146</v>
      </c>
      <c r="E220" s="47" t="s">
        <v>60</v>
      </c>
      <c r="F220" s="48">
        <v>2</v>
      </c>
      <c r="G220" s="48">
        <f>VLOOKUP(D220,단가!B:D,3,0)</f>
        <v>10500</v>
      </c>
      <c r="H220" s="48">
        <f t="shared" si="11"/>
        <v>21000</v>
      </c>
      <c r="I220" s="48">
        <f t="shared" si="12"/>
        <v>2100</v>
      </c>
      <c r="J220" s="49">
        <f t="shared" si="10"/>
        <v>23100</v>
      </c>
      <c r="K220" s="53"/>
    </row>
    <row r="221" spans="1:11" ht="19" customHeight="1">
      <c r="A221" s="62" t="s">
        <v>308</v>
      </c>
      <c r="B221" s="47"/>
      <c r="C221" s="47" t="s">
        <v>209</v>
      </c>
      <c r="D221" s="47" t="s">
        <v>164</v>
      </c>
      <c r="E221" s="47" t="s">
        <v>92</v>
      </c>
      <c r="F221" s="48">
        <v>1</v>
      </c>
      <c r="G221" s="48">
        <f>VLOOKUP(D221,단가!B:D,3,0)</f>
        <v>10500</v>
      </c>
      <c r="H221" s="48">
        <f t="shared" si="11"/>
        <v>10500</v>
      </c>
      <c r="I221" s="48">
        <f t="shared" si="12"/>
        <v>1050</v>
      </c>
      <c r="J221" s="49">
        <f t="shared" si="10"/>
        <v>11550</v>
      </c>
      <c r="K221" s="53"/>
    </row>
    <row r="222" spans="1:11" ht="19" customHeight="1">
      <c r="A222" s="62" t="s">
        <v>308</v>
      </c>
      <c r="B222" s="47"/>
      <c r="C222" s="47" t="s">
        <v>209</v>
      </c>
      <c r="D222" s="67" t="s">
        <v>173</v>
      </c>
      <c r="E222" s="47" t="s">
        <v>92</v>
      </c>
      <c r="F222" s="48">
        <v>1</v>
      </c>
      <c r="G222" s="48">
        <f>VLOOKUP(D222,단가!B:D,3,0)</f>
        <v>10500</v>
      </c>
      <c r="H222" s="48">
        <f t="shared" si="11"/>
        <v>10500</v>
      </c>
      <c r="I222" s="48">
        <f t="shared" si="12"/>
        <v>1050</v>
      </c>
      <c r="J222" s="49">
        <f t="shared" si="10"/>
        <v>11550</v>
      </c>
      <c r="K222" s="53"/>
    </row>
    <row r="223" spans="1:11" ht="19" customHeight="1">
      <c r="A223" s="62" t="s">
        <v>308</v>
      </c>
      <c r="B223" s="47"/>
      <c r="C223" s="47" t="s">
        <v>209</v>
      </c>
      <c r="D223" s="47" t="s">
        <v>162</v>
      </c>
      <c r="E223" s="47" t="s">
        <v>92</v>
      </c>
      <c r="F223" s="48">
        <v>1</v>
      </c>
      <c r="G223" s="48">
        <f>VLOOKUP(D223,단가!B:D,3,0)</f>
        <v>10500</v>
      </c>
      <c r="H223" s="48">
        <f t="shared" si="11"/>
        <v>10500</v>
      </c>
      <c r="I223" s="48">
        <f t="shared" si="12"/>
        <v>1050</v>
      </c>
      <c r="J223" s="49">
        <f t="shared" si="10"/>
        <v>11550</v>
      </c>
      <c r="K223" s="53"/>
    </row>
    <row r="224" spans="1:11" ht="19" customHeight="1">
      <c r="A224" s="62" t="s">
        <v>310</v>
      </c>
      <c r="B224" s="47"/>
      <c r="C224" s="47" t="s">
        <v>201</v>
      </c>
      <c r="D224" s="47" t="s">
        <v>137</v>
      </c>
      <c r="E224" s="47" t="s">
        <v>57</v>
      </c>
      <c r="F224" s="48">
        <v>10</v>
      </c>
      <c r="G224" s="48">
        <f>VLOOKUP(D224,단가!B:D,3,0)</f>
        <v>19000</v>
      </c>
      <c r="H224" s="48">
        <f t="shared" si="11"/>
        <v>190000</v>
      </c>
      <c r="I224" s="48">
        <f t="shared" si="12"/>
        <v>19000</v>
      </c>
      <c r="J224" s="49">
        <f t="shared" si="10"/>
        <v>209000</v>
      </c>
      <c r="K224" s="53"/>
    </row>
    <row r="225" spans="1:11" ht="19" customHeight="1">
      <c r="A225" s="62" t="s">
        <v>310</v>
      </c>
      <c r="B225" s="47"/>
      <c r="C225" s="47" t="s">
        <v>201</v>
      </c>
      <c r="D225" s="47" t="s">
        <v>130</v>
      </c>
      <c r="E225" s="47" t="s">
        <v>131</v>
      </c>
      <c r="F225" s="48">
        <v>2</v>
      </c>
      <c r="G225" s="48">
        <f>VLOOKUP(D225,단가!B:D,3,0)</f>
        <v>8000</v>
      </c>
      <c r="H225" s="48">
        <f t="shared" si="11"/>
        <v>16000</v>
      </c>
      <c r="I225" s="48">
        <f t="shared" si="12"/>
        <v>1600</v>
      </c>
      <c r="J225" s="49">
        <f t="shared" si="10"/>
        <v>17600</v>
      </c>
      <c r="K225" s="53"/>
    </row>
    <row r="226" spans="1:11" ht="19" customHeight="1">
      <c r="A226" s="62" t="s">
        <v>310</v>
      </c>
      <c r="B226" s="47"/>
      <c r="C226" s="47" t="s">
        <v>217</v>
      </c>
      <c r="D226" s="47" t="s">
        <v>61</v>
      </c>
      <c r="E226" s="47" t="s">
        <v>57</v>
      </c>
      <c r="F226" s="48">
        <v>5</v>
      </c>
      <c r="G226" s="48">
        <f>VLOOKUP(D226,단가!B:D,3,0)</f>
        <v>20000</v>
      </c>
      <c r="H226" s="48">
        <f t="shared" si="11"/>
        <v>100000</v>
      </c>
      <c r="I226" s="48">
        <f t="shared" si="12"/>
        <v>10000</v>
      </c>
      <c r="J226" s="49">
        <f t="shared" si="10"/>
        <v>110000</v>
      </c>
      <c r="K226" s="53"/>
    </row>
    <row r="227" spans="1:11" ht="19" customHeight="1">
      <c r="A227" s="62" t="s">
        <v>310</v>
      </c>
      <c r="B227" s="47"/>
      <c r="C227" s="47" t="s">
        <v>217</v>
      </c>
      <c r="D227" s="47" t="s">
        <v>302</v>
      </c>
      <c r="E227" s="47" t="s">
        <v>57</v>
      </c>
      <c r="F227" s="48">
        <v>1</v>
      </c>
      <c r="G227" s="48">
        <f>VLOOKUP(D227,단가!B:D,3,0)</f>
        <v>22000</v>
      </c>
      <c r="H227" s="48">
        <f t="shared" si="11"/>
        <v>22000</v>
      </c>
      <c r="I227" s="48">
        <f t="shared" si="12"/>
        <v>2200</v>
      </c>
      <c r="J227" s="49">
        <f t="shared" si="10"/>
        <v>24200</v>
      </c>
      <c r="K227" s="53"/>
    </row>
    <row r="228" spans="1:11" ht="19" customHeight="1">
      <c r="A228" s="62" t="s">
        <v>310</v>
      </c>
      <c r="B228" s="47"/>
      <c r="C228" s="47" t="s">
        <v>217</v>
      </c>
      <c r="D228" s="47" t="s">
        <v>151</v>
      </c>
      <c r="E228" s="47" t="s">
        <v>60</v>
      </c>
      <c r="F228" s="48">
        <v>5</v>
      </c>
      <c r="G228" s="48">
        <f>VLOOKUP(D228,단가!B:D,3,0)</f>
        <v>10500</v>
      </c>
      <c r="H228" s="48">
        <f t="shared" si="11"/>
        <v>52500</v>
      </c>
      <c r="I228" s="48">
        <f t="shared" si="12"/>
        <v>5250</v>
      </c>
      <c r="J228" s="49">
        <f t="shared" si="10"/>
        <v>57750</v>
      </c>
      <c r="K228" s="53"/>
    </row>
    <row r="229" spans="1:11" ht="19" customHeight="1">
      <c r="A229" s="62" t="s">
        <v>310</v>
      </c>
      <c r="B229" s="47"/>
      <c r="C229" s="47" t="s">
        <v>217</v>
      </c>
      <c r="D229" s="47" t="s">
        <v>153</v>
      </c>
      <c r="E229" s="47" t="s">
        <v>60</v>
      </c>
      <c r="F229" s="48">
        <v>5</v>
      </c>
      <c r="G229" s="48">
        <f>VLOOKUP(D229,단가!B:D,3,0)</f>
        <v>10500</v>
      </c>
      <c r="H229" s="48">
        <f t="shared" si="11"/>
        <v>52500</v>
      </c>
      <c r="I229" s="48">
        <f t="shared" si="12"/>
        <v>5250</v>
      </c>
      <c r="J229" s="49">
        <f t="shared" si="10"/>
        <v>57750</v>
      </c>
      <c r="K229" s="53"/>
    </row>
    <row r="230" spans="1:11" ht="19" customHeight="1">
      <c r="A230" s="62" t="s">
        <v>310</v>
      </c>
      <c r="B230" s="47"/>
      <c r="C230" s="47" t="s">
        <v>217</v>
      </c>
      <c r="D230" s="47" t="s">
        <v>154</v>
      </c>
      <c r="E230" s="47" t="s">
        <v>60</v>
      </c>
      <c r="F230" s="48">
        <v>5</v>
      </c>
      <c r="G230" s="48">
        <f>VLOOKUP(D230,단가!B:D,3,0)</f>
        <v>10500</v>
      </c>
      <c r="H230" s="48">
        <f t="shared" si="11"/>
        <v>52500</v>
      </c>
      <c r="I230" s="48">
        <f t="shared" si="12"/>
        <v>5250</v>
      </c>
      <c r="J230" s="49">
        <f t="shared" si="10"/>
        <v>57750</v>
      </c>
      <c r="K230" s="53"/>
    </row>
    <row r="231" spans="1:11" ht="19" customHeight="1">
      <c r="A231" s="62" t="s">
        <v>310</v>
      </c>
      <c r="B231" s="47"/>
      <c r="C231" s="47" t="s">
        <v>217</v>
      </c>
      <c r="D231" s="47" t="s">
        <v>147</v>
      </c>
      <c r="E231" s="47" t="s">
        <v>60</v>
      </c>
      <c r="F231" s="48">
        <v>5</v>
      </c>
      <c r="G231" s="48">
        <f>VLOOKUP(D231,단가!B:D,3,0)</f>
        <v>10500</v>
      </c>
      <c r="H231" s="48">
        <f t="shared" si="11"/>
        <v>52500</v>
      </c>
      <c r="I231" s="48">
        <f t="shared" si="12"/>
        <v>5250</v>
      </c>
      <c r="J231" s="49">
        <f t="shared" si="10"/>
        <v>57750</v>
      </c>
      <c r="K231" s="53"/>
    </row>
    <row r="232" spans="1:11" ht="19" customHeight="1">
      <c r="A232" s="62" t="s">
        <v>310</v>
      </c>
      <c r="B232" s="47"/>
      <c r="C232" s="47" t="s">
        <v>217</v>
      </c>
      <c r="D232" s="47" t="s">
        <v>150</v>
      </c>
      <c r="E232" s="47" t="s">
        <v>60</v>
      </c>
      <c r="F232" s="48">
        <v>5</v>
      </c>
      <c r="G232" s="48">
        <f>VLOOKUP(D232,단가!B:D,3,0)</f>
        <v>10500</v>
      </c>
      <c r="H232" s="48">
        <f t="shared" si="11"/>
        <v>52500</v>
      </c>
      <c r="I232" s="48">
        <f t="shared" si="12"/>
        <v>5250</v>
      </c>
      <c r="J232" s="49">
        <f t="shared" si="10"/>
        <v>57750</v>
      </c>
      <c r="K232" s="53"/>
    </row>
    <row r="233" spans="1:11" ht="19" customHeight="1">
      <c r="A233" s="62" t="s">
        <v>310</v>
      </c>
      <c r="B233" s="47"/>
      <c r="C233" s="47" t="s">
        <v>217</v>
      </c>
      <c r="D233" s="47" t="s">
        <v>149</v>
      </c>
      <c r="E233" s="47" t="s">
        <v>60</v>
      </c>
      <c r="F233" s="48">
        <v>5</v>
      </c>
      <c r="G233" s="48">
        <f>VLOOKUP(D233,단가!B:D,3,0)</f>
        <v>10500</v>
      </c>
      <c r="H233" s="48">
        <f t="shared" si="11"/>
        <v>52500</v>
      </c>
      <c r="I233" s="48">
        <f t="shared" si="12"/>
        <v>5250</v>
      </c>
      <c r="J233" s="49">
        <f t="shared" si="10"/>
        <v>57750</v>
      </c>
      <c r="K233" s="53"/>
    </row>
    <row r="234" spans="1:11" ht="19" customHeight="1">
      <c r="A234" s="62" t="s">
        <v>310</v>
      </c>
      <c r="B234" s="47"/>
      <c r="C234" s="47" t="s">
        <v>217</v>
      </c>
      <c r="D234" s="47" t="s">
        <v>148</v>
      </c>
      <c r="E234" s="47" t="s">
        <v>60</v>
      </c>
      <c r="F234" s="48">
        <v>5</v>
      </c>
      <c r="G234" s="48">
        <f>VLOOKUP(D234,단가!B:D,3,0)</f>
        <v>10500</v>
      </c>
      <c r="H234" s="48">
        <f t="shared" si="11"/>
        <v>52500</v>
      </c>
      <c r="I234" s="48">
        <f t="shared" si="12"/>
        <v>5250</v>
      </c>
      <c r="J234" s="49">
        <f t="shared" si="10"/>
        <v>57750</v>
      </c>
      <c r="K234" s="53"/>
    </row>
    <row r="235" spans="1:11" ht="19" customHeight="1">
      <c r="A235" s="62" t="s">
        <v>310</v>
      </c>
      <c r="B235" s="47"/>
      <c r="C235" s="47" t="s">
        <v>217</v>
      </c>
      <c r="D235" s="47" t="s">
        <v>152</v>
      </c>
      <c r="E235" s="47" t="s">
        <v>60</v>
      </c>
      <c r="F235" s="48">
        <v>5</v>
      </c>
      <c r="G235" s="48">
        <f>VLOOKUP(D235,단가!B:D,3,0)</f>
        <v>10500</v>
      </c>
      <c r="H235" s="48">
        <f t="shared" si="11"/>
        <v>52500</v>
      </c>
      <c r="I235" s="48">
        <f t="shared" si="12"/>
        <v>5250</v>
      </c>
      <c r="J235" s="49">
        <f t="shared" si="10"/>
        <v>57750</v>
      </c>
      <c r="K235" s="53"/>
    </row>
    <row r="236" spans="1:11" ht="19" customHeight="1">
      <c r="A236" s="62" t="s">
        <v>310</v>
      </c>
      <c r="B236" s="47"/>
      <c r="C236" s="47" t="s">
        <v>217</v>
      </c>
      <c r="D236" s="47" t="s">
        <v>146</v>
      </c>
      <c r="E236" s="47" t="s">
        <v>60</v>
      </c>
      <c r="F236" s="48">
        <v>5</v>
      </c>
      <c r="G236" s="48">
        <f>VLOOKUP(D236,단가!B:D,3,0)</f>
        <v>10500</v>
      </c>
      <c r="H236" s="48">
        <f t="shared" si="11"/>
        <v>52500</v>
      </c>
      <c r="I236" s="48">
        <f t="shared" si="12"/>
        <v>5250</v>
      </c>
      <c r="J236" s="49">
        <f t="shared" si="10"/>
        <v>57750</v>
      </c>
      <c r="K236" s="56"/>
    </row>
    <row r="237" spans="1:11" ht="19" customHeight="1">
      <c r="A237" s="62" t="s">
        <v>311</v>
      </c>
      <c r="B237" s="47"/>
      <c r="C237" s="47" t="s">
        <v>127</v>
      </c>
      <c r="D237" s="47" t="s">
        <v>130</v>
      </c>
      <c r="E237" s="47" t="s">
        <v>131</v>
      </c>
      <c r="F237" s="48">
        <v>5</v>
      </c>
      <c r="G237" s="48">
        <f>VLOOKUP(D237,단가!B:D,3,0)</f>
        <v>8000</v>
      </c>
      <c r="H237" s="48">
        <f t="shared" si="11"/>
        <v>40000</v>
      </c>
      <c r="I237" s="48">
        <f t="shared" si="12"/>
        <v>4000</v>
      </c>
      <c r="J237" s="49">
        <f t="shared" si="10"/>
        <v>44000</v>
      </c>
      <c r="K237" s="53"/>
    </row>
    <row r="238" spans="1:11" ht="19" customHeight="1">
      <c r="A238" s="62" t="s">
        <v>312</v>
      </c>
      <c r="B238" s="47"/>
      <c r="C238" s="47" t="s">
        <v>313</v>
      </c>
      <c r="D238" s="47" t="s">
        <v>61</v>
      </c>
      <c r="E238" s="47" t="s">
        <v>57</v>
      </c>
      <c r="F238" s="48">
        <v>10</v>
      </c>
      <c r="G238" s="48">
        <f>VLOOKUP(D238,단가!B:D,3,0)</f>
        <v>20000</v>
      </c>
      <c r="H238" s="48">
        <f t="shared" si="11"/>
        <v>200000</v>
      </c>
      <c r="I238" s="48">
        <f t="shared" si="12"/>
        <v>20000</v>
      </c>
      <c r="J238" s="49">
        <f t="shared" si="10"/>
        <v>220000</v>
      </c>
      <c r="K238" s="53"/>
    </row>
    <row r="239" spans="1:11" ht="19" customHeight="1">
      <c r="A239" s="62" t="s">
        <v>312</v>
      </c>
      <c r="B239" s="47"/>
      <c r="C239" s="47" t="s">
        <v>313</v>
      </c>
      <c r="D239" s="47" t="s">
        <v>302</v>
      </c>
      <c r="E239" s="47" t="s">
        <v>57</v>
      </c>
      <c r="F239" s="48">
        <v>5</v>
      </c>
      <c r="G239" s="48">
        <f>VLOOKUP(D239,단가!B:D,3,0)</f>
        <v>22000</v>
      </c>
      <c r="H239" s="48">
        <f t="shared" si="11"/>
        <v>110000</v>
      </c>
      <c r="I239" s="48">
        <f t="shared" si="12"/>
        <v>11000</v>
      </c>
      <c r="J239" s="49">
        <f t="shared" si="10"/>
        <v>121000</v>
      </c>
      <c r="K239" s="53"/>
    </row>
    <row r="240" spans="1:11" ht="19" customHeight="1">
      <c r="A240" s="62" t="s">
        <v>312</v>
      </c>
      <c r="B240" s="47"/>
      <c r="C240" s="47" t="s">
        <v>108</v>
      </c>
      <c r="D240" s="47" t="s">
        <v>302</v>
      </c>
      <c r="E240" s="47" t="s">
        <v>57</v>
      </c>
      <c r="F240" s="48">
        <v>1</v>
      </c>
      <c r="G240" s="48">
        <f>VLOOKUP(D240,단가!B:D,3,0)</f>
        <v>22000</v>
      </c>
      <c r="H240" s="48">
        <f t="shared" si="11"/>
        <v>22000</v>
      </c>
      <c r="I240" s="48">
        <f t="shared" si="12"/>
        <v>2200</v>
      </c>
      <c r="J240" s="49">
        <f t="shared" si="10"/>
        <v>24200</v>
      </c>
      <c r="K240" s="53"/>
    </row>
    <row r="241" spans="1:12" ht="19" customHeight="1">
      <c r="A241" s="62" t="s">
        <v>312</v>
      </c>
      <c r="B241" s="47"/>
      <c r="C241" s="47" t="s">
        <v>183</v>
      </c>
      <c r="D241" s="47" t="s">
        <v>137</v>
      </c>
      <c r="E241" s="47" t="s">
        <v>57</v>
      </c>
      <c r="F241" s="48">
        <v>10</v>
      </c>
      <c r="G241" s="48">
        <f>VLOOKUP(D241,단가!B:D,3,0)</f>
        <v>19000</v>
      </c>
      <c r="H241" s="48">
        <f t="shared" si="11"/>
        <v>190000</v>
      </c>
      <c r="I241" s="48">
        <f t="shared" si="12"/>
        <v>19000</v>
      </c>
      <c r="J241" s="49">
        <f t="shared" si="10"/>
        <v>209000</v>
      </c>
      <c r="K241" s="53"/>
    </row>
    <row r="242" spans="1:12" ht="19" customHeight="1">
      <c r="A242" s="62" t="s">
        <v>312</v>
      </c>
      <c r="B242" s="47"/>
      <c r="C242" s="47" t="s">
        <v>294</v>
      </c>
      <c r="D242" s="47" t="s">
        <v>61</v>
      </c>
      <c r="E242" s="47" t="s">
        <v>57</v>
      </c>
      <c r="F242" s="48">
        <v>3</v>
      </c>
      <c r="G242" s="48">
        <f>VLOOKUP(D242,단가!B:D,3,0)</f>
        <v>20000</v>
      </c>
      <c r="H242" s="48">
        <f t="shared" si="11"/>
        <v>60000</v>
      </c>
      <c r="I242" s="48">
        <f t="shared" si="12"/>
        <v>6000</v>
      </c>
      <c r="J242" s="49">
        <f t="shared" si="10"/>
        <v>66000</v>
      </c>
      <c r="K242" s="53"/>
      <c r="L242" s="28"/>
    </row>
    <row r="243" spans="1:12" ht="19" customHeight="1">
      <c r="A243" s="62" t="s">
        <v>312</v>
      </c>
      <c r="B243" s="47"/>
      <c r="C243" s="47" t="s">
        <v>126</v>
      </c>
      <c r="D243" s="47" t="s">
        <v>137</v>
      </c>
      <c r="E243" s="47" t="s">
        <v>57</v>
      </c>
      <c r="F243" s="48">
        <v>10</v>
      </c>
      <c r="G243" s="48">
        <f>VLOOKUP(D243,단가!B:D,3,0)</f>
        <v>19000</v>
      </c>
      <c r="H243" s="48">
        <f t="shared" si="11"/>
        <v>190000</v>
      </c>
      <c r="I243" s="48">
        <f t="shared" si="12"/>
        <v>19000</v>
      </c>
      <c r="J243" s="49">
        <f t="shared" si="10"/>
        <v>209000</v>
      </c>
      <c r="K243" s="53"/>
    </row>
    <row r="244" spans="1:12" ht="19" customHeight="1">
      <c r="A244" s="62" t="s">
        <v>312</v>
      </c>
      <c r="B244" s="47"/>
      <c r="C244" s="47" t="s">
        <v>126</v>
      </c>
      <c r="D244" s="47" t="s">
        <v>130</v>
      </c>
      <c r="E244" s="47" t="s">
        <v>131</v>
      </c>
      <c r="F244" s="48">
        <v>2</v>
      </c>
      <c r="G244" s="48">
        <f>VLOOKUP(D244,단가!B:D,3,0)</f>
        <v>8000</v>
      </c>
      <c r="H244" s="48">
        <f t="shared" si="11"/>
        <v>16000</v>
      </c>
      <c r="I244" s="48">
        <f t="shared" si="12"/>
        <v>1600</v>
      </c>
      <c r="J244" s="49">
        <f t="shared" si="10"/>
        <v>17600</v>
      </c>
      <c r="K244" s="53"/>
    </row>
    <row r="245" spans="1:12" ht="19" customHeight="1">
      <c r="A245" s="62" t="s">
        <v>314</v>
      </c>
      <c r="B245" s="47"/>
      <c r="C245" s="47" t="s">
        <v>127</v>
      </c>
      <c r="D245" s="47" t="s">
        <v>137</v>
      </c>
      <c r="E245" s="47" t="s">
        <v>57</v>
      </c>
      <c r="F245" s="48">
        <v>10</v>
      </c>
      <c r="G245" s="48">
        <f>VLOOKUP(D245,단가!B:D,3,0)</f>
        <v>19000</v>
      </c>
      <c r="H245" s="48">
        <f t="shared" si="11"/>
        <v>190000</v>
      </c>
      <c r="I245" s="48">
        <f t="shared" si="12"/>
        <v>19000</v>
      </c>
      <c r="J245" s="49">
        <f t="shared" ref="J245:J308" si="13">H245+I245</f>
        <v>209000</v>
      </c>
      <c r="K245" s="53"/>
    </row>
    <row r="246" spans="1:12" ht="19" customHeight="1">
      <c r="A246" s="62" t="s">
        <v>314</v>
      </c>
      <c r="B246" s="47"/>
      <c r="C246" s="47" t="s">
        <v>209</v>
      </c>
      <c r="D246" s="47" t="s">
        <v>61</v>
      </c>
      <c r="E246" s="47" t="s">
        <v>57</v>
      </c>
      <c r="F246" s="48">
        <v>10</v>
      </c>
      <c r="G246" s="48">
        <f>VLOOKUP(D246,단가!B:D,3,0)</f>
        <v>20000</v>
      </c>
      <c r="H246" s="48">
        <f t="shared" ref="H246:H309" si="14">F246*G246</f>
        <v>200000</v>
      </c>
      <c r="I246" s="48">
        <f t="shared" ref="I246:I309" si="15">H246*0.1</f>
        <v>20000</v>
      </c>
      <c r="J246" s="49">
        <f t="shared" si="13"/>
        <v>220000</v>
      </c>
      <c r="K246" s="53"/>
    </row>
    <row r="247" spans="1:12" ht="19" customHeight="1">
      <c r="A247" s="62" t="s">
        <v>314</v>
      </c>
      <c r="B247" s="47"/>
      <c r="C247" s="47" t="s">
        <v>209</v>
      </c>
      <c r="D247" s="47" t="s">
        <v>162</v>
      </c>
      <c r="E247" s="47" t="s">
        <v>92</v>
      </c>
      <c r="F247" s="48">
        <v>1</v>
      </c>
      <c r="G247" s="48">
        <f>VLOOKUP(D247,단가!B:D,3,0)</f>
        <v>10500</v>
      </c>
      <c r="H247" s="48">
        <f t="shared" si="14"/>
        <v>10500</v>
      </c>
      <c r="I247" s="48">
        <f t="shared" si="15"/>
        <v>1050</v>
      </c>
      <c r="J247" s="49">
        <f t="shared" si="13"/>
        <v>11550</v>
      </c>
      <c r="K247" s="53"/>
    </row>
    <row r="248" spans="1:12" ht="19" customHeight="1">
      <c r="A248" s="62" t="s">
        <v>314</v>
      </c>
      <c r="B248" s="47"/>
      <c r="C248" s="47" t="s">
        <v>209</v>
      </c>
      <c r="D248" s="47" t="s">
        <v>171</v>
      </c>
      <c r="E248" s="47" t="s">
        <v>92</v>
      </c>
      <c r="F248" s="48">
        <v>1</v>
      </c>
      <c r="G248" s="48">
        <f>VLOOKUP(D248,단가!B:D,3,0)</f>
        <v>10500</v>
      </c>
      <c r="H248" s="48">
        <f t="shared" si="14"/>
        <v>10500</v>
      </c>
      <c r="I248" s="48">
        <f t="shared" si="15"/>
        <v>1050</v>
      </c>
      <c r="J248" s="49">
        <f t="shared" si="13"/>
        <v>11550</v>
      </c>
      <c r="K248" s="56"/>
    </row>
    <row r="249" spans="1:12" ht="19" customHeight="1">
      <c r="A249" s="62" t="s">
        <v>314</v>
      </c>
      <c r="B249" s="47"/>
      <c r="C249" s="47" t="s">
        <v>217</v>
      </c>
      <c r="D249" s="47" t="s">
        <v>61</v>
      </c>
      <c r="E249" s="47" t="s">
        <v>57</v>
      </c>
      <c r="F249" s="48">
        <v>5</v>
      </c>
      <c r="G249" s="48">
        <f>VLOOKUP(D249,단가!B:D,3,0)</f>
        <v>20000</v>
      </c>
      <c r="H249" s="48">
        <f t="shared" si="14"/>
        <v>100000</v>
      </c>
      <c r="I249" s="48">
        <f t="shared" si="15"/>
        <v>10000</v>
      </c>
      <c r="J249" s="49">
        <f t="shared" si="13"/>
        <v>110000</v>
      </c>
      <c r="K249" s="53"/>
    </row>
    <row r="250" spans="1:12" ht="19" customHeight="1">
      <c r="A250" s="62" t="s">
        <v>314</v>
      </c>
      <c r="B250" s="47"/>
      <c r="C250" s="47" t="s">
        <v>217</v>
      </c>
      <c r="D250" s="47" t="s">
        <v>146</v>
      </c>
      <c r="E250" s="47" t="s">
        <v>60</v>
      </c>
      <c r="F250" s="48">
        <v>5</v>
      </c>
      <c r="G250" s="48">
        <f>VLOOKUP(D250,단가!B:D,3,0)</f>
        <v>10500</v>
      </c>
      <c r="H250" s="48">
        <f t="shared" si="14"/>
        <v>52500</v>
      </c>
      <c r="I250" s="48">
        <f t="shared" si="15"/>
        <v>5250</v>
      </c>
      <c r="J250" s="49">
        <f t="shared" si="13"/>
        <v>57750</v>
      </c>
      <c r="K250" s="53"/>
    </row>
    <row r="251" spans="1:12" ht="19" customHeight="1">
      <c r="A251" s="62" t="s">
        <v>314</v>
      </c>
      <c r="B251" s="47"/>
      <c r="C251" s="47" t="s">
        <v>217</v>
      </c>
      <c r="D251" s="47" t="s">
        <v>147</v>
      </c>
      <c r="E251" s="47" t="s">
        <v>60</v>
      </c>
      <c r="F251" s="48">
        <v>5</v>
      </c>
      <c r="G251" s="48">
        <f>VLOOKUP(D251,단가!B:D,3,0)</f>
        <v>10500</v>
      </c>
      <c r="H251" s="48">
        <f t="shared" si="14"/>
        <v>52500</v>
      </c>
      <c r="I251" s="48">
        <f t="shared" si="15"/>
        <v>5250</v>
      </c>
      <c r="J251" s="49">
        <f t="shared" si="13"/>
        <v>57750</v>
      </c>
      <c r="K251" s="53"/>
    </row>
    <row r="252" spans="1:12" ht="19" customHeight="1">
      <c r="A252" s="62" t="s">
        <v>314</v>
      </c>
      <c r="B252" s="47"/>
      <c r="C252" s="47" t="s">
        <v>217</v>
      </c>
      <c r="D252" s="47" t="s">
        <v>178</v>
      </c>
      <c r="E252" s="47" t="s">
        <v>60</v>
      </c>
      <c r="F252" s="48">
        <v>5</v>
      </c>
      <c r="G252" s="48">
        <f>VLOOKUP(D252,단가!B:D,3,0)</f>
        <v>10500</v>
      </c>
      <c r="H252" s="48">
        <f t="shared" si="14"/>
        <v>52500</v>
      </c>
      <c r="I252" s="48">
        <f t="shared" si="15"/>
        <v>5250</v>
      </c>
      <c r="J252" s="49">
        <f t="shared" si="13"/>
        <v>57750</v>
      </c>
      <c r="K252" s="53"/>
    </row>
    <row r="253" spans="1:12" ht="19" customHeight="1">
      <c r="A253" s="62" t="s">
        <v>324</v>
      </c>
      <c r="B253" s="47"/>
      <c r="C253" s="47" t="s">
        <v>325</v>
      </c>
      <c r="D253" s="47" t="s">
        <v>315</v>
      </c>
      <c r="E253" s="47" t="s">
        <v>57</v>
      </c>
      <c r="F253" s="48">
        <v>5</v>
      </c>
      <c r="G253" s="48">
        <f>VLOOKUP(D253,단가!B:D,3,0)</f>
        <v>32000</v>
      </c>
      <c r="H253" s="48">
        <f t="shared" si="14"/>
        <v>160000</v>
      </c>
      <c r="I253" s="48">
        <f t="shared" si="15"/>
        <v>16000</v>
      </c>
      <c r="J253" s="49">
        <f t="shared" si="13"/>
        <v>176000</v>
      </c>
      <c r="K253" s="56"/>
    </row>
    <row r="254" spans="1:12" ht="19" customHeight="1">
      <c r="A254" s="62" t="s">
        <v>324</v>
      </c>
      <c r="B254" s="47"/>
      <c r="C254" s="47" t="s">
        <v>326</v>
      </c>
      <c r="D254" s="47" t="s">
        <v>61</v>
      </c>
      <c r="E254" s="47" t="s">
        <v>57</v>
      </c>
      <c r="F254" s="48">
        <v>5</v>
      </c>
      <c r="G254" s="48">
        <f>VLOOKUP(D254,단가!B:D,3,0)</f>
        <v>20000</v>
      </c>
      <c r="H254" s="48">
        <f t="shared" si="14"/>
        <v>100000</v>
      </c>
      <c r="I254" s="48">
        <f t="shared" si="15"/>
        <v>10000</v>
      </c>
      <c r="J254" s="49">
        <f t="shared" si="13"/>
        <v>110000</v>
      </c>
      <c r="K254" s="56"/>
    </row>
    <row r="255" spans="1:12" ht="19" customHeight="1">
      <c r="A255" s="62" t="s">
        <v>327</v>
      </c>
      <c r="B255" s="47"/>
      <c r="C255" s="47" t="s">
        <v>217</v>
      </c>
      <c r="D255" s="47" t="s">
        <v>61</v>
      </c>
      <c r="E255" s="47" t="s">
        <v>57</v>
      </c>
      <c r="F255" s="48">
        <v>5</v>
      </c>
      <c r="G255" s="48">
        <f>VLOOKUP(D255,단가!B:D,3,0)</f>
        <v>20000</v>
      </c>
      <c r="H255" s="48">
        <f t="shared" si="14"/>
        <v>100000</v>
      </c>
      <c r="I255" s="48">
        <f t="shared" si="15"/>
        <v>10000</v>
      </c>
      <c r="J255" s="49">
        <f t="shared" si="13"/>
        <v>110000</v>
      </c>
      <c r="K255" s="53"/>
    </row>
    <row r="256" spans="1:12" ht="19" customHeight="1">
      <c r="A256" s="62" t="s">
        <v>327</v>
      </c>
      <c r="B256" s="47"/>
      <c r="C256" s="47" t="s">
        <v>217</v>
      </c>
      <c r="D256" s="47" t="s">
        <v>302</v>
      </c>
      <c r="E256" s="47" t="s">
        <v>57</v>
      </c>
      <c r="F256" s="48">
        <v>1</v>
      </c>
      <c r="G256" s="48">
        <f>VLOOKUP(D256,단가!B:D,3,0)</f>
        <v>22000</v>
      </c>
      <c r="H256" s="48">
        <f t="shared" si="14"/>
        <v>22000</v>
      </c>
      <c r="I256" s="48">
        <f t="shared" si="15"/>
        <v>2200</v>
      </c>
      <c r="J256" s="49">
        <f t="shared" si="13"/>
        <v>24200</v>
      </c>
      <c r="K256" s="53"/>
    </row>
    <row r="257" spans="1:11" ht="19" customHeight="1">
      <c r="A257" s="62" t="s">
        <v>327</v>
      </c>
      <c r="B257" s="47"/>
      <c r="C257" s="47" t="s">
        <v>217</v>
      </c>
      <c r="D257" s="47" t="s">
        <v>151</v>
      </c>
      <c r="E257" s="47" t="s">
        <v>60</v>
      </c>
      <c r="F257" s="48">
        <v>5</v>
      </c>
      <c r="G257" s="48">
        <f>VLOOKUP(D257,단가!B:D,3,0)</f>
        <v>10500</v>
      </c>
      <c r="H257" s="48">
        <f t="shared" si="14"/>
        <v>52500</v>
      </c>
      <c r="I257" s="48">
        <f t="shared" si="15"/>
        <v>5250</v>
      </c>
      <c r="J257" s="49">
        <f t="shared" si="13"/>
        <v>57750</v>
      </c>
      <c r="K257" s="53"/>
    </row>
    <row r="258" spans="1:11" ht="19" customHeight="1">
      <c r="A258" s="62" t="s">
        <v>327</v>
      </c>
      <c r="B258" s="47"/>
      <c r="C258" s="47" t="s">
        <v>217</v>
      </c>
      <c r="D258" s="47" t="s">
        <v>152</v>
      </c>
      <c r="E258" s="47" t="s">
        <v>60</v>
      </c>
      <c r="F258" s="48">
        <v>5</v>
      </c>
      <c r="G258" s="48">
        <f>VLOOKUP(D258,단가!B:D,3,0)</f>
        <v>10500</v>
      </c>
      <c r="H258" s="48">
        <f t="shared" si="14"/>
        <v>52500</v>
      </c>
      <c r="I258" s="48">
        <f t="shared" si="15"/>
        <v>5250</v>
      </c>
      <c r="J258" s="49">
        <f t="shared" si="13"/>
        <v>57750</v>
      </c>
      <c r="K258" s="53"/>
    </row>
    <row r="259" spans="1:11" ht="19" customHeight="1">
      <c r="A259" s="62" t="s">
        <v>327</v>
      </c>
      <c r="B259" s="47"/>
      <c r="C259" s="47" t="s">
        <v>217</v>
      </c>
      <c r="D259" s="47" t="s">
        <v>146</v>
      </c>
      <c r="E259" s="47" t="s">
        <v>60</v>
      </c>
      <c r="F259" s="48">
        <v>5</v>
      </c>
      <c r="G259" s="48">
        <f>VLOOKUP(D259,단가!B:D,3,0)</f>
        <v>10500</v>
      </c>
      <c r="H259" s="48">
        <f t="shared" si="14"/>
        <v>52500</v>
      </c>
      <c r="I259" s="48">
        <f t="shared" si="15"/>
        <v>5250</v>
      </c>
      <c r="J259" s="49">
        <f t="shared" si="13"/>
        <v>57750</v>
      </c>
      <c r="K259" s="53"/>
    </row>
    <row r="260" spans="1:11" ht="19" customHeight="1">
      <c r="A260" s="62" t="s">
        <v>327</v>
      </c>
      <c r="B260" s="47"/>
      <c r="C260" s="47" t="s">
        <v>217</v>
      </c>
      <c r="D260" s="47" t="s">
        <v>150</v>
      </c>
      <c r="E260" s="47" t="s">
        <v>60</v>
      </c>
      <c r="F260" s="48">
        <v>5</v>
      </c>
      <c r="G260" s="48">
        <f>VLOOKUP(D260,단가!B:D,3,0)</f>
        <v>10500</v>
      </c>
      <c r="H260" s="48">
        <f t="shared" si="14"/>
        <v>52500</v>
      </c>
      <c r="I260" s="48">
        <f t="shared" si="15"/>
        <v>5250</v>
      </c>
      <c r="J260" s="49">
        <f t="shared" si="13"/>
        <v>57750</v>
      </c>
      <c r="K260" s="53"/>
    </row>
    <row r="261" spans="1:11" ht="19" customHeight="1">
      <c r="A261" s="62" t="s">
        <v>327</v>
      </c>
      <c r="B261" s="47"/>
      <c r="C261" s="47" t="s">
        <v>217</v>
      </c>
      <c r="D261" s="47" t="s">
        <v>148</v>
      </c>
      <c r="E261" s="47" t="s">
        <v>60</v>
      </c>
      <c r="F261" s="48">
        <v>5</v>
      </c>
      <c r="G261" s="48">
        <f>VLOOKUP(D261,단가!B:D,3,0)</f>
        <v>10500</v>
      </c>
      <c r="H261" s="48">
        <f t="shared" si="14"/>
        <v>52500</v>
      </c>
      <c r="I261" s="48">
        <f t="shared" si="15"/>
        <v>5250</v>
      </c>
      <c r="J261" s="49">
        <f t="shared" si="13"/>
        <v>57750</v>
      </c>
      <c r="K261" s="53"/>
    </row>
    <row r="262" spans="1:11" ht="19" customHeight="1">
      <c r="A262" s="62" t="s">
        <v>328</v>
      </c>
      <c r="B262" s="47"/>
      <c r="C262" s="47" t="s">
        <v>294</v>
      </c>
      <c r="D262" s="47" t="s">
        <v>61</v>
      </c>
      <c r="E262" s="47" t="s">
        <v>57</v>
      </c>
      <c r="F262" s="48">
        <v>3</v>
      </c>
      <c r="G262" s="48">
        <f>VLOOKUP(D262,단가!B:D,3,0)</f>
        <v>20000</v>
      </c>
      <c r="H262" s="48">
        <f t="shared" si="14"/>
        <v>60000</v>
      </c>
      <c r="I262" s="48">
        <f t="shared" si="15"/>
        <v>6000</v>
      </c>
      <c r="J262" s="49">
        <f t="shared" si="13"/>
        <v>66000</v>
      </c>
      <c r="K262" s="56"/>
    </row>
    <row r="263" spans="1:11" ht="19" customHeight="1">
      <c r="A263" s="62" t="s">
        <v>328</v>
      </c>
      <c r="B263" s="47"/>
      <c r="C263" s="47" t="s">
        <v>209</v>
      </c>
      <c r="D263" s="47" t="s">
        <v>153</v>
      </c>
      <c r="E263" s="47" t="s">
        <v>60</v>
      </c>
      <c r="F263" s="48">
        <v>1</v>
      </c>
      <c r="G263" s="48">
        <f>VLOOKUP(D263,단가!B:D,3,0)</f>
        <v>10500</v>
      </c>
      <c r="H263" s="48">
        <f t="shared" si="14"/>
        <v>10500</v>
      </c>
      <c r="I263" s="48">
        <f t="shared" si="15"/>
        <v>1050</v>
      </c>
      <c r="J263" s="49">
        <f t="shared" si="13"/>
        <v>11550</v>
      </c>
      <c r="K263" s="53"/>
    </row>
    <row r="264" spans="1:11" ht="19" customHeight="1">
      <c r="A264" s="62" t="s">
        <v>328</v>
      </c>
      <c r="B264" s="47"/>
      <c r="C264" s="47" t="s">
        <v>209</v>
      </c>
      <c r="D264" s="47" t="s">
        <v>151</v>
      </c>
      <c r="E264" s="47" t="s">
        <v>60</v>
      </c>
      <c r="F264" s="48">
        <v>1</v>
      </c>
      <c r="G264" s="48">
        <f>VLOOKUP(D264,단가!B:D,3,0)</f>
        <v>10500</v>
      </c>
      <c r="H264" s="48">
        <f t="shared" si="14"/>
        <v>10500</v>
      </c>
      <c r="I264" s="48">
        <f t="shared" si="15"/>
        <v>1050</v>
      </c>
      <c r="J264" s="49">
        <f t="shared" si="13"/>
        <v>11550</v>
      </c>
      <c r="K264" s="53"/>
    </row>
    <row r="265" spans="1:11" ht="19" customHeight="1">
      <c r="A265" s="62" t="s">
        <v>328</v>
      </c>
      <c r="B265" s="47"/>
      <c r="C265" s="47" t="s">
        <v>209</v>
      </c>
      <c r="D265" s="47" t="s">
        <v>146</v>
      </c>
      <c r="E265" s="47" t="s">
        <v>60</v>
      </c>
      <c r="F265" s="48">
        <v>1</v>
      </c>
      <c r="G265" s="48">
        <f>VLOOKUP(D265,단가!B:D,3,0)</f>
        <v>10500</v>
      </c>
      <c r="H265" s="48">
        <f t="shared" si="14"/>
        <v>10500</v>
      </c>
      <c r="I265" s="48">
        <f t="shared" si="15"/>
        <v>1050</v>
      </c>
      <c r="J265" s="49">
        <f t="shared" si="13"/>
        <v>11550</v>
      </c>
      <c r="K265" s="56"/>
    </row>
    <row r="266" spans="1:11" ht="19" customHeight="1">
      <c r="A266" s="62" t="s">
        <v>330</v>
      </c>
      <c r="B266" s="47"/>
      <c r="C266" s="47" t="s">
        <v>209</v>
      </c>
      <c r="D266" s="47" t="s">
        <v>61</v>
      </c>
      <c r="E266" s="47" t="s">
        <v>57</v>
      </c>
      <c r="F266" s="48">
        <v>5</v>
      </c>
      <c r="G266" s="48">
        <f>VLOOKUP(D266,단가!B:D,3,0)</f>
        <v>20000</v>
      </c>
      <c r="H266" s="48">
        <f t="shared" si="14"/>
        <v>100000</v>
      </c>
      <c r="I266" s="48">
        <f t="shared" si="15"/>
        <v>10000</v>
      </c>
      <c r="J266" s="49">
        <f t="shared" si="13"/>
        <v>110000</v>
      </c>
      <c r="K266" s="53"/>
    </row>
    <row r="267" spans="1:11" ht="19" customHeight="1">
      <c r="A267" s="62" t="s">
        <v>330</v>
      </c>
      <c r="B267" s="47"/>
      <c r="C267" s="47" t="s">
        <v>209</v>
      </c>
      <c r="D267" s="47" t="s">
        <v>165</v>
      </c>
      <c r="E267" s="47" t="s">
        <v>92</v>
      </c>
      <c r="F267" s="48">
        <v>1</v>
      </c>
      <c r="G267" s="48">
        <f>VLOOKUP(D267,단가!B:D,3,0)</f>
        <v>10500</v>
      </c>
      <c r="H267" s="48">
        <f t="shared" si="14"/>
        <v>10500</v>
      </c>
      <c r="I267" s="48">
        <f t="shared" si="15"/>
        <v>1050</v>
      </c>
      <c r="J267" s="49">
        <f t="shared" si="13"/>
        <v>11550</v>
      </c>
      <c r="K267" s="53"/>
    </row>
    <row r="268" spans="1:11" ht="19" customHeight="1">
      <c r="A268" s="62" t="s">
        <v>330</v>
      </c>
      <c r="B268" s="47"/>
      <c r="C268" s="47" t="s">
        <v>209</v>
      </c>
      <c r="D268" s="47" t="s">
        <v>171</v>
      </c>
      <c r="E268" s="47" t="s">
        <v>92</v>
      </c>
      <c r="F268" s="48">
        <v>1</v>
      </c>
      <c r="G268" s="48">
        <f>VLOOKUP(D268,단가!B:D,3,0)</f>
        <v>10500</v>
      </c>
      <c r="H268" s="48">
        <f t="shared" si="14"/>
        <v>10500</v>
      </c>
      <c r="I268" s="48">
        <f t="shared" si="15"/>
        <v>1050</v>
      </c>
      <c r="J268" s="49">
        <f t="shared" si="13"/>
        <v>11550</v>
      </c>
      <c r="K268" s="53"/>
    </row>
    <row r="269" spans="1:11" ht="19" customHeight="1">
      <c r="A269" s="62" t="s">
        <v>330</v>
      </c>
      <c r="B269" s="47"/>
      <c r="C269" s="47" t="s">
        <v>209</v>
      </c>
      <c r="D269" s="47" t="s">
        <v>147</v>
      </c>
      <c r="E269" s="47" t="s">
        <v>60</v>
      </c>
      <c r="F269" s="48">
        <v>1</v>
      </c>
      <c r="G269" s="48">
        <f>VLOOKUP(D269,단가!B:D,3,0)</f>
        <v>10500</v>
      </c>
      <c r="H269" s="48">
        <f t="shared" si="14"/>
        <v>10500</v>
      </c>
      <c r="I269" s="48">
        <f t="shared" si="15"/>
        <v>1050</v>
      </c>
      <c r="J269" s="49">
        <f t="shared" si="13"/>
        <v>11550</v>
      </c>
      <c r="K269" s="53"/>
    </row>
    <row r="270" spans="1:11" ht="19" customHeight="1">
      <c r="A270" s="62" t="s">
        <v>330</v>
      </c>
      <c r="B270" s="47"/>
      <c r="C270" s="47" t="s">
        <v>209</v>
      </c>
      <c r="D270" s="47" t="s">
        <v>162</v>
      </c>
      <c r="E270" s="47" t="s">
        <v>92</v>
      </c>
      <c r="F270" s="48">
        <v>1</v>
      </c>
      <c r="G270" s="48">
        <f>VLOOKUP(D270,단가!B:D,3,0)</f>
        <v>10500</v>
      </c>
      <c r="H270" s="48">
        <f t="shared" si="14"/>
        <v>10500</v>
      </c>
      <c r="I270" s="48">
        <f t="shared" si="15"/>
        <v>1050</v>
      </c>
      <c r="J270" s="49">
        <f t="shared" si="13"/>
        <v>11550</v>
      </c>
      <c r="K270" s="53"/>
    </row>
    <row r="271" spans="1:11" ht="19" customHeight="1">
      <c r="A271" s="62" t="s">
        <v>331</v>
      </c>
      <c r="B271" s="47"/>
      <c r="C271" s="47" t="s">
        <v>217</v>
      </c>
      <c r="D271" s="47" t="s">
        <v>146</v>
      </c>
      <c r="E271" s="47" t="s">
        <v>60</v>
      </c>
      <c r="F271" s="48">
        <v>5</v>
      </c>
      <c r="G271" s="48">
        <f>VLOOKUP(D271,단가!B:D,3,0)</f>
        <v>10500</v>
      </c>
      <c r="H271" s="48">
        <f t="shared" si="14"/>
        <v>52500</v>
      </c>
      <c r="I271" s="48">
        <f t="shared" si="15"/>
        <v>5250</v>
      </c>
      <c r="J271" s="49">
        <f t="shared" si="13"/>
        <v>57750</v>
      </c>
      <c r="K271" s="53"/>
    </row>
    <row r="272" spans="1:11" ht="19" customHeight="1">
      <c r="A272" s="62" t="s">
        <v>331</v>
      </c>
      <c r="B272" s="47"/>
      <c r="C272" s="47" t="s">
        <v>217</v>
      </c>
      <c r="D272" s="47" t="s">
        <v>147</v>
      </c>
      <c r="E272" s="47" t="s">
        <v>60</v>
      </c>
      <c r="F272" s="48">
        <v>5</v>
      </c>
      <c r="G272" s="48">
        <f>VLOOKUP(D272,단가!B:D,3,0)</f>
        <v>10500</v>
      </c>
      <c r="H272" s="48">
        <f t="shared" si="14"/>
        <v>52500</v>
      </c>
      <c r="I272" s="48">
        <f t="shared" si="15"/>
        <v>5250</v>
      </c>
      <c r="J272" s="49">
        <f t="shared" si="13"/>
        <v>57750</v>
      </c>
      <c r="K272" s="53"/>
    </row>
    <row r="273" spans="1:11" ht="19" customHeight="1">
      <c r="A273" s="62" t="s">
        <v>331</v>
      </c>
      <c r="B273" s="47"/>
      <c r="C273" s="47" t="s">
        <v>217</v>
      </c>
      <c r="D273" s="47" t="s">
        <v>153</v>
      </c>
      <c r="E273" s="47" t="s">
        <v>60</v>
      </c>
      <c r="F273" s="48">
        <v>5</v>
      </c>
      <c r="G273" s="48">
        <f>VLOOKUP(D273,단가!B:D,3,0)</f>
        <v>10500</v>
      </c>
      <c r="H273" s="48">
        <f t="shared" si="14"/>
        <v>52500</v>
      </c>
      <c r="I273" s="48">
        <f t="shared" si="15"/>
        <v>5250</v>
      </c>
      <c r="J273" s="49">
        <f t="shared" si="13"/>
        <v>57750</v>
      </c>
      <c r="K273" s="53"/>
    </row>
    <row r="274" spans="1:11" ht="19" customHeight="1">
      <c r="A274" s="62" t="s">
        <v>331</v>
      </c>
      <c r="B274" s="47"/>
      <c r="C274" s="47" t="s">
        <v>217</v>
      </c>
      <c r="D274" s="47" t="s">
        <v>149</v>
      </c>
      <c r="E274" s="47" t="s">
        <v>60</v>
      </c>
      <c r="F274" s="48">
        <v>5</v>
      </c>
      <c r="G274" s="48">
        <f>VLOOKUP(D274,단가!B:D,3,0)</f>
        <v>10500</v>
      </c>
      <c r="H274" s="48">
        <f t="shared" si="14"/>
        <v>52500</v>
      </c>
      <c r="I274" s="48">
        <f t="shared" si="15"/>
        <v>5250</v>
      </c>
      <c r="J274" s="49">
        <f t="shared" si="13"/>
        <v>57750</v>
      </c>
      <c r="K274" s="53"/>
    </row>
    <row r="275" spans="1:11" ht="19" customHeight="1">
      <c r="A275" s="62" t="s">
        <v>331</v>
      </c>
      <c r="B275" s="47"/>
      <c r="C275" s="47" t="s">
        <v>201</v>
      </c>
      <c r="D275" s="47" t="s">
        <v>137</v>
      </c>
      <c r="E275" s="47" t="s">
        <v>57</v>
      </c>
      <c r="F275" s="48">
        <v>10</v>
      </c>
      <c r="G275" s="48">
        <f>VLOOKUP(D275,단가!B:D,3,0)</f>
        <v>19000</v>
      </c>
      <c r="H275" s="48">
        <f t="shared" si="14"/>
        <v>190000</v>
      </c>
      <c r="I275" s="48">
        <f t="shared" si="15"/>
        <v>19000</v>
      </c>
      <c r="J275" s="49">
        <f t="shared" si="13"/>
        <v>209000</v>
      </c>
      <c r="K275" s="53"/>
    </row>
    <row r="276" spans="1:11" ht="19" customHeight="1">
      <c r="A276" s="62" t="s">
        <v>331</v>
      </c>
      <c r="B276" s="47"/>
      <c r="C276" s="47" t="s">
        <v>201</v>
      </c>
      <c r="D276" s="47" t="s">
        <v>130</v>
      </c>
      <c r="E276" s="47" t="s">
        <v>131</v>
      </c>
      <c r="F276" s="48">
        <v>2</v>
      </c>
      <c r="G276" s="48">
        <f>VLOOKUP(D276,단가!B:D,3,0)</f>
        <v>8000</v>
      </c>
      <c r="H276" s="48">
        <f t="shared" si="14"/>
        <v>16000</v>
      </c>
      <c r="I276" s="48">
        <f t="shared" si="15"/>
        <v>1600</v>
      </c>
      <c r="J276" s="49">
        <f t="shared" si="13"/>
        <v>17600</v>
      </c>
      <c r="K276" s="56"/>
    </row>
    <row r="277" spans="1:11" ht="19" customHeight="1">
      <c r="A277" s="62" t="s">
        <v>332</v>
      </c>
      <c r="B277" s="47"/>
      <c r="C277" s="47" t="s">
        <v>209</v>
      </c>
      <c r="D277" s="47" t="s">
        <v>153</v>
      </c>
      <c r="E277" s="47" t="s">
        <v>60</v>
      </c>
      <c r="F277" s="48">
        <v>2</v>
      </c>
      <c r="G277" s="48">
        <f>VLOOKUP(D277,단가!B:D,3,0)</f>
        <v>10500</v>
      </c>
      <c r="H277" s="48">
        <f t="shared" si="14"/>
        <v>21000</v>
      </c>
      <c r="I277" s="48">
        <f t="shared" si="15"/>
        <v>2100</v>
      </c>
      <c r="J277" s="49">
        <f t="shared" si="13"/>
        <v>23100</v>
      </c>
      <c r="K277" s="53"/>
    </row>
    <row r="278" spans="1:11" ht="19" customHeight="1">
      <c r="A278" s="62" t="s">
        <v>332</v>
      </c>
      <c r="B278" s="47"/>
      <c r="C278" s="47" t="s">
        <v>209</v>
      </c>
      <c r="D278" s="47" t="s">
        <v>171</v>
      </c>
      <c r="E278" s="47" t="s">
        <v>92</v>
      </c>
      <c r="F278" s="48">
        <v>1</v>
      </c>
      <c r="G278" s="48">
        <f>VLOOKUP(D278,단가!B:D,3,0)</f>
        <v>10500</v>
      </c>
      <c r="H278" s="48">
        <f t="shared" si="14"/>
        <v>10500</v>
      </c>
      <c r="I278" s="48">
        <f t="shared" si="15"/>
        <v>1050</v>
      </c>
      <c r="J278" s="49">
        <f t="shared" si="13"/>
        <v>11550</v>
      </c>
      <c r="K278" s="53"/>
    </row>
    <row r="279" spans="1:11" ht="19" customHeight="1">
      <c r="A279" s="62" t="s">
        <v>333</v>
      </c>
      <c r="B279" s="47"/>
      <c r="C279" s="47" t="s">
        <v>217</v>
      </c>
      <c r="D279" s="47" t="s">
        <v>61</v>
      </c>
      <c r="E279" s="47" t="s">
        <v>57</v>
      </c>
      <c r="F279" s="48">
        <v>5</v>
      </c>
      <c r="G279" s="48">
        <f>VLOOKUP(D279,단가!B:D,3,0)</f>
        <v>20000</v>
      </c>
      <c r="H279" s="48">
        <f t="shared" si="14"/>
        <v>100000</v>
      </c>
      <c r="I279" s="48">
        <f t="shared" si="15"/>
        <v>10000</v>
      </c>
      <c r="J279" s="49">
        <f t="shared" si="13"/>
        <v>110000</v>
      </c>
      <c r="K279" s="53"/>
    </row>
    <row r="280" spans="1:11" ht="19" customHeight="1">
      <c r="A280" s="62" t="s">
        <v>334</v>
      </c>
      <c r="B280" s="47"/>
      <c r="C280" s="47" t="s">
        <v>326</v>
      </c>
      <c r="D280" s="47" t="s">
        <v>61</v>
      </c>
      <c r="E280" s="47" t="s">
        <v>57</v>
      </c>
      <c r="F280" s="48">
        <v>5</v>
      </c>
      <c r="G280" s="48">
        <f>VLOOKUP(D280,단가!B:D,3,0)</f>
        <v>20000</v>
      </c>
      <c r="H280" s="48">
        <f t="shared" si="14"/>
        <v>100000</v>
      </c>
      <c r="I280" s="48">
        <f t="shared" si="15"/>
        <v>10000</v>
      </c>
      <c r="J280" s="49">
        <f t="shared" si="13"/>
        <v>110000</v>
      </c>
      <c r="K280" s="56"/>
    </row>
    <row r="281" spans="1:11" ht="19" customHeight="1">
      <c r="A281" s="62" t="s">
        <v>341</v>
      </c>
      <c r="B281" s="47"/>
      <c r="C281" s="47" t="s">
        <v>217</v>
      </c>
      <c r="D281" s="47" t="s">
        <v>147</v>
      </c>
      <c r="E281" s="47" t="s">
        <v>60</v>
      </c>
      <c r="F281" s="48">
        <v>5</v>
      </c>
      <c r="G281" s="48">
        <f>VLOOKUP(D281,단가!B:D,3,0)</f>
        <v>10500</v>
      </c>
      <c r="H281" s="48">
        <f t="shared" si="14"/>
        <v>52500</v>
      </c>
      <c r="I281" s="48">
        <f t="shared" si="15"/>
        <v>5250</v>
      </c>
      <c r="J281" s="49">
        <f t="shared" si="13"/>
        <v>57750</v>
      </c>
      <c r="K281" s="53"/>
    </row>
    <row r="282" spans="1:11" ht="19" customHeight="1">
      <c r="A282" s="62" t="s">
        <v>341</v>
      </c>
      <c r="B282" s="47"/>
      <c r="C282" s="47" t="s">
        <v>217</v>
      </c>
      <c r="D282" s="47" t="s">
        <v>153</v>
      </c>
      <c r="E282" s="47" t="s">
        <v>60</v>
      </c>
      <c r="F282" s="48">
        <v>5</v>
      </c>
      <c r="G282" s="48">
        <f>VLOOKUP(D282,단가!B:D,3,0)</f>
        <v>10500</v>
      </c>
      <c r="H282" s="48">
        <f t="shared" si="14"/>
        <v>52500</v>
      </c>
      <c r="I282" s="48">
        <f t="shared" si="15"/>
        <v>5250</v>
      </c>
      <c r="J282" s="49">
        <f t="shared" si="13"/>
        <v>57750</v>
      </c>
      <c r="K282" s="53"/>
    </row>
    <row r="283" spans="1:11" ht="19" customHeight="1">
      <c r="A283" s="62" t="s">
        <v>341</v>
      </c>
      <c r="B283" s="47"/>
      <c r="C283" s="47" t="s">
        <v>217</v>
      </c>
      <c r="D283" s="47" t="s">
        <v>154</v>
      </c>
      <c r="E283" s="47" t="s">
        <v>60</v>
      </c>
      <c r="F283" s="48">
        <v>5</v>
      </c>
      <c r="G283" s="48">
        <f>VLOOKUP(D283,단가!B:D,3,0)</f>
        <v>10500</v>
      </c>
      <c r="H283" s="48">
        <f t="shared" si="14"/>
        <v>52500</v>
      </c>
      <c r="I283" s="48">
        <f t="shared" si="15"/>
        <v>5250</v>
      </c>
      <c r="J283" s="49">
        <f t="shared" si="13"/>
        <v>57750</v>
      </c>
      <c r="K283" s="53"/>
    </row>
    <row r="284" spans="1:11" ht="19" customHeight="1">
      <c r="A284" s="62" t="s">
        <v>341</v>
      </c>
      <c r="B284" s="47"/>
      <c r="C284" s="47" t="s">
        <v>217</v>
      </c>
      <c r="D284" s="47" t="s">
        <v>149</v>
      </c>
      <c r="E284" s="47" t="s">
        <v>60</v>
      </c>
      <c r="F284" s="48">
        <v>5</v>
      </c>
      <c r="G284" s="48">
        <f>VLOOKUP(D284,단가!B:D,3,0)</f>
        <v>10500</v>
      </c>
      <c r="H284" s="48">
        <f t="shared" si="14"/>
        <v>52500</v>
      </c>
      <c r="I284" s="48">
        <f t="shared" si="15"/>
        <v>5250</v>
      </c>
      <c r="J284" s="49">
        <f t="shared" si="13"/>
        <v>57750</v>
      </c>
      <c r="K284" s="53"/>
    </row>
    <row r="285" spans="1:11" ht="19" customHeight="1">
      <c r="A285" s="62" t="s">
        <v>341</v>
      </c>
      <c r="B285" s="47"/>
      <c r="C285" s="47" t="s">
        <v>217</v>
      </c>
      <c r="D285" s="47" t="s">
        <v>152</v>
      </c>
      <c r="E285" s="47" t="s">
        <v>60</v>
      </c>
      <c r="F285" s="48">
        <v>5</v>
      </c>
      <c r="G285" s="48">
        <f>VLOOKUP(D285,단가!B:D,3,0)</f>
        <v>10500</v>
      </c>
      <c r="H285" s="48">
        <f t="shared" si="14"/>
        <v>52500</v>
      </c>
      <c r="I285" s="48">
        <f t="shared" si="15"/>
        <v>5250</v>
      </c>
      <c r="J285" s="49">
        <f t="shared" si="13"/>
        <v>57750</v>
      </c>
      <c r="K285" s="53"/>
    </row>
    <row r="286" spans="1:11" ht="19" customHeight="1">
      <c r="A286" s="62" t="s">
        <v>341</v>
      </c>
      <c r="B286" s="47"/>
      <c r="C286" s="47" t="s">
        <v>217</v>
      </c>
      <c r="D286" s="47" t="s">
        <v>148</v>
      </c>
      <c r="E286" s="47" t="s">
        <v>60</v>
      </c>
      <c r="F286" s="48">
        <v>5</v>
      </c>
      <c r="G286" s="48">
        <f>VLOOKUP(D286,단가!B:D,3,0)</f>
        <v>10500</v>
      </c>
      <c r="H286" s="48">
        <f t="shared" si="14"/>
        <v>52500</v>
      </c>
      <c r="I286" s="48">
        <f t="shared" si="15"/>
        <v>5250</v>
      </c>
      <c r="J286" s="49">
        <f t="shared" si="13"/>
        <v>57750</v>
      </c>
      <c r="K286" s="53"/>
    </row>
    <row r="287" spans="1:11" ht="19" customHeight="1">
      <c r="A287" s="62" t="s">
        <v>341</v>
      </c>
      <c r="B287" s="47"/>
      <c r="C287" s="47" t="s">
        <v>217</v>
      </c>
      <c r="D287" s="47" t="s">
        <v>151</v>
      </c>
      <c r="E287" s="47" t="s">
        <v>60</v>
      </c>
      <c r="F287" s="48">
        <v>5</v>
      </c>
      <c r="G287" s="48">
        <f>VLOOKUP(D287,단가!B:D,3,0)</f>
        <v>10500</v>
      </c>
      <c r="H287" s="48">
        <f t="shared" si="14"/>
        <v>52500</v>
      </c>
      <c r="I287" s="48">
        <f t="shared" si="15"/>
        <v>5250</v>
      </c>
      <c r="J287" s="49">
        <f t="shared" si="13"/>
        <v>57750</v>
      </c>
      <c r="K287" s="53"/>
    </row>
    <row r="288" spans="1:11" ht="19" customHeight="1">
      <c r="A288" s="62" t="s">
        <v>342</v>
      </c>
      <c r="B288" s="47"/>
      <c r="C288" s="47" t="s">
        <v>294</v>
      </c>
      <c r="D288" s="47" t="s">
        <v>61</v>
      </c>
      <c r="E288" s="47" t="s">
        <v>57</v>
      </c>
      <c r="F288" s="48">
        <v>3</v>
      </c>
      <c r="G288" s="48">
        <f>VLOOKUP(D288,단가!B:D,3,0)</f>
        <v>20000</v>
      </c>
      <c r="H288" s="48">
        <f t="shared" si="14"/>
        <v>60000</v>
      </c>
      <c r="I288" s="48">
        <f t="shared" si="15"/>
        <v>6000</v>
      </c>
      <c r="J288" s="49">
        <f t="shared" si="13"/>
        <v>66000</v>
      </c>
      <c r="K288" s="53"/>
    </row>
    <row r="289" spans="1:11" ht="19" customHeight="1">
      <c r="A289" s="62" t="s">
        <v>345</v>
      </c>
      <c r="B289" s="47"/>
      <c r="C289" s="47" t="s">
        <v>217</v>
      </c>
      <c r="D289" s="47" t="s">
        <v>61</v>
      </c>
      <c r="E289" s="47" t="s">
        <v>57</v>
      </c>
      <c r="F289" s="48">
        <v>5</v>
      </c>
      <c r="G289" s="48">
        <f>VLOOKUP(D289,단가!B:D,3,0)</f>
        <v>20000</v>
      </c>
      <c r="H289" s="48">
        <f t="shared" si="14"/>
        <v>100000</v>
      </c>
      <c r="I289" s="48">
        <f t="shared" si="15"/>
        <v>10000</v>
      </c>
      <c r="J289" s="49">
        <f t="shared" si="13"/>
        <v>110000</v>
      </c>
      <c r="K289" s="53"/>
    </row>
    <row r="290" spans="1:11" ht="19" customHeight="1">
      <c r="A290" s="62" t="s">
        <v>345</v>
      </c>
      <c r="B290" s="47"/>
      <c r="C290" s="47" t="s">
        <v>217</v>
      </c>
      <c r="D290" s="47" t="s">
        <v>146</v>
      </c>
      <c r="E290" s="47" t="s">
        <v>60</v>
      </c>
      <c r="F290" s="48">
        <v>10</v>
      </c>
      <c r="G290" s="48">
        <f>VLOOKUP(D290,단가!B:D,3,0)</f>
        <v>10500</v>
      </c>
      <c r="H290" s="48">
        <f t="shared" si="14"/>
        <v>105000</v>
      </c>
      <c r="I290" s="48">
        <f t="shared" si="15"/>
        <v>10500</v>
      </c>
      <c r="J290" s="49">
        <f t="shared" si="13"/>
        <v>115500</v>
      </c>
      <c r="K290" s="53"/>
    </row>
    <row r="291" spans="1:11" ht="19" customHeight="1">
      <c r="A291" s="62" t="s">
        <v>345</v>
      </c>
      <c r="B291" s="47"/>
      <c r="C291" s="47" t="s">
        <v>201</v>
      </c>
      <c r="D291" s="47" t="s">
        <v>130</v>
      </c>
      <c r="E291" s="47" t="s">
        <v>131</v>
      </c>
      <c r="F291" s="48">
        <v>3</v>
      </c>
      <c r="G291" s="48">
        <f>VLOOKUP(D291,단가!B:D,3,0)</f>
        <v>8000</v>
      </c>
      <c r="H291" s="48">
        <f t="shared" si="14"/>
        <v>24000</v>
      </c>
      <c r="I291" s="48">
        <f t="shared" si="15"/>
        <v>2400</v>
      </c>
      <c r="J291" s="49">
        <f t="shared" si="13"/>
        <v>26400</v>
      </c>
      <c r="K291" s="53"/>
    </row>
    <row r="292" spans="1:11" ht="19" customHeight="1">
      <c r="A292" s="62" t="s">
        <v>345</v>
      </c>
      <c r="B292" s="47"/>
      <c r="C292" s="47" t="s">
        <v>201</v>
      </c>
      <c r="D292" s="47" t="s">
        <v>182</v>
      </c>
      <c r="E292" s="47"/>
      <c r="F292" s="48">
        <v>1</v>
      </c>
      <c r="G292" s="48">
        <f>VLOOKUP(D292,단가!B:D,3,0)</f>
        <v>3000</v>
      </c>
      <c r="H292" s="48">
        <f t="shared" si="14"/>
        <v>3000</v>
      </c>
      <c r="I292" s="48"/>
      <c r="J292" s="49">
        <f t="shared" si="13"/>
        <v>3000</v>
      </c>
      <c r="K292" s="56"/>
    </row>
    <row r="293" spans="1:11" ht="19" customHeight="1">
      <c r="A293" s="62" t="s">
        <v>346</v>
      </c>
      <c r="B293" s="47"/>
      <c r="C293" s="47" t="s">
        <v>326</v>
      </c>
      <c r="D293" s="47" t="s">
        <v>61</v>
      </c>
      <c r="E293" s="47" t="s">
        <v>57</v>
      </c>
      <c r="F293" s="48">
        <v>5</v>
      </c>
      <c r="G293" s="48">
        <f>VLOOKUP(D293,단가!B:D,3,0)</f>
        <v>20000</v>
      </c>
      <c r="H293" s="48">
        <f t="shared" si="14"/>
        <v>100000</v>
      </c>
      <c r="I293" s="48">
        <f t="shared" si="15"/>
        <v>10000</v>
      </c>
      <c r="J293" s="49">
        <f t="shared" si="13"/>
        <v>110000</v>
      </c>
      <c r="K293" s="53"/>
    </row>
    <row r="294" spans="1:11" ht="19" customHeight="1">
      <c r="A294" s="62" t="s">
        <v>352</v>
      </c>
      <c r="B294" s="47"/>
      <c r="C294" s="47" t="s">
        <v>127</v>
      </c>
      <c r="D294" s="47" t="s">
        <v>137</v>
      </c>
      <c r="E294" s="47" t="s">
        <v>57</v>
      </c>
      <c r="F294" s="48">
        <v>10</v>
      </c>
      <c r="G294" s="48">
        <f>VLOOKUP(D294,단가!B:D,3,0)</f>
        <v>19000</v>
      </c>
      <c r="H294" s="48">
        <f t="shared" si="14"/>
        <v>190000</v>
      </c>
      <c r="I294" s="48">
        <f t="shared" si="15"/>
        <v>19000</v>
      </c>
      <c r="J294" s="49">
        <f t="shared" si="13"/>
        <v>209000</v>
      </c>
      <c r="K294" s="53"/>
    </row>
    <row r="295" spans="1:11" ht="19" customHeight="1">
      <c r="A295" s="62" t="s">
        <v>352</v>
      </c>
      <c r="B295" s="47"/>
      <c r="C295" s="47" t="s">
        <v>209</v>
      </c>
      <c r="D295" s="47" t="s">
        <v>61</v>
      </c>
      <c r="E295" s="47" t="s">
        <v>57</v>
      </c>
      <c r="F295" s="48">
        <v>15</v>
      </c>
      <c r="G295" s="48">
        <f>VLOOKUP(D295,단가!B:D,3,0)</f>
        <v>20000</v>
      </c>
      <c r="H295" s="48">
        <f t="shared" si="14"/>
        <v>300000</v>
      </c>
      <c r="I295" s="48">
        <f t="shared" si="15"/>
        <v>30000</v>
      </c>
      <c r="J295" s="49">
        <f t="shared" si="13"/>
        <v>330000</v>
      </c>
      <c r="K295" s="53"/>
    </row>
    <row r="296" spans="1:11" ht="19" customHeight="1">
      <c r="A296" s="62" t="s">
        <v>353</v>
      </c>
      <c r="B296" s="47"/>
      <c r="C296" s="47" t="s">
        <v>123</v>
      </c>
      <c r="D296" s="47" t="s">
        <v>137</v>
      </c>
      <c r="E296" s="47" t="s">
        <v>57</v>
      </c>
      <c r="F296" s="48">
        <v>10</v>
      </c>
      <c r="G296" s="48">
        <f>VLOOKUP(D296,단가!B:D,3,0)</f>
        <v>19000</v>
      </c>
      <c r="H296" s="48">
        <f t="shared" si="14"/>
        <v>190000</v>
      </c>
      <c r="I296" s="48">
        <f t="shared" si="15"/>
        <v>19000</v>
      </c>
      <c r="J296" s="49">
        <f t="shared" si="13"/>
        <v>209000</v>
      </c>
      <c r="K296" s="53"/>
    </row>
    <row r="297" spans="1:11" ht="19" customHeight="1">
      <c r="A297" s="62" t="s">
        <v>353</v>
      </c>
      <c r="B297" s="47"/>
      <c r="C297" s="47" t="s">
        <v>123</v>
      </c>
      <c r="D297" s="47" t="s">
        <v>130</v>
      </c>
      <c r="E297" s="47" t="s">
        <v>131</v>
      </c>
      <c r="F297" s="48">
        <v>2</v>
      </c>
      <c r="G297" s="48">
        <f>VLOOKUP(D297,단가!B:D,3,0)</f>
        <v>8000</v>
      </c>
      <c r="H297" s="48">
        <f t="shared" si="14"/>
        <v>16000</v>
      </c>
      <c r="I297" s="48">
        <f t="shared" si="15"/>
        <v>1600</v>
      </c>
      <c r="J297" s="49">
        <f t="shared" si="13"/>
        <v>17600</v>
      </c>
      <c r="K297" s="53"/>
    </row>
    <row r="298" spans="1:11" ht="19" customHeight="1">
      <c r="A298" s="62" t="s">
        <v>353</v>
      </c>
      <c r="B298" s="47"/>
      <c r="C298" s="47" t="s">
        <v>123</v>
      </c>
      <c r="D298" s="47" t="s">
        <v>129</v>
      </c>
      <c r="E298" s="47" t="s">
        <v>131</v>
      </c>
      <c r="F298" s="48">
        <v>2</v>
      </c>
      <c r="G298" s="48">
        <f>VLOOKUP(D298,단가!B:D,3,0)</f>
        <v>6000</v>
      </c>
      <c r="H298" s="48">
        <f t="shared" si="14"/>
        <v>12000</v>
      </c>
      <c r="I298" s="48">
        <f t="shared" si="15"/>
        <v>1200</v>
      </c>
      <c r="J298" s="49">
        <f t="shared" si="13"/>
        <v>13200</v>
      </c>
      <c r="K298" s="53"/>
    </row>
    <row r="299" spans="1:11" ht="19" customHeight="1">
      <c r="A299" s="62" t="s">
        <v>354</v>
      </c>
      <c r="B299" s="47"/>
      <c r="C299" s="47" t="s">
        <v>217</v>
      </c>
      <c r="D299" s="47" t="s">
        <v>152</v>
      </c>
      <c r="E299" s="47" t="s">
        <v>60</v>
      </c>
      <c r="F299" s="48">
        <v>5</v>
      </c>
      <c r="G299" s="48">
        <f>VLOOKUP(D299,단가!B:D,3,0)</f>
        <v>10500</v>
      </c>
      <c r="H299" s="48">
        <f t="shared" si="14"/>
        <v>52500</v>
      </c>
      <c r="I299" s="48">
        <f t="shared" si="15"/>
        <v>5250</v>
      </c>
      <c r="J299" s="49">
        <f t="shared" si="13"/>
        <v>57750</v>
      </c>
      <c r="K299" s="53"/>
    </row>
    <row r="300" spans="1:11" ht="19" customHeight="1">
      <c r="A300" s="62" t="s">
        <v>354</v>
      </c>
      <c r="B300" s="47"/>
      <c r="C300" s="47" t="s">
        <v>217</v>
      </c>
      <c r="D300" s="47" t="s">
        <v>151</v>
      </c>
      <c r="E300" s="47" t="s">
        <v>60</v>
      </c>
      <c r="F300" s="48">
        <v>5</v>
      </c>
      <c r="G300" s="48">
        <f>VLOOKUP(D300,단가!B:D,3,0)</f>
        <v>10500</v>
      </c>
      <c r="H300" s="48">
        <f t="shared" si="14"/>
        <v>52500</v>
      </c>
      <c r="I300" s="48">
        <f t="shared" si="15"/>
        <v>5250</v>
      </c>
      <c r="J300" s="49">
        <f t="shared" si="13"/>
        <v>57750</v>
      </c>
      <c r="K300" s="53"/>
    </row>
    <row r="301" spans="1:11" ht="19" customHeight="1">
      <c r="A301" s="62" t="s">
        <v>354</v>
      </c>
      <c r="B301" s="47"/>
      <c r="C301" s="47" t="s">
        <v>217</v>
      </c>
      <c r="D301" s="47" t="s">
        <v>154</v>
      </c>
      <c r="E301" s="47" t="s">
        <v>60</v>
      </c>
      <c r="F301" s="48">
        <v>5</v>
      </c>
      <c r="G301" s="48">
        <f>VLOOKUP(D301,단가!B:D,3,0)</f>
        <v>10500</v>
      </c>
      <c r="H301" s="48">
        <f t="shared" si="14"/>
        <v>52500</v>
      </c>
      <c r="I301" s="48">
        <f t="shared" si="15"/>
        <v>5250</v>
      </c>
      <c r="J301" s="49">
        <f t="shared" si="13"/>
        <v>57750</v>
      </c>
      <c r="K301" s="53"/>
    </row>
    <row r="302" spans="1:11" ht="19" customHeight="1">
      <c r="A302" s="62" t="s">
        <v>354</v>
      </c>
      <c r="B302" s="47"/>
      <c r="C302" s="47" t="s">
        <v>217</v>
      </c>
      <c r="D302" s="47" t="s">
        <v>153</v>
      </c>
      <c r="E302" s="47" t="s">
        <v>60</v>
      </c>
      <c r="F302" s="48">
        <v>5</v>
      </c>
      <c r="G302" s="48">
        <f>VLOOKUP(D302,단가!B:D,3,0)</f>
        <v>10500</v>
      </c>
      <c r="H302" s="48">
        <f t="shared" si="14"/>
        <v>52500</v>
      </c>
      <c r="I302" s="48">
        <f t="shared" si="15"/>
        <v>5250</v>
      </c>
      <c r="J302" s="49">
        <f t="shared" si="13"/>
        <v>57750</v>
      </c>
      <c r="K302" s="53"/>
    </row>
    <row r="303" spans="1:11" ht="19" customHeight="1">
      <c r="A303" s="62" t="s">
        <v>354</v>
      </c>
      <c r="B303" s="47"/>
      <c r="C303" s="47" t="s">
        <v>217</v>
      </c>
      <c r="D303" s="47" t="s">
        <v>149</v>
      </c>
      <c r="E303" s="47" t="s">
        <v>60</v>
      </c>
      <c r="F303" s="48">
        <v>5</v>
      </c>
      <c r="G303" s="48">
        <f>VLOOKUP(D303,단가!B:D,3,0)</f>
        <v>10500</v>
      </c>
      <c r="H303" s="48">
        <f t="shared" si="14"/>
        <v>52500</v>
      </c>
      <c r="I303" s="48">
        <f t="shared" si="15"/>
        <v>5250</v>
      </c>
      <c r="J303" s="49">
        <f t="shared" si="13"/>
        <v>57750</v>
      </c>
      <c r="K303" s="53"/>
    </row>
    <row r="304" spans="1:11" ht="19" customHeight="1">
      <c r="A304" s="62" t="s">
        <v>354</v>
      </c>
      <c r="B304" s="47"/>
      <c r="C304" s="47" t="s">
        <v>217</v>
      </c>
      <c r="D304" s="47" t="s">
        <v>150</v>
      </c>
      <c r="E304" s="47" t="s">
        <v>60</v>
      </c>
      <c r="F304" s="48">
        <v>5</v>
      </c>
      <c r="G304" s="48">
        <f>VLOOKUP(D304,단가!B:D,3,0)</f>
        <v>10500</v>
      </c>
      <c r="H304" s="48">
        <f t="shared" si="14"/>
        <v>52500</v>
      </c>
      <c r="I304" s="48">
        <f t="shared" si="15"/>
        <v>5250</v>
      </c>
      <c r="J304" s="49">
        <f t="shared" si="13"/>
        <v>57750</v>
      </c>
      <c r="K304" s="53"/>
    </row>
    <row r="305" spans="1:11" ht="19" customHeight="1">
      <c r="A305" s="62" t="s">
        <v>354</v>
      </c>
      <c r="B305" s="47"/>
      <c r="C305" s="47" t="s">
        <v>217</v>
      </c>
      <c r="D305" s="47" t="s">
        <v>148</v>
      </c>
      <c r="E305" s="47" t="s">
        <v>60</v>
      </c>
      <c r="F305" s="48">
        <v>5</v>
      </c>
      <c r="G305" s="48">
        <f>VLOOKUP(D305,단가!B:D,3,0)</f>
        <v>10500</v>
      </c>
      <c r="H305" s="48">
        <f t="shared" si="14"/>
        <v>52500</v>
      </c>
      <c r="I305" s="48">
        <f t="shared" si="15"/>
        <v>5250</v>
      </c>
      <c r="J305" s="49">
        <f t="shared" si="13"/>
        <v>57750</v>
      </c>
      <c r="K305" s="53"/>
    </row>
    <row r="306" spans="1:11" ht="19" customHeight="1">
      <c r="A306" s="62" t="s">
        <v>354</v>
      </c>
      <c r="B306" s="47"/>
      <c r="C306" s="47" t="s">
        <v>217</v>
      </c>
      <c r="D306" s="47" t="s">
        <v>147</v>
      </c>
      <c r="E306" s="47" t="s">
        <v>60</v>
      </c>
      <c r="F306" s="48">
        <v>5</v>
      </c>
      <c r="G306" s="48">
        <f>VLOOKUP(D306,단가!B:D,3,0)</f>
        <v>10500</v>
      </c>
      <c r="H306" s="48">
        <f t="shared" si="14"/>
        <v>52500</v>
      </c>
      <c r="I306" s="48">
        <f t="shared" si="15"/>
        <v>5250</v>
      </c>
      <c r="J306" s="49">
        <f t="shared" si="13"/>
        <v>57750</v>
      </c>
      <c r="K306" s="53"/>
    </row>
    <row r="307" spans="1:11" ht="19" customHeight="1">
      <c r="A307" s="62" t="s">
        <v>354</v>
      </c>
      <c r="B307" s="47"/>
      <c r="C307" s="47" t="s">
        <v>217</v>
      </c>
      <c r="D307" s="47" t="s">
        <v>61</v>
      </c>
      <c r="E307" s="47" t="s">
        <v>57</v>
      </c>
      <c r="F307" s="48">
        <v>5</v>
      </c>
      <c r="G307" s="48">
        <f>VLOOKUP(D307,단가!B:D,3,0)</f>
        <v>20000</v>
      </c>
      <c r="H307" s="48">
        <f t="shared" si="14"/>
        <v>100000</v>
      </c>
      <c r="I307" s="48">
        <f t="shared" si="15"/>
        <v>10000</v>
      </c>
      <c r="J307" s="49">
        <f t="shared" si="13"/>
        <v>110000</v>
      </c>
      <c r="K307" s="53"/>
    </row>
    <row r="308" spans="1:11" ht="19" customHeight="1">
      <c r="A308" s="62" t="s">
        <v>354</v>
      </c>
      <c r="B308" s="47"/>
      <c r="C308" s="47" t="s">
        <v>355</v>
      </c>
      <c r="D308" s="47" t="s">
        <v>61</v>
      </c>
      <c r="E308" s="47" t="s">
        <v>57</v>
      </c>
      <c r="F308" s="48">
        <v>3</v>
      </c>
      <c r="G308" s="48">
        <f>VLOOKUP(D308,단가!B:D,3,0)</f>
        <v>20000</v>
      </c>
      <c r="H308" s="48">
        <f t="shared" si="14"/>
        <v>60000</v>
      </c>
      <c r="I308" s="48">
        <f t="shared" si="15"/>
        <v>6000</v>
      </c>
      <c r="J308" s="49">
        <f t="shared" si="13"/>
        <v>66000</v>
      </c>
      <c r="K308" s="53"/>
    </row>
    <row r="309" spans="1:11" ht="19" customHeight="1">
      <c r="A309" s="62" t="s">
        <v>354</v>
      </c>
      <c r="B309" s="47"/>
      <c r="C309" s="47" t="s">
        <v>355</v>
      </c>
      <c r="D309" s="47" t="s">
        <v>362</v>
      </c>
      <c r="E309" s="47" t="s">
        <v>92</v>
      </c>
      <c r="F309" s="48">
        <v>1</v>
      </c>
      <c r="G309" s="48">
        <f>VLOOKUP(D309,단가!B:D,3,0)</f>
        <v>10500</v>
      </c>
      <c r="H309" s="48">
        <f t="shared" si="14"/>
        <v>10500</v>
      </c>
      <c r="I309" s="48">
        <f t="shared" si="15"/>
        <v>1050</v>
      </c>
      <c r="J309" s="49">
        <f t="shared" ref="J309:J372" si="16">H309+I309</f>
        <v>11550</v>
      </c>
      <c r="K309" s="56"/>
    </row>
    <row r="310" spans="1:11" ht="19" customHeight="1">
      <c r="A310" s="62" t="s">
        <v>364</v>
      </c>
      <c r="B310" s="47"/>
      <c r="C310" s="47" t="s">
        <v>209</v>
      </c>
      <c r="D310" s="47" t="s">
        <v>146</v>
      </c>
      <c r="E310" s="47" t="s">
        <v>60</v>
      </c>
      <c r="F310" s="48">
        <v>2</v>
      </c>
      <c r="G310" s="48">
        <f>VLOOKUP(D310,단가!B:D,3,0)</f>
        <v>10500</v>
      </c>
      <c r="H310" s="48">
        <f t="shared" ref="H310:H373" si="17">F310*G310</f>
        <v>21000</v>
      </c>
      <c r="I310" s="48">
        <f t="shared" ref="I310:I373" si="18">H310*0.1</f>
        <v>2100</v>
      </c>
      <c r="J310" s="49">
        <f t="shared" si="16"/>
        <v>23100</v>
      </c>
      <c r="K310" s="53"/>
    </row>
    <row r="311" spans="1:11" ht="19" customHeight="1">
      <c r="A311" s="62" t="s">
        <v>364</v>
      </c>
      <c r="B311" s="47"/>
      <c r="C311" s="47" t="s">
        <v>209</v>
      </c>
      <c r="D311" s="47" t="s">
        <v>153</v>
      </c>
      <c r="E311" s="47" t="s">
        <v>60</v>
      </c>
      <c r="F311" s="48">
        <v>1</v>
      </c>
      <c r="G311" s="48">
        <f>VLOOKUP(D311,단가!B:D,3,0)</f>
        <v>10500</v>
      </c>
      <c r="H311" s="48">
        <f t="shared" si="17"/>
        <v>10500</v>
      </c>
      <c r="I311" s="48">
        <f t="shared" si="18"/>
        <v>1050</v>
      </c>
      <c r="J311" s="49">
        <f t="shared" si="16"/>
        <v>11550</v>
      </c>
      <c r="K311" s="53"/>
    </row>
    <row r="312" spans="1:11" ht="19" customHeight="1">
      <c r="A312" s="62" t="s">
        <v>364</v>
      </c>
      <c r="B312" s="47"/>
      <c r="C312" s="47" t="s">
        <v>209</v>
      </c>
      <c r="D312" s="47" t="s">
        <v>152</v>
      </c>
      <c r="E312" s="47" t="s">
        <v>60</v>
      </c>
      <c r="F312" s="48">
        <v>1</v>
      </c>
      <c r="G312" s="48">
        <f>VLOOKUP(D312,단가!B:D,3,0)</f>
        <v>10500</v>
      </c>
      <c r="H312" s="48">
        <f t="shared" si="17"/>
        <v>10500</v>
      </c>
      <c r="I312" s="48">
        <f t="shared" si="18"/>
        <v>1050</v>
      </c>
      <c r="J312" s="49">
        <f t="shared" si="16"/>
        <v>11550</v>
      </c>
      <c r="K312" s="53"/>
    </row>
    <row r="313" spans="1:11" ht="19" customHeight="1">
      <c r="A313" s="62" t="s">
        <v>365</v>
      </c>
      <c r="B313" s="47"/>
      <c r="C313" s="47" t="s">
        <v>294</v>
      </c>
      <c r="D313" s="47" t="s">
        <v>302</v>
      </c>
      <c r="E313" s="47" t="s">
        <v>57</v>
      </c>
      <c r="F313" s="48">
        <v>1</v>
      </c>
      <c r="G313" s="48">
        <f>VLOOKUP(D313,단가!B:D,3,0)</f>
        <v>22000</v>
      </c>
      <c r="H313" s="48">
        <f t="shared" si="17"/>
        <v>22000</v>
      </c>
      <c r="I313" s="48">
        <f t="shared" si="18"/>
        <v>2200</v>
      </c>
      <c r="J313" s="49">
        <f t="shared" si="16"/>
        <v>24200</v>
      </c>
      <c r="K313" s="53"/>
    </row>
    <row r="314" spans="1:11" ht="19" customHeight="1">
      <c r="A314" s="62" t="s">
        <v>366</v>
      </c>
      <c r="B314" s="47"/>
      <c r="C314" s="47" t="s">
        <v>108</v>
      </c>
      <c r="D314" s="47" t="s">
        <v>302</v>
      </c>
      <c r="E314" s="47" t="s">
        <v>57</v>
      </c>
      <c r="F314" s="48">
        <v>1</v>
      </c>
      <c r="G314" s="48">
        <f>VLOOKUP(D314,단가!B:D,3,0)</f>
        <v>22000</v>
      </c>
      <c r="H314" s="48">
        <f t="shared" si="17"/>
        <v>22000</v>
      </c>
      <c r="I314" s="48">
        <f t="shared" si="18"/>
        <v>2200</v>
      </c>
      <c r="J314" s="49">
        <f t="shared" si="16"/>
        <v>24200</v>
      </c>
      <c r="K314" s="53"/>
    </row>
    <row r="315" spans="1:11" ht="19" customHeight="1">
      <c r="A315" s="62" t="s">
        <v>366</v>
      </c>
      <c r="B315" s="47"/>
      <c r="C315" s="47" t="s">
        <v>217</v>
      </c>
      <c r="D315" s="47" t="s">
        <v>149</v>
      </c>
      <c r="E315" s="47" t="s">
        <v>60</v>
      </c>
      <c r="F315" s="48">
        <v>5</v>
      </c>
      <c r="G315" s="48">
        <f>VLOOKUP(D315,단가!B:D,3,0)</f>
        <v>10500</v>
      </c>
      <c r="H315" s="48">
        <f t="shared" si="17"/>
        <v>52500</v>
      </c>
      <c r="I315" s="48">
        <f t="shared" si="18"/>
        <v>5250</v>
      </c>
      <c r="J315" s="49">
        <f t="shared" si="16"/>
        <v>57750</v>
      </c>
      <c r="K315" s="53"/>
    </row>
    <row r="316" spans="1:11" ht="19" customHeight="1">
      <c r="A316" s="62" t="s">
        <v>366</v>
      </c>
      <c r="B316" s="47"/>
      <c r="C316" s="47" t="s">
        <v>217</v>
      </c>
      <c r="D316" s="47" t="s">
        <v>152</v>
      </c>
      <c r="E316" s="47" t="s">
        <v>60</v>
      </c>
      <c r="F316" s="48">
        <v>5</v>
      </c>
      <c r="G316" s="48">
        <f>VLOOKUP(D316,단가!B:D,3,0)</f>
        <v>10500</v>
      </c>
      <c r="H316" s="48">
        <f t="shared" si="17"/>
        <v>52500</v>
      </c>
      <c r="I316" s="48">
        <f t="shared" si="18"/>
        <v>5250</v>
      </c>
      <c r="J316" s="49">
        <f t="shared" si="16"/>
        <v>57750</v>
      </c>
      <c r="K316" s="53"/>
    </row>
    <row r="317" spans="1:11" ht="19" customHeight="1">
      <c r="A317" s="62" t="s">
        <v>366</v>
      </c>
      <c r="B317" s="47"/>
      <c r="C317" s="47" t="s">
        <v>217</v>
      </c>
      <c r="D317" s="47" t="s">
        <v>146</v>
      </c>
      <c r="E317" s="47" t="s">
        <v>60</v>
      </c>
      <c r="F317" s="48">
        <v>5</v>
      </c>
      <c r="G317" s="48">
        <f>VLOOKUP(D317,단가!B:D,3,0)</f>
        <v>10500</v>
      </c>
      <c r="H317" s="48">
        <f t="shared" si="17"/>
        <v>52500</v>
      </c>
      <c r="I317" s="48">
        <f t="shared" si="18"/>
        <v>5250</v>
      </c>
      <c r="J317" s="49">
        <f t="shared" si="16"/>
        <v>57750</v>
      </c>
      <c r="K317" s="53"/>
    </row>
    <row r="318" spans="1:11" ht="19" customHeight="1">
      <c r="A318" s="62" t="s">
        <v>367</v>
      </c>
      <c r="B318" s="47"/>
      <c r="C318" s="47" t="s">
        <v>294</v>
      </c>
      <c r="D318" s="47" t="s">
        <v>61</v>
      </c>
      <c r="E318" s="47" t="s">
        <v>57</v>
      </c>
      <c r="F318" s="48">
        <v>4</v>
      </c>
      <c r="G318" s="48">
        <f>VLOOKUP(D318,단가!B:D,3,0)</f>
        <v>20000</v>
      </c>
      <c r="H318" s="48">
        <f t="shared" si="17"/>
        <v>80000</v>
      </c>
      <c r="I318" s="48">
        <f t="shared" si="18"/>
        <v>8000</v>
      </c>
      <c r="J318" s="49">
        <f t="shared" si="16"/>
        <v>88000</v>
      </c>
      <c r="K318" s="53"/>
    </row>
    <row r="319" spans="1:11" ht="19" customHeight="1">
      <c r="A319" s="62" t="s">
        <v>367</v>
      </c>
      <c r="B319" s="47"/>
      <c r="C319" s="47" t="s">
        <v>217</v>
      </c>
      <c r="D319" s="47" t="s">
        <v>61</v>
      </c>
      <c r="E319" s="47" t="s">
        <v>57</v>
      </c>
      <c r="F319" s="48">
        <v>5</v>
      </c>
      <c r="G319" s="48">
        <f>VLOOKUP(D319,단가!B:D,3,0)</f>
        <v>20000</v>
      </c>
      <c r="H319" s="48">
        <f t="shared" si="17"/>
        <v>100000</v>
      </c>
      <c r="I319" s="48">
        <f t="shared" si="18"/>
        <v>10000</v>
      </c>
      <c r="J319" s="49">
        <f t="shared" si="16"/>
        <v>110000</v>
      </c>
      <c r="K319" s="56"/>
    </row>
    <row r="320" spans="1:11" ht="19" customHeight="1">
      <c r="A320" s="62" t="s">
        <v>368</v>
      </c>
      <c r="B320" s="47"/>
      <c r="C320" s="47" t="s">
        <v>209</v>
      </c>
      <c r="D320" s="47" t="s">
        <v>162</v>
      </c>
      <c r="E320" s="47" t="s">
        <v>92</v>
      </c>
      <c r="F320" s="48">
        <v>2</v>
      </c>
      <c r="G320" s="48">
        <f>VLOOKUP(D320,단가!B:D,3,0)</f>
        <v>10500</v>
      </c>
      <c r="H320" s="48">
        <f t="shared" si="17"/>
        <v>21000</v>
      </c>
      <c r="I320" s="48">
        <f t="shared" si="18"/>
        <v>2100</v>
      </c>
      <c r="J320" s="49">
        <f t="shared" si="16"/>
        <v>23100</v>
      </c>
      <c r="K320" s="53"/>
    </row>
    <row r="321" spans="1:11" ht="19" customHeight="1">
      <c r="A321" s="62" t="s">
        <v>368</v>
      </c>
      <c r="B321" s="47"/>
      <c r="C321" s="47" t="s">
        <v>217</v>
      </c>
      <c r="D321" s="47" t="s">
        <v>178</v>
      </c>
      <c r="E321" s="47" t="s">
        <v>60</v>
      </c>
      <c r="F321" s="48">
        <v>5</v>
      </c>
      <c r="G321" s="48">
        <f>VLOOKUP(D321,단가!B:D,3,0)</f>
        <v>10500</v>
      </c>
      <c r="H321" s="48">
        <f t="shared" si="17"/>
        <v>52500</v>
      </c>
      <c r="I321" s="48">
        <f t="shared" si="18"/>
        <v>5250</v>
      </c>
      <c r="J321" s="49">
        <f t="shared" si="16"/>
        <v>57750</v>
      </c>
      <c r="K321" s="53"/>
    </row>
    <row r="322" spans="1:11" ht="19" customHeight="1">
      <c r="A322" s="62" t="s">
        <v>368</v>
      </c>
      <c r="B322" s="47"/>
      <c r="C322" s="47" t="s">
        <v>217</v>
      </c>
      <c r="D322" s="47" t="s">
        <v>146</v>
      </c>
      <c r="E322" s="47" t="s">
        <v>60</v>
      </c>
      <c r="F322" s="48">
        <v>5</v>
      </c>
      <c r="G322" s="48">
        <f>VLOOKUP(D322,단가!B:D,3,0)</f>
        <v>10500</v>
      </c>
      <c r="H322" s="48">
        <f t="shared" si="17"/>
        <v>52500</v>
      </c>
      <c r="I322" s="48">
        <f t="shared" si="18"/>
        <v>5250</v>
      </c>
      <c r="J322" s="49">
        <f t="shared" si="16"/>
        <v>57750</v>
      </c>
      <c r="K322" s="53"/>
    </row>
    <row r="323" spans="1:11" ht="19" customHeight="1">
      <c r="A323" s="62" t="s">
        <v>368</v>
      </c>
      <c r="B323" s="47"/>
      <c r="C323" s="47" t="s">
        <v>217</v>
      </c>
      <c r="D323" s="47" t="s">
        <v>149</v>
      </c>
      <c r="E323" s="47" t="s">
        <v>60</v>
      </c>
      <c r="F323" s="48">
        <v>5</v>
      </c>
      <c r="G323" s="48">
        <f>VLOOKUP(D323,단가!B:D,3,0)</f>
        <v>10500</v>
      </c>
      <c r="H323" s="48">
        <f t="shared" si="17"/>
        <v>52500</v>
      </c>
      <c r="I323" s="48">
        <f t="shared" si="18"/>
        <v>5250</v>
      </c>
      <c r="J323" s="49">
        <f t="shared" si="16"/>
        <v>57750</v>
      </c>
      <c r="K323" s="53"/>
    </row>
    <row r="324" spans="1:11" ht="19" customHeight="1">
      <c r="A324" s="62" t="s">
        <v>368</v>
      </c>
      <c r="B324" s="47"/>
      <c r="C324" s="47" t="s">
        <v>217</v>
      </c>
      <c r="D324" s="47" t="s">
        <v>151</v>
      </c>
      <c r="E324" s="47" t="s">
        <v>60</v>
      </c>
      <c r="F324" s="48">
        <v>5</v>
      </c>
      <c r="G324" s="48">
        <f>VLOOKUP(D324,단가!B:D,3,0)</f>
        <v>10500</v>
      </c>
      <c r="H324" s="48">
        <f t="shared" si="17"/>
        <v>52500</v>
      </c>
      <c r="I324" s="48">
        <f t="shared" si="18"/>
        <v>5250</v>
      </c>
      <c r="J324" s="49">
        <f t="shared" si="16"/>
        <v>57750</v>
      </c>
      <c r="K324" s="53"/>
    </row>
    <row r="325" spans="1:11" ht="19" customHeight="1">
      <c r="A325" s="62" t="s">
        <v>368</v>
      </c>
      <c r="B325" s="47"/>
      <c r="C325" s="47" t="s">
        <v>217</v>
      </c>
      <c r="D325" s="47" t="s">
        <v>147</v>
      </c>
      <c r="E325" s="47" t="s">
        <v>60</v>
      </c>
      <c r="F325" s="48">
        <v>5</v>
      </c>
      <c r="G325" s="48">
        <f>VLOOKUP(D325,단가!B:D,3,0)</f>
        <v>10500</v>
      </c>
      <c r="H325" s="48">
        <f t="shared" si="17"/>
        <v>52500</v>
      </c>
      <c r="I325" s="48">
        <f t="shared" si="18"/>
        <v>5250</v>
      </c>
      <c r="J325" s="49">
        <f t="shared" si="16"/>
        <v>57750</v>
      </c>
      <c r="K325" s="53"/>
    </row>
    <row r="326" spans="1:11" ht="19" customHeight="1">
      <c r="A326" s="62" t="s">
        <v>369</v>
      </c>
      <c r="B326" s="47"/>
      <c r="C326" s="47" t="s">
        <v>128</v>
      </c>
      <c r="D326" s="47" t="s">
        <v>137</v>
      </c>
      <c r="E326" s="47" t="s">
        <v>57</v>
      </c>
      <c r="F326" s="48">
        <v>3</v>
      </c>
      <c r="G326" s="48">
        <f>VLOOKUP(D326,단가!B:D,3,0)</f>
        <v>19000</v>
      </c>
      <c r="H326" s="48">
        <f t="shared" si="17"/>
        <v>57000</v>
      </c>
      <c r="I326" s="48">
        <f t="shared" si="18"/>
        <v>5700</v>
      </c>
      <c r="J326" s="49">
        <f t="shared" si="16"/>
        <v>62700</v>
      </c>
      <c r="K326" s="53"/>
    </row>
    <row r="327" spans="1:11" ht="19" customHeight="1">
      <c r="A327" s="62" t="s">
        <v>369</v>
      </c>
      <c r="B327" s="47"/>
      <c r="C327" s="47" t="s">
        <v>128</v>
      </c>
      <c r="D327" s="47" t="s">
        <v>182</v>
      </c>
      <c r="E327" s="47"/>
      <c r="F327" s="48">
        <v>1</v>
      </c>
      <c r="G327" s="48">
        <f>VLOOKUP(D327,단가!B:D,3,0)</f>
        <v>3000</v>
      </c>
      <c r="H327" s="48">
        <f t="shared" si="17"/>
        <v>3000</v>
      </c>
      <c r="I327" s="48"/>
      <c r="J327" s="49">
        <f t="shared" si="16"/>
        <v>3000</v>
      </c>
      <c r="K327" s="53"/>
    </row>
    <row r="328" spans="1:11" ht="19" customHeight="1">
      <c r="A328" s="62" t="s">
        <v>370</v>
      </c>
      <c r="B328" s="47"/>
      <c r="C328" s="47" t="s">
        <v>209</v>
      </c>
      <c r="D328" s="47" t="s">
        <v>61</v>
      </c>
      <c r="E328" s="47" t="s">
        <v>57</v>
      </c>
      <c r="F328" s="48">
        <v>5</v>
      </c>
      <c r="G328" s="48">
        <f>VLOOKUP(D328,단가!B:D,3,0)</f>
        <v>20000</v>
      </c>
      <c r="H328" s="48">
        <f t="shared" si="17"/>
        <v>100000</v>
      </c>
      <c r="I328" s="48">
        <f t="shared" si="18"/>
        <v>10000</v>
      </c>
      <c r="J328" s="49">
        <f t="shared" si="16"/>
        <v>110000</v>
      </c>
      <c r="K328" s="53"/>
    </row>
    <row r="329" spans="1:11" ht="19" customHeight="1">
      <c r="A329" s="62" t="s">
        <v>370</v>
      </c>
      <c r="B329" s="47"/>
      <c r="C329" s="47" t="s">
        <v>209</v>
      </c>
      <c r="D329" s="47" t="s">
        <v>170</v>
      </c>
      <c r="E329" s="47" t="s">
        <v>92</v>
      </c>
      <c r="F329" s="48">
        <v>1</v>
      </c>
      <c r="G329" s="48">
        <f>VLOOKUP(D329,단가!B:D,3,0)</f>
        <v>10500</v>
      </c>
      <c r="H329" s="48">
        <f t="shared" si="17"/>
        <v>10500</v>
      </c>
      <c r="I329" s="48">
        <f t="shared" si="18"/>
        <v>1050</v>
      </c>
      <c r="J329" s="49">
        <f t="shared" si="16"/>
        <v>11550</v>
      </c>
      <c r="K329" s="53"/>
    </row>
    <row r="330" spans="1:11" ht="19" customHeight="1">
      <c r="A330" s="62" t="s">
        <v>370</v>
      </c>
      <c r="B330" s="47"/>
      <c r="C330" s="47" t="s">
        <v>209</v>
      </c>
      <c r="D330" s="67" t="s">
        <v>173</v>
      </c>
      <c r="E330" s="47" t="s">
        <v>92</v>
      </c>
      <c r="F330" s="48">
        <v>1</v>
      </c>
      <c r="G330" s="48">
        <f>VLOOKUP(D330,단가!B:D,3,0)</f>
        <v>10500</v>
      </c>
      <c r="H330" s="48">
        <f t="shared" si="17"/>
        <v>10500</v>
      </c>
      <c r="I330" s="48">
        <f t="shared" si="18"/>
        <v>1050</v>
      </c>
      <c r="J330" s="49">
        <f t="shared" si="16"/>
        <v>11550</v>
      </c>
      <c r="K330" s="53"/>
    </row>
    <row r="331" spans="1:11" ht="19" customHeight="1">
      <c r="A331" s="62" t="s">
        <v>370</v>
      </c>
      <c r="B331" s="47"/>
      <c r="C331" s="47" t="s">
        <v>209</v>
      </c>
      <c r="D331" s="47" t="s">
        <v>167</v>
      </c>
      <c r="E331" s="47" t="s">
        <v>92</v>
      </c>
      <c r="F331" s="48">
        <v>2</v>
      </c>
      <c r="G331" s="48">
        <f>VLOOKUP(D331,단가!B:D,3,0)</f>
        <v>10500</v>
      </c>
      <c r="H331" s="48">
        <f t="shared" si="17"/>
        <v>21000</v>
      </c>
      <c r="I331" s="48">
        <f t="shared" si="18"/>
        <v>2100</v>
      </c>
      <c r="J331" s="49">
        <f t="shared" si="16"/>
        <v>23100</v>
      </c>
      <c r="K331" s="53"/>
    </row>
    <row r="332" spans="1:11" ht="19" customHeight="1">
      <c r="A332" s="62" t="s">
        <v>371</v>
      </c>
      <c r="B332" s="47"/>
      <c r="C332" s="47" t="s">
        <v>217</v>
      </c>
      <c r="D332" s="47" t="s">
        <v>151</v>
      </c>
      <c r="E332" s="47" t="s">
        <v>60</v>
      </c>
      <c r="F332" s="48">
        <v>5</v>
      </c>
      <c r="G332" s="48">
        <f>VLOOKUP(D332,단가!B:D,3,0)</f>
        <v>10500</v>
      </c>
      <c r="H332" s="48">
        <f t="shared" si="17"/>
        <v>52500</v>
      </c>
      <c r="I332" s="48">
        <f t="shared" si="18"/>
        <v>5250</v>
      </c>
      <c r="J332" s="49">
        <f t="shared" si="16"/>
        <v>57750</v>
      </c>
      <c r="K332" s="53"/>
    </row>
    <row r="333" spans="1:11" ht="19" customHeight="1">
      <c r="A333" s="62" t="s">
        <v>371</v>
      </c>
      <c r="B333" s="47"/>
      <c r="C333" s="47" t="s">
        <v>217</v>
      </c>
      <c r="D333" s="47" t="s">
        <v>148</v>
      </c>
      <c r="E333" s="47" t="s">
        <v>60</v>
      </c>
      <c r="F333" s="48">
        <v>5</v>
      </c>
      <c r="G333" s="48">
        <f>VLOOKUP(D333,단가!B:D,3,0)</f>
        <v>10500</v>
      </c>
      <c r="H333" s="48">
        <f t="shared" si="17"/>
        <v>52500</v>
      </c>
      <c r="I333" s="48">
        <f t="shared" si="18"/>
        <v>5250</v>
      </c>
      <c r="J333" s="49">
        <f t="shared" si="16"/>
        <v>57750</v>
      </c>
      <c r="K333" s="53"/>
    </row>
    <row r="334" spans="1:11" ht="19" customHeight="1">
      <c r="A334" s="62" t="s">
        <v>371</v>
      </c>
      <c r="B334" s="47"/>
      <c r="C334" s="47" t="s">
        <v>217</v>
      </c>
      <c r="D334" s="47" t="s">
        <v>153</v>
      </c>
      <c r="E334" s="47" t="s">
        <v>60</v>
      </c>
      <c r="F334" s="48">
        <v>5</v>
      </c>
      <c r="G334" s="48">
        <f>VLOOKUP(D334,단가!B:D,3,0)</f>
        <v>10500</v>
      </c>
      <c r="H334" s="48">
        <f t="shared" si="17"/>
        <v>52500</v>
      </c>
      <c r="I334" s="48">
        <f t="shared" si="18"/>
        <v>5250</v>
      </c>
      <c r="J334" s="49">
        <f t="shared" si="16"/>
        <v>57750</v>
      </c>
      <c r="K334" s="53"/>
    </row>
    <row r="335" spans="1:11" ht="19" customHeight="1">
      <c r="A335" s="62" t="s">
        <v>371</v>
      </c>
      <c r="B335" s="47"/>
      <c r="C335" s="47" t="s">
        <v>217</v>
      </c>
      <c r="D335" s="47" t="s">
        <v>146</v>
      </c>
      <c r="E335" s="47" t="s">
        <v>60</v>
      </c>
      <c r="F335" s="48">
        <v>5</v>
      </c>
      <c r="G335" s="48">
        <f>VLOOKUP(D335,단가!B:D,3,0)</f>
        <v>10500</v>
      </c>
      <c r="H335" s="48">
        <f t="shared" si="17"/>
        <v>52500</v>
      </c>
      <c r="I335" s="48">
        <f t="shared" si="18"/>
        <v>5250</v>
      </c>
      <c r="J335" s="49">
        <f t="shared" si="16"/>
        <v>57750</v>
      </c>
      <c r="K335" s="56"/>
    </row>
    <row r="336" spans="1:11" ht="19" customHeight="1">
      <c r="A336" s="62" t="s">
        <v>372</v>
      </c>
      <c r="B336" s="47"/>
      <c r="C336" s="47" t="s">
        <v>326</v>
      </c>
      <c r="D336" s="47" t="s">
        <v>61</v>
      </c>
      <c r="E336" s="47" t="s">
        <v>57</v>
      </c>
      <c r="F336" s="48">
        <v>5</v>
      </c>
      <c r="G336" s="48">
        <f>VLOOKUP(D336,단가!B:D,3,0)</f>
        <v>20000</v>
      </c>
      <c r="H336" s="48">
        <f t="shared" si="17"/>
        <v>100000</v>
      </c>
      <c r="I336" s="48">
        <f t="shared" si="18"/>
        <v>10000</v>
      </c>
      <c r="J336" s="49">
        <f t="shared" si="16"/>
        <v>110000</v>
      </c>
      <c r="K336" s="53"/>
    </row>
    <row r="337" spans="1:11" ht="19" customHeight="1">
      <c r="A337" s="62" t="s">
        <v>372</v>
      </c>
      <c r="B337" s="47"/>
      <c r="C337" s="47" t="s">
        <v>126</v>
      </c>
      <c r="D337" s="47" t="s">
        <v>137</v>
      </c>
      <c r="E337" s="47" t="s">
        <v>57</v>
      </c>
      <c r="F337" s="48">
        <v>10</v>
      </c>
      <c r="G337" s="48">
        <f>VLOOKUP(D337,단가!B:D,3,0)</f>
        <v>19000</v>
      </c>
      <c r="H337" s="48">
        <f t="shared" si="17"/>
        <v>190000</v>
      </c>
      <c r="I337" s="48">
        <f t="shared" si="18"/>
        <v>19000</v>
      </c>
      <c r="J337" s="49">
        <f t="shared" si="16"/>
        <v>209000</v>
      </c>
      <c r="K337" s="53"/>
    </row>
    <row r="338" spans="1:11" ht="19" customHeight="1">
      <c r="A338" s="62" t="s">
        <v>372</v>
      </c>
      <c r="B338" s="47"/>
      <c r="C338" s="47" t="s">
        <v>126</v>
      </c>
      <c r="D338" s="47" t="s">
        <v>130</v>
      </c>
      <c r="E338" s="47" t="s">
        <v>131</v>
      </c>
      <c r="F338" s="48">
        <v>2</v>
      </c>
      <c r="G338" s="48">
        <f>VLOOKUP(D338,단가!B:D,3,0)</f>
        <v>8000</v>
      </c>
      <c r="H338" s="48">
        <f t="shared" si="17"/>
        <v>16000</v>
      </c>
      <c r="I338" s="48">
        <f t="shared" si="18"/>
        <v>1600</v>
      </c>
      <c r="J338" s="49">
        <f t="shared" si="16"/>
        <v>17600</v>
      </c>
      <c r="K338" s="53"/>
    </row>
    <row r="339" spans="1:11" ht="19" customHeight="1">
      <c r="A339" s="62" t="s">
        <v>372</v>
      </c>
      <c r="B339" s="47"/>
      <c r="C339" s="47" t="s">
        <v>217</v>
      </c>
      <c r="D339" s="47" t="s">
        <v>147</v>
      </c>
      <c r="E339" s="47" t="s">
        <v>60</v>
      </c>
      <c r="F339" s="48">
        <v>5</v>
      </c>
      <c r="G339" s="48">
        <f>VLOOKUP(D339,단가!B:D,3,0)</f>
        <v>10500</v>
      </c>
      <c r="H339" s="48">
        <f t="shared" si="17"/>
        <v>52500</v>
      </c>
      <c r="I339" s="48">
        <f t="shared" si="18"/>
        <v>5250</v>
      </c>
      <c r="J339" s="49">
        <f t="shared" si="16"/>
        <v>57750</v>
      </c>
      <c r="K339" s="53"/>
    </row>
    <row r="340" spans="1:11" ht="19" customHeight="1">
      <c r="A340" s="62" t="s">
        <v>372</v>
      </c>
      <c r="B340" s="47"/>
      <c r="C340" s="47" t="s">
        <v>217</v>
      </c>
      <c r="D340" s="47" t="s">
        <v>154</v>
      </c>
      <c r="E340" s="47" t="s">
        <v>60</v>
      </c>
      <c r="F340" s="48">
        <v>5</v>
      </c>
      <c r="G340" s="48">
        <f>VLOOKUP(D340,단가!B:D,3,0)</f>
        <v>10500</v>
      </c>
      <c r="H340" s="48">
        <f t="shared" si="17"/>
        <v>52500</v>
      </c>
      <c r="I340" s="48">
        <f t="shared" si="18"/>
        <v>5250</v>
      </c>
      <c r="J340" s="49">
        <f t="shared" si="16"/>
        <v>57750</v>
      </c>
      <c r="K340" s="53"/>
    </row>
    <row r="341" spans="1:11" ht="19" customHeight="1">
      <c r="A341" s="62" t="s">
        <v>372</v>
      </c>
      <c r="B341" s="47"/>
      <c r="C341" s="47" t="s">
        <v>217</v>
      </c>
      <c r="D341" s="47" t="s">
        <v>152</v>
      </c>
      <c r="E341" s="47" t="s">
        <v>60</v>
      </c>
      <c r="F341" s="48">
        <v>5</v>
      </c>
      <c r="G341" s="48">
        <f>VLOOKUP(D341,단가!B:D,3,0)</f>
        <v>10500</v>
      </c>
      <c r="H341" s="48">
        <f t="shared" si="17"/>
        <v>52500</v>
      </c>
      <c r="I341" s="48">
        <f t="shared" si="18"/>
        <v>5250</v>
      </c>
      <c r="J341" s="49">
        <f t="shared" si="16"/>
        <v>57750</v>
      </c>
      <c r="K341" s="53"/>
    </row>
    <row r="342" spans="1:11" ht="19" customHeight="1">
      <c r="A342" s="62" t="s">
        <v>372</v>
      </c>
      <c r="B342" s="47"/>
      <c r="C342" s="47" t="s">
        <v>217</v>
      </c>
      <c r="D342" s="47" t="s">
        <v>150</v>
      </c>
      <c r="E342" s="47" t="s">
        <v>60</v>
      </c>
      <c r="F342" s="48">
        <v>5</v>
      </c>
      <c r="G342" s="48">
        <f>VLOOKUP(D342,단가!B:D,3,0)</f>
        <v>10500</v>
      </c>
      <c r="H342" s="48">
        <f t="shared" si="17"/>
        <v>52500</v>
      </c>
      <c r="I342" s="48">
        <f t="shared" si="18"/>
        <v>5250</v>
      </c>
      <c r="J342" s="49">
        <f t="shared" si="16"/>
        <v>57750</v>
      </c>
      <c r="K342" s="53"/>
    </row>
    <row r="343" spans="1:11" ht="19" customHeight="1">
      <c r="A343" s="62" t="s">
        <v>373</v>
      </c>
      <c r="B343" s="47"/>
      <c r="C343" s="47" t="s">
        <v>355</v>
      </c>
      <c r="D343" s="47" t="s">
        <v>61</v>
      </c>
      <c r="E343" s="47" t="s">
        <v>57</v>
      </c>
      <c r="F343" s="48">
        <v>3</v>
      </c>
      <c r="G343" s="48">
        <f>VLOOKUP(D343,단가!B:D,3,0)</f>
        <v>20000</v>
      </c>
      <c r="H343" s="48">
        <f t="shared" si="17"/>
        <v>60000</v>
      </c>
      <c r="I343" s="48">
        <f t="shared" si="18"/>
        <v>6000</v>
      </c>
      <c r="J343" s="49">
        <f t="shared" si="16"/>
        <v>66000</v>
      </c>
      <c r="K343" s="53"/>
    </row>
    <row r="344" spans="1:11" ht="19" customHeight="1">
      <c r="A344" s="62" t="s">
        <v>374</v>
      </c>
      <c r="B344" s="47"/>
      <c r="C344" s="47" t="s">
        <v>375</v>
      </c>
      <c r="D344" s="47" t="s">
        <v>315</v>
      </c>
      <c r="E344" s="47" t="s">
        <v>57</v>
      </c>
      <c r="F344" s="48">
        <v>3</v>
      </c>
      <c r="G344" s="48">
        <f>VLOOKUP(D344,단가!B:D,3,0)</f>
        <v>32000</v>
      </c>
      <c r="H344" s="48">
        <f t="shared" si="17"/>
        <v>96000</v>
      </c>
      <c r="I344" s="48">
        <f t="shared" si="18"/>
        <v>9600</v>
      </c>
      <c r="J344" s="49">
        <f t="shared" si="16"/>
        <v>105600</v>
      </c>
      <c r="K344" s="53"/>
    </row>
    <row r="345" spans="1:11" ht="19" customHeight="1">
      <c r="A345" s="62" t="s">
        <v>374</v>
      </c>
      <c r="B345" s="47"/>
      <c r="C345" s="47" t="s">
        <v>123</v>
      </c>
      <c r="D345" s="47" t="s">
        <v>129</v>
      </c>
      <c r="E345" s="47" t="s">
        <v>131</v>
      </c>
      <c r="F345" s="48">
        <v>3</v>
      </c>
      <c r="G345" s="48">
        <f>VLOOKUP(D345,단가!B:D,3,0)</f>
        <v>6000</v>
      </c>
      <c r="H345" s="48">
        <f t="shared" si="17"/>
        <v>18000</v>
      </c>
      <c r="I345" s="48">
        <f t="shared" si="18"/>
        <v>1800</v>
      </c>
      <c r="J345" s="49">
        <f t="shared" si="16"/>
        <v>19800</v>
      </c>
      <c r="K345" s="53"/>
    </row>
    <row r="346" spans="1:11" ht="19" customHeight="1">
      <c r="A346" s="62" t="s">
        <v>374</v>
      </c>
      <c r="B346" s="47"/>
      <c r="C346" s="47" t="s">
        <v>123</v>
      </c>
      <c r="D346" s="47" t="s">
        <v>130</v>
      </c>
      <c r="E346" s="47" t="s">
        <v>131</v>
      </c>
      <c r="F346" s="48">
        <v>3</v>
      </c>
      <c r="G346" s="48">
        <f>VLOOKUP(D346,단가!B:D,3,0)</f>
        <v>8000</v>
      </c>
      <c r="H346" s="48">
        <f t="shared" si="17"/>
        <v>24000</v>
      </c>
      <c r="I346" s="48">
        <f t="shared" si="18"/>
        <v>2400</v>
      </c>
      <c r="J346" s="49">
        <f t="shared" si="16"/>
        <v>26400</v>
      </c>
      <c r="K346" s="53"/>
    </row>
    <row r="347" spans="1:11" ht="19" customHeight="1">
      <c r="A347" s="62" t="s">
        <v>380</v>
      </c>
      <c r="B347" s="47"/>
      <c r="C347" s="47" t="s">
        <v>217</v>
      </c>
      <c r="D347" s="47" t="s">
        <v>61</v>
      </c>
      <c r="E347" s="47" t="s">
        <v>57</v>
      </c>
      <c r="F347" s="48">
        <v>7</v>
      </c>
      <c r="G347" s="48">
        <f>VLOOKUP(D347,단가!B:D,3,0)</f>
        <v>20000</v>
      </c>
      <c r="H347" s="48">
        <f t="shared" si="17"/>
        <v>140000</v>
      </c>
      <c r="I347" s="48">
        <f t="shared" si="18"/>
        <v>14000</v>
      </c>
      <c r="J347" s="49">
        <f t="shared" si="16"/>
        <v>154000</v>
      </c>
      <c r="K347" s="53"/>
    </row>
    <row r="348" spans="1:11" ht="19" customHeight="1">
      <c r="A348" s="62" t="s">
        <v>380</v>
      </c>
      <c r="B348" s="47"/>
      <c r="C348" s="47" t="s">
        <v>217</v>
      </c>
      <c r="D348" s="47" t="s">
        <v>148</v>
      </c>
      <c r="E348" s="47" t="s">
        <v>60</v>
      </c>
      <c r="F348" s="48">
        <v>5</v>
      </c>
      <c r="G348" s="48">
        <f>VLOOKUP(D348,단가!B:D,3,0)</f>
        <v>10500</v>
      </c>
      <c r="H348" s="48">
        <f t="shared" si="17"/>
        <v>52500</v>
      </c>
      <c r="I348" s="48">
        <f t="shared" si="18"/>
        <v>5250</v>
      </c>
      <c r="J348" s="49">
        <f t="shared" si="16"/>
        <v>57750</v>
      </c>
      <c r="K348" s="53"/>
    </row>
    <row r="349" spans="1:11" ht="19" customHeight="1">
      <c r="A349" s="62" t="s">
        <v>380</v>
      </c>
      <c r="B349" s="47"/>
      <c r="C349" s="47" t="s">
        <v>217</v>
      </c>
      <c r="D349" s="47" t="s">
        <v>146</v>
      </c>
      <c r="E349" s="47" t="s">
        <v>60</v>
      </c>
      <c r="F349" s="48">
        <v>5</v>
      </c>
      <c r="G349" s="48">
        <f>VLOOKUP(D349,단가!B:D,3,0)</f>
        <v>10500</v>
      </c>
      <c r="H349" s="48">
        <f t="shared" si="17"/>
        <v>52500</v>
      </c>
      <c r="I349" s="48">
        <f t="shared" si="18"/>
        <v>5250</v>
      </c>
      <c r="J349" s="49">
        <f t="shared" si="16"/>
        <v>57750</v>
      </c>
      <c r="K349" s="53"/>
    </row>
    <row r="350" spans="1:11" ht="19" customHeight="1">
      <c r="A350" s="62" t="s">
        <v>380</v>
      </c>
      <c r="B350" s="47"/>
      <c r="C350" s="47" t="s">
        <v>217</v>
      </c>
      <c r="D350" s="47" t="s">
        <v>152</v>
      </c>
      <c r="E350" s="47" t="s">
        <v>60</v>
      </c>
      <c r="F350" s="48">
        <v>5</v>
      </c>
      <c r="G350" s="48">
        <f>VLOOKUP(D350,단가!B:D,3,0)</f>
        <v>10500</v>
      </c>
      <c r="H350" s="48">
        <f t="shared" si="17"/>
        <v>52500</v>
      </c>
      <c r="I350" s="48">
        <f t="shared" si="18"/>
        <v>5250</v>
      </c>
      <c r="J350" s="49">
        <f t="shared" si="16"/>
        <v>57750</v>
      </c>
      <c r="K350" s="53"/>
    </row>
    <row r="351" spans="1:11" ht="19" customHeight="1">
      <c r="A351" s="62" t="s">
        <v>380</v>
      </c>
      <c r="B351" s="47"/>
      <c r="C351" s="47" t="s">
        <v>217</v>
      </c>
      <c r="D351" s="47" t="s">
        <v>147</v>
      </c>
      <c r="E351" s="47" t="s">
        <v>60</v>
      </c>
      <c r="F351" s="48">
        <v>5</v>
      </c>
      <c r="G351" s="48">
        <f>VLOOKUP(D351,단가!B:D,3,0)</f>
        <v>10500</v>
      </c>
      <c r="H351" s="48">
        <f t="shared" si="17"/>
        <v>52500</v>
      </c>
      <c r="I351" s="48">
        <f t="shared" si="18"/>
        <v>5250</v>
      </c>
      <c r="J351" s="49">
        <f t="shared" si="16"/>
        <v>57750</v>
      </c>
      <c r="K351" s="53"/>
    </row>
    <row r="352" spans="1:11" ht="19" customHeight="1">
      <c r="A352" s="62" t="s">
        <v>381</v>
      </c>
      <c r="B352" s="47"/>
      <c r="C352" s="47" t="s">
        <v>217</v>
      </c>
      <c r="D352" s="47" t="s">
        <v>146</v>
      </c>
      <c r="E352" s="47" t="s">
        <v>60</v>
      </c>
      <c r="F352" s="48">
        <v>5</v>
      </c>
      <c r="G352" s="48">
        <f>VLOOKUP(D352,단가!B:D,3,0)</f>
        <v>10500</v>
      </c>
      <c r="H352" s="48">
        <f t="shared" si="17"/>
        <v>52500</v>
      </c>
      <c r="I352" s="48">
        <f t="shared" si="18"/>
        <v>5250</v>
      </c>
      <c r="J352" s="49">
        <f t="shared" si="16"/>
        <v>57750</v>
      </c>
      <c r="K352" s="53"/>
    </row>
    <row r="353" spans="1:14" ht="19" customHeight="1">
      <c r="A353" s="62" t="s">
        <v>381</v>
      </c>
      <c r="B353" s="47"/>
      <c r="C353" s="47" t="s">
        <v>217</v>
      </c>
      <c r="D353" s="47" t="s">
        <v>147</v>
      </c>
      <c r="E353" s="47" t="s">
        <v>60</v>
      </c>
      <c r="F353" s="48">
        <v>5</v>
      </c>
      <c r="G353" s="48">
        <f>VLOOKUP(D353,단가!B:D,3,0)</f>
        <v>10500</v>
      </c>
      <c r="H353" s="48">
        <f t="shared" si="17"/>
        <v>52500</v>
      </c>
      <c r="I353" s="48">
        <f t="shared" si="18"/>
        <v>5250</v>
      </c>
      <c r="J353" s="49">
        <f t="shared" si="16"/>
        <v>57750</v>
      </c>
      <c r="K353" s="53"/>
    </row>
    <row r="354" spans="1:14" ht="19" customHeight="1">
      <c r="A354" s="62" t="s">
        <v>381</v>
      </c>
      <c r="B354" s="47"/>
      <c r="C354" s="47" t="s">
        <v>217</v>
      </c>
      <c r="D354" s="47" t="s">
        <v>149</v>
      </c>
      <c r="E354" s="47" t="s">
        <v>60</v>
      </c>
      <c r="F354" s="48">
        <v>5</v>
      </c>
      <c r="G354" s="48">
        <f>VLOOKUP(D354,단가!B:D,3,0)</f>
        <v>10500</v>
      </c>
      <c r="H354" s="48">
        <f t="shared" si="17"/>
        <v>52500</v>
      </c>
      <c r="I354" s="48">
        <f t="shared" si="18"/>
        <v>5250</v>
      </c>
      <c r="J354" s="49">
        <f t="shared" si="16"/>
        <v>57750</v>
      </c>
      <c r="K354" s="53"/>
    </row>
    <row r="355" spans="1:14" ht="19" customHeight="1">
      <c r="A355" s="62" t="s">
        <v>381</v>
      </c>
      <c r="B355" s="47"/>
      <c r="C355" s="47" t="s">
        <v>217</v>
      </c>
      <c r="D355" s="47" t="s">
        <v>150</v>
      </c>
      <c r="E355" s="47" t="s">
        <v>60</v>
      </c>
      <c r="F355" s="48">
        <v>5</v>
      </c>
      <c r="G355" s="48">
        <f>VLOOKUP(D355,단가!B:D,3,0)</f>
        <v>10500</v>
      </c>
      <c r="H355" s="48">
        <f t="shared" si="17"/>
        <v>52500</v>
      </c>
      <c r="I355" s="48">
        <f t="shared" si="18"/>
        <v>5250</v>
      </c>
      <c r="J355" s="49">
        <f t="shared" si="16"/>
        <v>57750</v>
      </c>
      <c r="K355" s="53"/>
    </row>
    <row r="356" spans="1:14" ht="19" customHeight="1">
      <c r="A356" s="62" t="s">
        <v>381</v>
      </c>
      <c r="B356" s="47"/>
      <c r="C356" s="47" t="s">
        <v>217</v>
      </c>
      <c r="D356" s="47" t="s">
        <v>153</v>
      </c>
      <c r="E356" s="47" t="s">
        <v>60</v>
      </c>
      <c r="F356" s="48">
        <v>5</v>
      </c>
      <c r="G356" s="48">
        <f>VLOOKUP(D356,단가!B:D,3,0)</f>
        <v>10500</v>
      </c>
      <c r="H356" s="48">
        <f t="shared" si="17"/>
        <v>52500</v>
      </c>
      <c r="I356" s="48">
        <f t="shared" si="18"/>
        <v>5250</v>
      </c>
      <c r="J356" s="49">
        <f t="shared" si="16"/>
        <v>57750</v>
      </c>
      <c r="K356" s="53"/>
    </row>
    <row r="357" spans="1:14" ht="19" customHeight="1">
      <c r="A357" s="62" t="s">
        <v>381</v>
      </c>
      <c r="B357" s="47"/>
      <c r="C357" s="47" t="s">
        <v>217</v>
      </c>
      <c r="D357" s="47" t="s">
        <v>151</v>
      </c>
      <c r="E357" s="47" t="s">
        <v>60</v>
      </c>
      <c r="F357" s="48">
        <v>5</v>
      </c>
      <c r="G357" s="48">
        <f>VLOOKUP(D357,단가!B:D,3,0)</f>
        <v>10500</v>
      </c>
      <c r="H357" s="48">
        <f t="shared" si="17"/>
        <v>52500</v>
      </c>
      <c r="I357" s="48">
        <f t="shared" si="18"/>
        <v>5250</v>
      </c>
      <c r="J357" s="49">
        <f t="shared" si="16"/>
        <v>57750</v>
      </c>
      <c r="K357" s="53"/>
    </row>
    <row r="358" spans="1:14" ht="19" customHeight="1">
      <c r="A358" s="62" t="s">
        <v>383</v>
      </c>
      <c r="B358" s="47"/>
      <c r="C358" s="47" t="s">
        <v>217</v>
      </c>
      <c r="D358" s="47" t="s">
        <v>61</v>
      </c>
      <c r="E358" s="47" t="s">
        <v>57</v>
      </c>
      <c r="F358" s="48">
        <v>5</v>
      </c>
      <c r="G358" s="48">
        <f>VLOOKUP(D358,단가!B:D,3,0)</f>
        <v>20000</v>
      </c>
      <c r="H358" s="48">
        <f t="shared" si="17"/>
        <v>100000</v>
      </c>
      <c r="I358" s="48">
        <f t="shared" si="18"/>
        <v>10000</v>
      </c>
      <c r="J358" s="49">
        <f t="shared" si="16"/>
        <v>110000</v>
      </c>
      <c r="K358" s="53"/>
    </row>
    <row r="359" spans="1:14" ht="19" customHeight="1">
      <c r="A359" s="62" t="s">
        <v>383</v>
      </c>
      <c r="B359" s="47"/>
      <c r="C359" s="47" t="s">
        <v>217</v>
      </c>
      <c r="D359" s="47" t="s">
        <v>146</v>
      </c>
      <c r="E359" s="47" t="s">
        <v>60</v>
      </c>
      <c r="F359" s="48">
        <v>5</v>
      </c>
      <c r="G359" s="48">
        <f>VLOOKUP(D359,단가!B:D,3,0)</f>
        <v>10500</v>
      </c>
      <c r="H359" s="48">
        <f t="shared" si="17"/>
        <v>52500</v>
      </c>
      <c r="I359" s="48">
        <f t="shared" si="18"/>
        <v>5250</v>
      </c>
      <c r="J359" s="49">
        <f t="shared" si="16"/>
        <v>57750</v>
      </c>
      <c r="K359" s="53"/>
    </row>
    <row r="360" spans="1:14" ht="19" customHeight="1">
      <c r="A360" s="62" t="s">
        <v>383</v>
      </c>
      <c r="B360" s="47"/>
      <c r="C360" s="47" t="s">
        <v>217</v>
      </c>
      <c r="D360" s="47" t="s">
        <v>154</v>
      </c>
      <c r="E360" s="47" t="s">
        <v>60</v>
      </c>
      <c r="F360" s="48">
        <v>5</v>
      </c>
      <c r="G360" s="48">
        <f>VLOOKUP(D360,단가!B:D,3,0)</f>
        <v>10500</v>
      </c>
      <c r="H360" s="48">
        <f t="shared" si="17"/>
        <v>52500</v>
      </c>
      <c r="I360" s="48">
        <f t="shared" si="18"/>
        <v>5250</v>
      </c>
      <c r="J360" s="49">
        <f t="shared" si="16"/>
        <v>57750</v>
      </c>
      <c r="K360" s="53"/>
    </row>
    <row r="361" spans="1:14" ht="19" customHeight="1">
      <c r="A361" s="62" t="s">
        <v>383</v>
      </c>
      <c r="B361" s="47"/>
      <c r="C361" s="47" t="s">
        <v>217</v>
      </c>
      <c r="D361" s="47" t="s">
        <v>149</v>
      </c>
      <c r="E361" s="47" t="s">
        <v>60</v>
      </c>
      <c r="F361" s="48">
        <v>5</v>
      </c>
      <c r="G361" s="48">
        <f>VLOOKUP(D361,단가!B:D,3,0)</f>
        <v>10500</v>
      </c>
      <c r="H361" s="48">
        <f t="shared" si="17"/>
        <v>52500</v>
      </c>
      <c r="I361" s="48">
        <f t="shared" si="18"/>
        <v>5250</v>
      </c>
      <c r="J361" s="49">
        <f t="shared" si="16"/>
        <v>57750</v>
      </c>
      <c r="K361" s="53"/>
    </row>
    <row r="362" spans="1:14" ht="19" customHeight="1">
      <c r="A362" s="62" t="s">
        <v>384</v>
      </c>
      <c r="B362" s="47"/>
      <c r="C362" s="47" t="s">
        <v>355</v>
      </c>
      <c r="D362" s="47" t="s">
        <v>61</v>
      </c>
      <c r="E362" s="47" t="s">
        <v>57</v>
      </c>
      <c r="F362" s="48">
        <v>3</v>
      </c>
      <c r="G362" s="48">
        <f>VLOOKUP(D362,단가!B:D,3,0)</f>
        <v>20000</v>
      </c>
      <c r="H362" s="48">
        <f t="shared" si="17"/>
        <v>60000</v>
      </c>
      <c r="I362" s="48">
        <f t="shared" si="18"/>
        <v>6000</v>
      </c>
      <c r="J362" s="49">
        <f t="shared" si="16"/>
        <v>66000</v>
      </c>
      <c r="K362" s="53"/>
      <c r="N362" s="28"/>
    </row>
    <row r="363" spans="1:14" ht="19" customHeight="1">
      <c r="A363" s="62" t="s">
        <v>384</v>
      </c>
      <c r="B363" s="47"/>
      <c r="C363" s="47" t="s">
        <v>209</v>
      </c>
      <c r="D363" s="47" t="s">
        <v>61</v>
      </c>
      <c r="E363" s="47" t="s">
        <v>57</v>
      </c>
      <c r="F363" s="48">
        <v>10</v>
      </c>
      <c r="G363" s="48">
        <f>VLOOKUP(D363,단가!B:D,3,0)</f>
        <v>20000</v>
      </c>
      <c r="H363" s="48">
        <f t="shared" si="17"/>
        <v>200000</v>
      </c>
      <c r="I363" s="48">
        <f t="shared" si="18"/>
        <v>20000</v>
      </c>
      <c r="J363" s="49">
        <f t="shared" si="16"/>
        <v>220000</v>
      </c>
      <c r="K363" s="53"/>
    </row>
    <row r="364" spans="1:14" ht="19" customHeight="1">
      <c r="A364" s="62" t="s">
        <v>384</v>
      </c>
      <c r="B364" s="47"/>
      <c r="C364" s="47" t="s">
        <v>209</v>
      </c>
      <c r="D364" s="47" t="s">
        <v>146</v>
      </c>
      <c r="E364" s="47" t="s">
        <v>60</v>
      </c>
      <c r="F364" s="48">
        <v>2</v>
      </c>
      <c r="G364" s="48">
        <f>VLOOKUP(D364,단가!B:D,3,0)</f>
        <v>10500</v>
      </c>
      <c r="H364" s="48">
        <f t="shared" si="17"/>
        <v>21000</v>
      </c>
      <c r="I364" s="48">
        <f t="shared" si="18"/>
        <v>2100</v>
      </c>
      <c r="J364" s="49">
        <f t="shared" si="16"/>
        <v>23100</v>
      </c>
      <c r="K364" s="53"/>
    </row>
    <row r="365" spans="1:14" ht="19" customHeight="1">
      <c r="A365" s="62" t="s">
        <v>384</v>
      </c>
      <c r="B365" s="47"/>
      <c r="C365" s="47" t="s">
        <v>313</v>
      </c>
      <c r="D365" s="47" t="s">
        <v>302</v>
      </c>
      <c r="E365" s="47" t="s">
        <v>57</v>
      </c>
      <c r="F365" s="48">
        <v>10</v>
      </c>
      <c r="G365" s="48">
        <f>VLOOKUP(D365,단가!B:D,3,0)</f>
        <v>22000</v>
      </c>
      <c r="H365" s="48">
        <f t="shared" si="17"/>
        <v>220000</v>
      </c>
      <c r="I365" s="48">
        <f t="shared" si="18"/>
        <v>22000</v>
      </c>
      <c r="J365" s="49">
        <f t="shared" si="16"/>
        <v>242000</v>
      </c>
      <c r="K365" s="53"/>
    </row>
    <row r="366" spans="1:14" ht="19" customHeight="1">
      <c r="A366" s="62" t="s">
        <v>385</v>
      </c>
      <c r="B366" s="47"/>
      <c r="C366" s="47" t="s">
        <v>217</v>
      </c>
      <c r="D366" s="47" t="s">
        <v>152</v>
      </c>
      <c r="E366" s="47" t="s">
        <v>60</v>
      </c>
      <c r="F366" s="48">
        <v>5</v>
      </c>
      <c r="G366" s="48">
        <f>VLOOKUP(D366,단가!B:D,3,0)</f>
        <v>10500</v>
      </c>
      <c r="H366" s="48">
        <f t="shared" si="17"/>
        <v>52500</v>
      </c>
      <c r="I366" s="48">
        <f t="shared" si="18"/>
        <v>5250</v>
      </c>
      <c r="J366" s="49">
        <f t="shared" si="16"/>
        <v>57750</v>
      </c>
      <c r="K366" s="53"/>
    </row>
    <row r="367" spans="1:14" ht="19" customHeight="1">
      <c r="A367" s="62" t="s">
        <v>385</v>
      </c>
      <c r="B367" s="47"/>
      <c r="C367" s="47" t="s">
        <v>217</v>
      </c>
      <c r="D367" s="47" t="s">
        <v>148</v>
      </c>
      <c r="E367" s="47" t="s">
        <v>60</v>
      </c>
      <c r="F367" s="48">
        <v>5</v>
      </c>
      <c r="G367" s="48">
        <f>VLOOKUP(D367,단가!B:D,3,0)</f>
        <v>10500</v>
      </c>
      <c r="H367" s="48">
        <f t="shared" si="17"/>
        <v>52500</v>
      </c>
      <c r="I367" s="48">
        <f t="shared" si="18"/>
        <v>5250</v>
      </c>
      <c r="J367" s="49">
        <f t="shared" si="16"/>
        <v>57750</v>
      </c>
      <c r="K367" s="53"/>
    </row>
    <row r="368" spans="1:14" ht="19" customHeight="1">
      <c r="A368" s="62" t="s">
        <v>385</v>
      </c>
      <c r="B368" s="47"/>
      <c r="C368" s="47" t="s">
        <v>217</v>
      </c>
      <c r="D368" s="47" t="s">
        <v>146</v>
      </c>
      <c r="E368" s="47" t="s">
        <v>60</v>
      </c>
      <c r="F368" s="48">
        <v>5</v>
      </c>
      <c r="G368" s="48">
        <f>VLOOKUP(D368,단가!B:D,3,0)</f>
        <v>10500</v>
      </c>
      <c r="H368" s="48">
        <f t="shared" si="17"/>
        <v>52500</v>
      </c>
      <c r="I368" s="48">
        <f t="shared" si="18"/>
        <v>5250</v>
      </c>
      <c r="J368" s="49">
        <f t="shared" si="16"/>
        <v>57750</v>
      </c>
      <c r="K368" s="53"/>
    </row>
    <row r="369" spans="1:11" ht="19" customHeight="1">
      <c r="A369" s="62" t="s">
        <v>385</v>
      </c>
      <c r="B369" s="47"/>
      <c r="C369" s="47" t="s">
        <v>217</v>
      </c>
      <c r="D369" s="47" t="s">
        <v>147</v>
      </c>
      <c r="E369" s="47" t="s">
        <v>60</v>
      </c>
      <c r="F369" s="48">
        <v>5</v>
      </c>
      <c r="G369" s="48">
        <f>VLOOKUP(D369,단가!B:D,3,0)</f>
        <v>10500</v>
      </c>
      <c r="H369" s="48">
        <f t="shared" si="17"/>
        <v>52500</v>
      </c>
      <c r="I369" s="48">
        <f t="shared" si="18"/>
        <v>5250</v>
      </c>
      <c r="J369" s="49">
        <f t="shared" si="16"/>
        <v>57750</v>
      </c>
      <c r="K369" s="53"/>
    </row>
    <row r="370" spans="1:11" ht="19" customHeight="1">
      <c r="A370" s="62" t="s">
        <v>385</v>
      </c>
      <c r="B370" s="47"/>
      <c r="C370" s="47" t="s">
        <v>217</v>
      </c>
      <c r="D370" s="47" t="s">
        <v>153</v>
      </c>
      <c r="E370" s="47" t="s">
        <v>60</v>
      </c>
      <c r="F370" s="48">
        <v>5</v>
      </c>
      <c r="G370" s="48">
        <f>VLOOKUP(D370,단가!B:D,3,0)</f>
        <v>10500</v>
      </c>
      <c r="H370" s="48">
        <f t="shared" si="17"/>
        <v>52500</v>
      </c>
      <c r="I370" s="48">
        <f t="shared" si="18"/>
        <v>5250</v>
      </c>
      <c r="J370" s="49">
        <f t="shared" si="16"/>
        <v>57750</v>
      </c>
      <c r="K370" s="53"/>
    </row>
    <row r="371" spans="1:11" ht="19" customHeight="1">
      <c r="A371" s="62" t="s">
        <v>385</v>
      </c>
      <c r="B371" s="47"/>
      <c r="C371" s="47" t="s">
        <v>217</v>
      </c>
      <c r="D371" s="47" t="s">
        <v>154</v>
      </c>
      <c r="E371" s="47" t="s">
        <v>60</v>
      </c>
      <c r="F371" s="48">
        <v>5</v>
      </c>
      <c r="G371" s="48">
        <f>VLOOKUP(D371,단가!B:D,3,0)</f>
        <v>10500</v>
      </c>
      <c r="H371" s="48">
        <f t="shared" si="17"/>
        <v>52500</v>
      </c>
      <c r="I371" s="48">
        <f t="shared" si="18"/>
        <v>5250</v>
      </c>
      <c r="J371" s="49">
        <f t="shared" si="16"/>
        <v>57750</v>
      </c>
      <c r="K371" s="53"/>
    </row>
    <row r="372" spans="1:11" ht="19" customHeight="1">
      <c r="A372" s="62" t="s">
        <v>385</v>
      </c>
      <c r="B372" s="47"/>
      <c r="C372" s="47" t="s">
        <v>217</v>
      </c>
      <c r="D372" s="47" t="s">
        <v>151</v>
      </c>
      <c r="E372" s="47" t="s">
        <v>60</v>
      </c>
      <c r="F372" s="48">
        <v>5</v>
      </c>
      <c r="G372" s="48">
        <f>VLOOKUP(D372,단가!B:D,3,0)</f>
        <v>10500</v>
      </c>
      <c r="H372" s="48">
        <f t="shared" si="17"/>
        <v>52500</v>
      </c>
      <c r="I372" s="48">
        <f t="shared" si="18"/>
        <v>5250</v>
      </c>
      <c r="J372" s="49">
        <f t="shared" si="16"/>
        <v>57750</v>
      </c>
      <c r="K372" s="53"/>
    </row>
    <row r="373" spans="1:11" ht="19" customHeight="1">
      <c r="A373" s="62" t="s">
        <v>385</v>
      </c>
      <c r="B373" s="47"/>
      <c r="C373" s="47" t="s">
        <v>217</v>
      </c>
      <c r="D373" s="47" t="s">
        <v>150</v>
      </c>
      <c r="E373" s="47" t="s">
        <v>60</v>
      </c>
      <c r="F373" s="48">
        <v>5</v>
      </c>
      <c r="G373" s="48">
        <f>VLOOKUP(D373,단가!B:D,3,0)</f>
        <v>10500</v>
      </c>
      <c r="H373" s="48">
        <f t="shared" si="17"/>
        <v>52500</v>
      </c>
      <c r="I373" s="48">
        <f t="shared" si="18"/>
        <v>5250</v>
      </c>
      <c r="J373" s="49">
        <f t="shared" ref="J373:J435" si="19">H373+I373</f>
        <v>57750</v>
      </c>
      <c r="K373" s="53"/>
    </row>
    <row r="374" spans="1:11" ht="19" customHeight="1">
      <c r="A374" s="62" t="s">
        <v>385</v>
      </c>
      <c r="B374" s="47"/>
      <c r="C374" s="47" t="s">
        <v>217</v>
      </c>
      <c r="D374" s="47" t="s">
        <v>149</v>
      </c>
      <c r="E374" s="47" t="s">
        <v>60</v>
      </c>
      <c r="F374" s="48">
        <v>5</v>
      </c>
      <c r="G374" s="48">
        <f>VLOOKUP(D374,단가!B:D,3,0)</f>
        <v>10500</v>
      </c>
      <c r="H374" s="48">
        <f t="shared" ref="H374:H436" si="20">F374*G374</f>
        <v>52500</v>
      </c>
      <c r="I374" s="48">
        <f t="shared" ref="I374:I436" si="21">H374*0.1</f>
        <v>5250</v>
      </c>
      <c r="J374" s="49">
        <f t="shared" si="19"/>
        <v>57750</v>
      </c>
      <c r="K374" s="53"/>
    </row>
    <row r="375" spans="1:11" ht="19" customHeight="1">
      <c r="A375" s="62" t="s">
        <v>386</v>
      </c>
      <c r="B375" s="47"/>
      <c r="C375" s="47" t="s">
        <v>217</v>
      </c>
      <c r="D375" s="47" t="s">
        <v>61</v>
      </c>
      <c r="E375" s="47" t="s">
        <v>57</v>
      </c>
      <c r="F375" s="48">
        <v>6</v>
      </c>
      <c r="G375" s="48">
        <f>VLOOKUP(D375,단가!B:D,3,0)</f>
        <v>20000</v>
      </c>
      <c r="H375" s="48">
        <f t="shared" si="20"/>
        <v>120000</v>
      </c>
      <c r="I375" s="48">
        <f t="shared" si="21"/>
        <v>12000</v>
      </c>
      <c r="J375" s="49">
        <f t="shared" si="19"/>
        <v>132000</v>
      </c>
      <c r="K375" s="53"/>
    </row>
    <row r="376" spans="1:11" ht="19" customHeight="1">
      <c r="A376" s="62" t="s">
        <v>386</v>
      </c>
      <c r="B376" s="47"/>
      <c r="C376" s="47" t="s">
        <v>217</v>
      </c>
      <c r="D376" s="47" t="s">
        <v>150</v>
      </c>
      <c r="E376" s="47" t="s">
        <v>60</v>
      </c>
      <c r="F376" s="48">
        <v>4</v>
      </c>
      <c r="G376" s="48">
        <f>VLOOKUP(D376,단가!B:D,3,0)</f>
        <v>10500</v>
      </c>
      <c r="H376" s="48">
        <f t="shared" si="20"/>
        <v>42000</v>
      </c>
      <c r="I376" s="48">
        <f t="shared" si="21"/>
        <v>4200</v>
      </c>
      <c r="J376" s="49">
        <f t="shared" si="19"/>
        <v>46200</v>
      </c>
      <c r="K376" s="53"/>
    </row>
    <row r="377" spans="1:11" ht="19" customHeight="1">
      <c r="A377" s="62" t="s">
        <v>386</v>
      </c>
      <c r="B377" s="47"/>
      <c r="C377" s="47" t="s">
        <v>217</v>
      </c>
      <c r="D377" s="47" t="s">
        <v>149</v>
      </c>
      <c r="E377" s="47" t="s">
        <v>60</v>
      </c>
      <c r="F377" s="48">
        <v>4</v>
      </c>
      <c r="G377" s="48">
        <f>VLOOKUP(D377,단가!B:D,3,0)</f>
        <v>10500</v>
      </c>
      <c r="H377" s="48">
        <f t="shared" si="20"/>
        <v>42000</v>
      </c>
      <c r="I377" s="48">
        <f t="shared" si="21"/>
        <v>4200</v>
      </c>
      <c r="J377" s="49">
        <f t="shared" si="19"/>
        <v>46200</v>
      </c>
      <c r="K377" s="53"/>
    </row>
    <row r="378" spans="1:11" ht="19" customHeight="1">
      <c r="A378" s="62" t="s">
        <v>386</v>
      </c>
      <c r="B378" s="47"/>
      <c r="C378" s="47" t="s">
        <v>217</v>
      </c>
      <c r="D378" s="47" t="s">
        <v>146</v>
      </c>
      <c r="E378" s="47" t="s">
        <v>60</v>
      </c>
      <c r="F378" s="48">
        <v>4</v>
      </c>
      <c r="G378" s="48">
        <f>VLOOKUP(D378,단가!B:D,3,0)</f>
        <v>10500</v>
      </c>
      <c r="H378" s="48">
        <f t="shared" si="20"/>
        <v>42000</v>
      </c>
      <c r="I378" s="48">
        <f t="shared" si="21"/>
        <v>4200</v>
      </c>
      <c r="J378" s="49">
        <f t="shared" si="19"/>
        <v>46200</v>
      </c>
      <c r="K378" s="53"/>
    </row>
    <row r="379" spans="1:11" ht="19" customHeight="1">
      <c r="A379" s="62" t="s">
        <v>386</v>
      </c>
      <c r="B379" s="47"/>
      <c r="C379" s="47" t="s">
        <v>217</v>
      </c>
      <c r="D379" s="47" t="s">
        <v>152</v>
      </c>
      <c r="E379" s="47" t="s">
        <v>60</v>
      </c>
      <c r="F379" s="48">
        <v>5</v>
      </c>
      <c r="G379" s="48">
        <f>VLOOKUP(D379,단가!B:D,3,0)</f>
        <v>10500</v>
      </c>
      <c r="H379" s="48">
        <f t="shared" si="20"/>
        <v>52500</v>
      </c>
      <c r="I379" s="48">
        <f t="shared" si="21"/>
        <v>5250</v>
      </c>
      <c r="J379" s="49">
        <f t="shared" si="19"/>
        <v>57750</v>
      </c>
      <c r="K379" s="53"/>
    </row>
    <row r="380" spans="1:11" ht="19" customHeight="1">
      <c r="A380" s="62" t="s">
        <v>386</v>
      </c>
      <c r="B380" s="47"/>
      <c r="C380" s="47" t="s">
        <v>217</v>
      </c>
      <c r="D380" s="47" t="s">
        <v>147</v>
      </c>
      <c r="E380" s="47" t="s">
        <v>60</v>
      </c>
      <c r="F380" s="48">
        <v>5</v>
      </c>
      <c r="G380" s="48">
        <f>VLOOKUP(D380,단가!B:D,3,0)</f>
        <v>10500</v>
      </c>
      <c r="H380" s="48">
        <f t="shared" si="20"/>
        <v>52500</v>
      </c>
      <c r="I380" s="48">
        <f t="shared" si="21"/>
        <v>5250</v>
      </c>
      <c r="J380" s="49">
        <f t="shared" si="19"/>
        <v>57750</v>
      </c>
      <c r="K380" s="53"/>
    </row>
    <row r="381" spans="1:11" ht="19" customHeight="1">
      <c r="A381" s="62" t="s">
        <v>386</v>
      </c>
      <c r="B381" s="47"/>
      <c r="C381" s="47" t="s">
        <v>294</v>
      </c>
      <c r="D381" s="47" t="s">
        <v>61</v>
      </c>
      <c r="E381" s="47" t="s">
        <v>57</v>
      </c>
      <c r="F381" s="48">
        <v>2</v>
      </c>
      <c r="G381" s="48">
        <f>VLOOKUP(D381,단가!B:D,3,0)</f>
        <v>20000</v>
      </c>
      <c r="H381" s="48">
        <f t="shared" si="20"/>
        <v>40000</v>
      </c>
      <c r="I381" s="48">
        <f t="shared" si="21"/>
        <v>4000</v>
      </c>
      <c r="J381" s="49">
        <f t="shared" si="19"/>
        <v>44000</v>
      </c>
      <c r="K381" s="53"/>
    </row>
    <row r="382" spans="1:11" ht="19" customHeight="1">
      <c r="A382" s="62" t="s">
        <v>386</v>
      </c>
      <c r="B382" s="47"/>
      <c r="C382" s="47" t="s">
        <v>294</v>
      </c>
      <c r="D382" s="47" t="s">
        <v>302</v>
      </c>
      <c r="E382" s="47" t="s">
        <v>57</v>
      </c>
      <c r="F382" s="48">
        <v>1</v>
      </c>
      <c r="G382" s="48">
        <f>VLOOKUP(D382,단가!B:D,3,0)</f>
        <v>22000</v>
      </c>
      <c r="H382" s="48">
        <f t="shared" si="20"/>
        <v>22000</v>
      </c>
      <c r="I382" s="48">
        <f t="shared" si="21"/>
        <v>2200</v>
      </c>
      <c r="J382" s="49">
        <f t="shared" si="19"/>
        <v>24200</v>
      </c>
      <c r="K382" s="53"/>
    </row>
    <row r="383" spans="1:11" ht="19" customHeight="1">
      <c r="A383" s="62" t="s">
        <v>387</v>
      </c>
      <c r="B383" s="47"/>
      <c r="C383" s="47" t="s">
        <v>217</v>
      </c>
      <c r="D383" s="47" t="s">
        <v>302</v>
      </c>
      <c r="E383" s="47" t="s">
        <v>57</v>
      </c>
      <c r="F383" s="48">
        <v>1</v>
      </c>
      <c r="G383" s="48">
        <f>VLOOKUP(D383,단가!B:D,3,0)</f>
        <v>22000</v>
      </c>
      <c r="H383" s="48">
        <f t="shared" si="20"/>
        <v>22000</v>
      </c>
      <c r="I383" s="48">
        <f t="shared" si="21"/>
        <v>2200</v>
      </c>
      <c r="J383" s="49">
        <f t="shared" si="19"/>
        <v>24200</v>
      </c>
      <c r="K383" s="56"/>
    </row>
    <row r="384" spans="1:11" ht="19" customHeight="1">
      <c r="A384" s="62" t="s">
        <v>387</v>
      </c>
      <c r="B384" s="47"/>
      <c r="C384" s="47" t="s">
        <v>355</v>
      </c>
      <c r="D384" s="47" t="s">
        <v>61</v>
      </c>
      <c r="E384" s="47" t="s">
        <v>57</v>
      </c>
      <c r="F384" s="48">
        <v>3</v>
      </c>
      <c r="G384" s="48">
        <f>VLOOKUP(D384,단가!B:D,3,0)</f>
        <v>20000</v>
      </c>
      <c r="H384" s="48">
        <f t="shared" si="20"/>
        <v>60000</v>
      </c>
      <c r="I384" s="48">
        <f t="shared" si="21"/>
        <v>6000</v>
      </c>
      <c r="J384" s="49">
        <f t="shared" si="19"/>
        <v>66000</v>
      </c>
      <c r="K384" s="53"/>
    </row>
    <row r="385" spans="1:12" ht="19" customHeight="1">
      <c r="A385" s="62" t="s">
        <v>387</v>
      </c>
      <c r="B385" s="47"/>
      <c r="C385" s="47" t="s">
        <v>355</v>
      </c>
      <c r="D385" s="47" t="s">
        <v>388</v>
      </c>
      <c r="E385" s="47" t="s">
        <v>60</v>
      </c>
      <c r="F385" s="48">
        <v>1</v>
      </c>
      <c r="G385" s="48">
        <f>VLOOKUP(D385,단가!B:D,3,0)</f>
        <v>10500</v>
      </c>
      <c r="H385" s="48">
        <f t="shared" si="20"/>
        <v>10500</v>
      </c>
      <c r="I385" s="48">
        <f t="shared" si="21"/>
        <v>1050</v>
      </c>
      <c r="J385" s="49">
        <f t="shared" si="19"/>
        <v>11550</v>
      </c>
      <c r="K385" s="53"/>
    </row>
    <row r="386" spans="1:12" ht="19" customHeight="1">
      <c r="A386" s="62" t="s">
        <v>387</v>
      </c>
      <c r="B386" s="47"/>
      <c r="C386" s="47" t="s">
        <v>217</v>
      </c>
      <c r="D386" s="47" t="s">
        <v>153</v>
      </c>
      <c r="E386" s="47" t="s">
        <v>60</v>
      </c>
      <c r="F386" s="48">
        <v>5</v>
      </c>
      <c r="G386" s="48">
        <f>VLOOKUP(D386,단가!B:D,3,0)</f>
        <v>10500</v>
      </c>
      <c r="H386" s="48">
        <f t="shared" si="20"/>
        <v>52500</v>
      </c>
      <c r="I386" s="48">
        <f t="shared" si="21"/>
        <v>5250</v>
      </c>
      <c r="J386" s="49">
        <f t="shared" si="19"/>
        <v>57750</v>
      </c>
      <c r="K386" s="53"/>
    </row>
    <row r="387" spans="1:12" ht="19" customHeight="1">
      <c r="A387" s="62" t="s">
        <v>387</v>
      </c>
      <c r="B387" s="47"/>
      <c r="C387" s="47" t="s">
        <v>217</v>
      </c>
      <c r="D387" s="47" t="s">
        <v>146</v>
      </c>
      <c r="E387" s="47" t="s">
        <v>60</v>
      </c>
      <c r="F387" s="48">
        <v>5</v>
      </c>
      <c r="G387" s="48">
        <f>VLOOKUP(D387,단가!B:D,3,0)</f>
        <v>10500</v>
      </c>
      <c r="H387" s="48">
        <f t="shared" si="20"/>
        <v>52500</v>
      </c>
      <c r="I387" s="48">
        <f t="shared" si="21"/>
        <v>5250</v>
      </c>
      <c r="J387" s="49">
        <f t="shared" si="19"/>
        <v>57750</v>
      </c>
      <c r="K387" s="53"/>
    </row>
    <row r="388" spans="1:12" ht="19" customHeight="1">
      <c r="A388" s="62" t="s">
        <v>387</v>
      </c>
      <c r="B388" s="47"/>
      <c r="C388" s="47" t="s">
        <v>217</v>
      </c>
      <c r="D388" s="47" t="s">
        <v>148</v>
      </c>
      <c r="E388" s="47" t="s">
        <v>60</v>
      </c>
      <c r="F388" s="48">
        <v>5</v>
      </c>
      <c r="G388" s="48">
        <f>VLOOKUP(D388,단가!B:D,3,0)</f>
        <v>10500</v>
      </c>
      <c r="H388" s="48">
        <f t="shared" si="20"/>
        <v>52500</v>
      </c>
      <c r="I388" s="48">
        <f t="shared" si="21"/>
        <v>5250</v>
      </c>
      <c r="J388" s="49">
        <f t="shared" si="19"/>
        <v>57750</v>
      </c>
      <c r="K388" s="53"/>
    </row>
    <row r="389" spans="1:12" ht="19" customHeight="1">
      <c r="A389" s="62" t="s">
        <v>389</v>
      </c>
      <c r="B389" s="47"/>
      <c r="C389" s="47" t="s">
        <v>217</v>
      </c>
      <c r="D389" s="47" t="s">
        <v>152</v>
      </c>
      <c r="E389" s="47" t="s">
        <v>60</v>
      </c>
      <c r="F389" s="48">
        <v>5</v>
      </c>
      <c r="G389" s="48">
        <f>VLOOKUP(D389,단가!B:D,3,0)</f>
        <v>10500</v>
      </c>
      <c r="H389" s="48">
        <f t="shared" si="20"/>
        <v>52500</v>
      </c>
      <c r="I389" s="48">
        <f t="shared" si="21"/>
        <v>5250</v>
      </c>
      <c r="J389" s="49">
        <f t="shared" si="19"/>
        <v>57750</v>
      </c>
      <c r="K389" s="53"/>
    </row>
    <row r="390" spans="1:12" ht="19" customHeight="1">
      <c r="A390" s="62" t="s">
        <v>389</v>
      </c>
      <c r="B390" s="47"/>
      <c r="C390" s="47" t="s">
        <v>217</v>
      </c>
      <c r="D390" s="47" t="s">
        <v>154</v>
      </c>
      <c r="E390" s="47" t="s">
        <v>60</v>
      </c>
      <c r="F390" s="48">
        <v>5</v>
      </c>
      <c r="G390" s="48">
        <f>VLOOKUP(D390,단가!B:D,3,0)</f>
        <v>10500</v>
      </c>
      <c r="H390" s="48">
        <f t="shared" si="20"/>
        <v>52500</v>
      </c>
      <c r="I390" s="48">
        <f t="shared" si="21"/>
        <v>5250</v>
      </c>
      <c r="J390" s="49">
        <f t="shared" si="19"/>
        <v>57750</v>
      </c>
      <c r="K390" s="53"/>
    </row>
    <row r="391" spans="1:12" ht="19" customHeight="1">
      <c r="A391" s="62" t="s">
        <v>389</v>
      </c>
      <c r="B391" s="47"/>
      <c r="C391" s="47" t="s">
        <v>217</v>
      </c>
      <c r="D391" s="47" t="s">
        <v>151</v>
      </c>
      <c r="E391" s="47" t="s">
        <v>60</v>
      </c>
      <c r="F391" s="48">
        <v>5</v>
      </c>
      <c r="G391" s="48">
        <f>VLOOKUP(D391,단가!B:D,3,0)</f>
        <v>10500</v>
      </c>
      <c r="H391" s="48">
        <f t="shared" si="20"/>
        <v>52500</v>
      </c>
      <c r="I391" s="48">
        <f t="shared" si="21"/>
        <v>5250</v>
      </c>
      <c r="J391" s="49">
        <f t="shared" si="19"/>
        <v>57750</v>
      </c>
      <c r="K391" s="53"/>
    </row>
    <row r="392" spans="1:12" ht="19" customHeight="1">
      <c r="A392" s="62" t="s">
        <v>389</v>
      </c>
      <c r="B392" s="47"/>
      <c r="C392" s="47" t="s">
        <v>217</v>
      </c>
      <c r="D392" s="47" t="s">
        <v>148</v>
      </c>
      <c r="E392" s="47" t="s">
        <v>60</v>
      </c>
      <c r="F392" s="48">
        <v>5</v>
      </c>
      <c r="G392" s="48">
        <f>VLOOKUP(D392,단가!B:D,3,0)</f>
        <v>10500</v>
      </c>
      <c r="H392" s="48">
        <f t="shared" si="20"/>
        <v>52500</v>
      </c>
      <c r="I392" s="48">
        <f t="shared" si="21"/>
        <v>5250</v>
      </c>
      <c r="J392" s="49">
        <f t="shared" si="19"/>
        <v>57750</v>
      </c>
      <c r="K392" s="53"/>
    </row>
    <row r="393" spans="1:12" ht="19" customHeight="1">
      <c r="A393" s="62" t="s">
        <v>389</v>
      </c>
      <c r="B393" s="47"/>
      <c r="C393" s="47" t="s">
        <v>217</v>
      </c>
      <c r="D393" s="47" t="s">
        <v>146</v>
      </c>
      <c r="E393" s="47" t="s">
        <v>60</v>
      </c>
      <c r="F393" s="48">
        <v>5</v>
      </c>
      <c r="G393" s="48">
        <f>VLOOKUP(D393,단가!B:D,3,0)</f>
        <v>10500</v>
      </c>
      <c r="H393" s="48">
        <f t="shared" si="20"/>
        <v>52500</v>
      </c>
      <c r="I393" s="48">
        <f t="shared" si="21"/>
        <v>5250</v>
      </c>
      <c r="J393" s="49">
        <f t="shared" si="19"/>
        <v>57750</v>
      </c>
      <c r="K393" s="53"/>
    </row>
    <row r="394" spans="1:12" ht="19" customHeight="1">
      <c r="A394" s="62" t="s">
        <v>391</v>
      </c>
      <c r="B394" s="47"/>
      <c r="C394" s="47" t="s">
        <v>217</v>
      </c>
      <c r="D394" s="47" t="s">
        <v>61</v>
      </c>
      <c r="E394" s="47" t="s">
        <v>57</v>
      </c>
      <c r="F394" s="48">
        <v>5</v>
      </c>
      <c r="G394" s="48">
        <f>VLOOKUP(D394,단가!B:D,3,0)</f>
        <v>20000</v>
      </c>
      <c r="H394" s="48">
        <f t="shared" si="20"/>
        <v>100000</v>
      </c>
      <c r="I394" s="48">
        <f t="shared" si="21"/>
        <v>10000</v>
      </c>
      <c r="J394" s="49">
        <f t="shared" si="19"/>
        <v>110000</v>
      </c>
      <c r="K394" s="53"/>
    </row>
    <row r="395" spans="1:12" ht="19" customHeight="1">
      <c r="A395" s="62" t="s">
        <v>392</v>
      </c>
      <c r="B395" s="47"/>
      <c r="C395" s="47" t="s">
        <v>355</v>
      </c>
      <c r="D395" s="47" t="s">
        <v>61</v>
      </c>
      <c r="E395" s="47" t="s">
        <v>57</v>
      </c>
      <c r="F395" s="48">
        <v>3</v>
      </c>
      <c r="G395" s="48">
        <f>VLOOKUP(D395,단가!B:D,3,0)</f>
        <v>20000</v>
      </c>
      <c r="H395" s="48">
        <f t="shared" si="20"/>
        <v>60000</v>
      </c>
      <c r="I395" s="48">
        <f t="shared" si="21"/>
        <v>6000</v>
      </c>
      <c r="J395" s="49">
        <f t="shared" si="19"/>
        <v>66000</v>
      </c>
      <c r="K395" s="53"/>
    </row>
    <row r="396" spans="1:12" ht="19" customHeight="1">
      <c r="A396" s="62" t="s">
        <v>393</v>
      </c>
      <c r="B396" s="47"/>
      <c r="C396" s="47" t="s">
        <v>201</v>
      </c>
      <c r="D396" s="47" t="s">
        <v>137</v>
      </c>
      <c r="E396" s="47" t="s">
        <v>57</v>
      </c>
      <c r="F396" s="48">
        <v>5</v>
      </c>
      <c r="G396" s="48">
        <f>VLOOKUP(D396,단가!B:D,3,0)</f>
        <v>19000</v>
      </c>
      <c r="H396" s="48">
        <f t="shared" si="20"/>
        <v>95000</v>
      </c>
      <c r="I396" s="48">
        <f t="shared" si="21"/>
        <v>9500</v>
      </c>
      <c r="J396" s="49">
        <f t="shared" si="19"/>
        <v>104500</v>
      </c>
      <c r="K396" s="53"/>
    </row>
    <row r="397" spans="1:12" ht="19" customHeight="1">
      <c r="A397" s="62" t="s">
        <v>393</v>
      </c>
      <c r="B397" s="47"/>
      <c r="C397" s="47" t="s">
        <v>201</v>
      </c>
      <c r="D397" s="47" t="s">
        <v>130</v>
      </c>
      <c r="E397" s="47" t="s">
        <v>131</v>
      </c>
      <c r="F397" s="48">
        <v>3</v>
      </c>
      <c r="G397" s="48">
        <f>VLOOKUP(D397,단가!B:D,3,0)</f>
        <v>8000</v>
      </c>
      <c r="H397" s="48">
        <f t="shared" si="20"/>
        <v>24000</v>
      </c>
      <c r="I397" s="48">
        <f t="shared" si="21"/>
        <v>2400</v>
      </c>
      <c r="J397" s="49">
        <f t="shared" si="19"/>
        <v>26400</v>
      </c>
      <c r="K397" s="53"/>
    </row>
    <row r="398" spans="1:12" ht="19" customHeight="1">
      <c r="A398" s="62" t="s">
        <v>393</v>
      </c>
      <c r="B398" s="47"/>
      <c r="C398" s="47" t="s">
        <v>209</v>
      </c>
      <c r="D398" s="47" t="s">
        <v>61</v>
      </c>
      <c r="E398" s="47" t="s">
        <v>57</v>
      </c>
      <c r="F398" s="48">
        <v>5</v>
      </c>
      <c r="G398" s="48">
        <f>VLOOKUP(D398,단가!B:D,3,0)</f>
        <v>20000</v>
      </c>
      <c r="H398" s="48">
        <f t="shared" si="20"/>
        <v>100000</v>
      </c>
      <c r="I398" s="48">
        <f t="shared" si="21"/>
        <v>10000</v>
      </c>
      <c r="J398" s="49">
        <f t="shared" si="19"/>
        <v>110000</v>
      </c>
      <c r="K398" s="53"/>
    </row>
    <row r="399" spans="1:12" ht="19" customHeight="1">
      <c r="A399" s="62" t="s">
        <v>393</v>
      </c>
      <c r="B399" s="47"/>
      <c r="C399" s="47" t="s">
        <v>209</v>
      </c>
      <c r="D399" s="47" t="s">
        <v>151</v>
      </c>
      <c r="E399" s="47" t="s">
        <v>60</v>
      </c>
      <c r="F399" s="48">
        <v>1</v>
      </c>
      <c r="G399" s="48">
        <f>VLOOKUP(D399,단가!B:D,3,0)</f>
        <v>10500</v>
      </c>
      <c r="H399" s="48">
        <f t="shared" si="20"/>
        <v>10500</v>
      </c>
      <c r="I399" s="48">
        <f t="shared" si="21"/>
        <v>1050</v>
      </c>
      <c r="J399" s="49">
        <f t="shared" si="19"/>
        <v>11550</v>
      </c>
      <c r="K399" s="53"/>
      <c r="L399" s="28"/>
    </row>
    <row r="400" spans="1:12" ht="19" customHeight="1">
      <c r="A400" s="62" t="s">
        <v>393</v>
      </c>
      <c r="B400" s="47"/>
      <c r="C400" s="47" t="s">
        <v>209</v>
      </c>
      <c r="D400" s="47" t="s">
        <v>154</v>
      </c>
      <c r="E400" s="47" t="s">
        <v>60</v>
      </c>
      <c r="F400" s="48">
        <v>1</v>
      </c>
      <c r="G400" s="48">
        <f>VLOOKUP(D400,단가!B:D,3,0)</f>
        <v>10500</v>
      </c>
      <c r="H400" s="48">
        <f t="shared" si="20"/>
        <v>10500</v>
      </c>
      <c r="I400" s="48">
        <f t="shared" si="21"/>
        <v>1050</v>
      </c>
      <c r="J400" s="49">
        <f t="shared" si="19"/>
        <v>11550</v>
      </c>
      <c r="K400" s="53"/>
    </row>
    <row r="401" spans="1:11" ht="19" customHeight="1">
      <c r="A401" s="62" t="s">
        <v>393</v>
      </c>
      <c r="B401" s="47"/>
      <c r="C401" s="47" t="s">
        <v>209</v>
      </c>
      <c r="D401" s="47" t="s">
        <v>146</v>
      </c>
      <c r="E401" s="47" t="s">
        <v>60</v>
      </c>
      <c r="F401" s="48">
        <v>1</v>
      </c>
      <c r="G401" s="48">
        <f>VLOOKUP(D401,단가!B:D,3,0)</f>
        <v>10500</v>
      </c>
      <c r="H401" s="48">
        <f t="shared" si="20"/>
        <v>10500</v>
      </c>
      <c r="I401" s="48">
        <f t="shared" si="21"/>
        <v>1050</v>
      </c>
      <c r="J401" s="49">
        <f t="shared" si="19"/>
        <v>11550</v>
      </c>
      <c r="K401" s="53"/>
    </row>
    <row r="402" spans="1:11" ht="19" customHeight="1">
      <c r="A402" s="62" t="s">
        <v>393</v>
      </c>
      <c r="B402" s="47"/>
      <c r="C402" s="47" t="s">
        <v>209</v>
      </c>
      <c r="D402" s="47" t="s">
        <v>162</v>
      </c>
      <c r="E402" s="47" t="s">
        <v>92</v>
      </c>
      <c r="F402" s="48">
        <v>1</v>
      </c>
      <c r="G402" s="48">
        <f>VLOOKUP(D402,단가!B:D,3,0)</f>
        <v>10500</v>
      </c>
      <c r="H402" s="48">
        <f t="shared" si="20"/>
        <v>10500</v>
      </c>
      <c r="I402" s="48">
        <f t="shared" si="21"/>
        <v>1050</v>
      </c>
      <c r="J402" s="49">
        <f t="shared" si="19"/>
        <v>11550</v>
      </c>
      <c r="K402" s="53"/>
    </row>
    <row r="403" spans="1:11" ht="19" customHeight="1">
      <c r="A403" s="62" t="s">
        <v>403</v>
      </c>
      <c r="B403" s="47"/>
      <c r="C403" s="47" t="s">
        <v>404</v>
      </c>
      <c r="D403" s="47" t="s">
        <v>315</v>
      </c>
      <c r="E403" s="47" t="s">
        <v>57</v>
      </c>
      <c r="F403" s="48">
        <v>2</v>
      </c>
      <c r="G403" s="48">
        <f>VLOOKUP(D403,단가!B:D,3,0)</f>
        <v>32000</v>
      </c>
      <c r="H403" s="48">
        <f t="shared" si="20"/>
        <v>64000</v>
      </c>
      <c r="I403" s="48">
        <f t="shared" si="21"/>
        <v>6400</v>
      </c>
      <c r="J403" s="49">
        <f t="shared" si="19"/>
        <v>70400</v>
      </c>
      <c r="K403" s="53"/>
    </row>
    <row r="404" spans="1:11" ht="19" customHeight="1">
      <c r="A404" s="62" t="s">
        <v>406</v>
      </c>
      <c r="B404" s="47"/>
      <c r="C404" s="47" t="s">
        <v>108</v>
      </c>
      <c r="D404" s="47" t="s">
        <v>61</v>
      </c>
      <c r="E404" s="47" t="s">
        <v>57</v>
      </c>
      <c r="F404" s="48">
        <v>1</v>
      </c>
      <c r="G404" s="48">
        <f>VLOOKUP(D404,단가!B:D,3,0)</f>
        <v>20000</v>
      </c>
      <c r="H404" s="48">
        <f t="shared" si="20"/>
        <v>20000</v>
      </c>
      <c r="I404" s="48">
        <f t="shared" si="21"/>
        <v>2000</v>
      </c>
      <c r="J404" s="49">
        <f t="shared" si="19"/>
        <v>22000</v>
      </c>
      <c r="K404" s="53"/>
    </row>
    <row r="405" spans="1:11" ht="19" customHeight="1">
      <c r="A405" s="62" t="s">
        <v>406</v>
      </c>
      <c r="B405" s="47"/>
      <c r="C405" s="47" t="s">
        <v>217</v>
      </c>
      <c r="D405" s="47" t="s">
        <v>146</v>
      </c>
      <c r="E405" s="47" t="s">
        <v>60</v>
      </c>
      <c r="F405" s="48">
        <v>5</v>
      </c>
      <c r="G405" s="48">
        <f>VLOOKUP(D405,단가!B:D,3,0)</f>
        <v>10500</v>
      </c>
      <c r="H405" s="48">
        <f t="shared" si="20"/>
        <v>52500</v>
      </c>
      <c r="I405" s="48">
        <f t="shared" si="21"/>
        <v>5250</v>
      </c>
      <c r="J405" s="49">
        <f t="shared" si="19"/>
        <v>57750</v>
      </c>
      <c r="K405" s="53"/>
    </row>
    <row r="406" spans="1:11" ht="19" customHeight="1">
      <c r="A406" s="62" t="s">
        <v>406</v>
      </c>
      <c r="B406" s="47"/>
      <c r="C406" s="47" t="s">
        <v>217</v>
      </c>
      <c r="D406" s="47" t="s">
        <v>147</v>
      </c>
      <c r="E406" s="47" t="s">
        <v>60</v>
      </c>
      <c r="F406" s="48">
        <v>5</v>
      </c>
      <c r="G406" s="48">
        <f>VLOOKUP(D406,단가!B:D,3,0)</f>
        <v>10500</v>
      </c>
      <c r="H406" s="48">
        <f t="shared" si="20"/>
        <v>52500</v>
      </c>
      <c r="I406" s="48">
        <f t="shared" si="21"/>
        <v>5250</v>
      </c>
      <c r="J406" s="49">
        <f t="shared" si="19"/>
        <v>57750</v>
      </c>
      <c r="K406" s="53"/>
    </row>
    <row r="407" spans="1:11" ht="19" customHeight="1">
      <c r="A407" s="62" t="s">
        <v>406</v>
      </c>
      <c r="B407" s="47"/>
      <c r="C407" s="47" t="s">
        <v>217</v>
      </c>
      <c r="D407" s="47" t="s">
        <v>149</v>
      </c>
      <c r="E407" s="47" t="s">
        <v>60</v>
      </c>
      <c r="F407" s="48">
        <v>5</v>
      </c>
      <c r="G407" s="48">
        <f>VLOOKUP(D407,단가!B:D,3,0)</f>
        <v>10500</v>
      </c>
      <c r="H407" s="48">
        <f t="shared" si="20"/>
        <v>52500</v>
      </c>
      <c r="I407" s="48">
        <f t="shared" si="21"/>
        <v>5250</v>
      </c>
      <c r="J407" s="49">
        <f t="shared" si="19"/>
        <v>57750</v>
      </c>
      <c r="K407" s="53"/>
    </row>
    <row r="408" spans="1:11" ht="19" customHeight="1">
      <c r="A408" s="62" t="s">
        <v>406</v>
      </c>
      <c r="B408" s="47"/>
      <c r="C408" s="47" t="s">
        <v>217</v>
      </c>
      <c r="D408" s="47" t="s">
        <v>150</v>
      </c>
      <c r="E408" s="47" t="s">
        <v>60</v>
      </c>
      <c r="F408" s="48">
        <v>5</v>
      </c>
      <c r="G408" s="48">
        <f>VLOOKUP(D408,단가!B:D,3,0)</f>
        <v>10500</v>
      </c>
      <c r="H408" s="48">
        <f t="shared" si="20"/>
        <v>52500</v>
      </c>
      <c r="I408" s="48">
        <f t="shared" si="21"/>
        <v>5250</v>
      </c>
      <c r="J408" s="49">
        <f t="shared" si="19"/>
        <v>57750</v>
      </c>
      <c r="K408" s="53"/>
    </row>
    <row r="409" spans="1:11" ht="19" customHeight="1">
      <c r="A409" s="62" t="s">
        <v>406</v>
      </c>
      <c r="B409" s="47"/>
      <c r="C409" s="47" t="s">
        <v>294</v>
      </c>
      <c r="D409" s="47" t="s">
        <v>61</v>
      </c>
      <c r="E409" s="47" t="s">
        <v>57</v>
      </c>
      <c r="F409" s="48">
        <v>1</v>
      </c>
      <c r="G409" s="48">
        <f>VLOOKUP(D409,단가!B:D,3,0)</f>
        <v>20000</v>
      </c>
      <c r="H409" s="48">
        <f t="shared" si="20"/>
        <v>20000</v>
      </c>
      <c r="I409" s="48">
        <f t="shared" si="21"/>
        <v>2000</v>
      </c>
      <c r="J409" s="49">
        <f t="shared" si="19"/>
        <v>22000</v>
      </c>
      <c r="K409" s="53"/>
    </row>
    <row r="410" spans="1:11" ht="19" customHeight="1">
      <c r="A410" s="62" t="s">
        <v>406</v>
      </c>
      <c r="B410" s="47"/>
      <c r="C410" s="47" t="s">
        <v>294</v>
      </c>
      <c r="D410" s="47" t="s">
        <v>302</v>
      </c>
      <c r="E410" s="47" t="s">
        <v>57</v>
      </c>
      <c r="F410" s="48">
        <v>1</v>
      </c>
      <c r="G410" s="48">
        <f>VLOOKUP(D410,단가!B:D,3,0)</f>
        <v>22000</v>
      </c>
      <c r="H410" s="48">
        <f t="shared" si="20"/>
        <v>22000</v>
      </c>
      <c r="I410" s="48">
        <f t="shared" si="21"/>
        <v>2200</v>
      </c>
      <c r="J410" s="49">
        <f t="shared" si="19"/>
        <v>24200</v>
      </c>
      <c r="K410" s="53"/>
    </row>
    <row r="411" spans="1:11" ht="19" customHeight="1">
      <c r="A411" s="62" t="s">
        <v>407</v>
      </c>
      <c r="B411" s="47"/>
      <c r="C411" s="47" t="s">
        <v>123</v>
      </c>
      <c r="D411" s="47" t="s">
        <v>137</v>
      </c>
      <c r="E411" s="47" t="s">
        <v>57</v>
      </c>
      <c r="F411" s="48">
        <v>10</v>
      </c>
      <c r="G411" s="48">
        <f>VLOOKUP(D411,단가!B:D,3,0)</f>
        <v>19000</v>
      </c>
      <c r="H411" s="48">
        <f t="shared" si="20"/>
        <v>190000</v>
      </c>
      <c r="I411" s="48">
        <f t="shared" si="21"/>
        <v>19000</v>
      </c>
      <c r="J411" s="49">
        <f t="shared" si="19"/>
        <v>209000</v>
      </c>
      <c r="K411" s="53"/>
    </row>
    <row r="412" spans="1:11" ht="19" customHeight="1">
      <c r="A412" s="62" t="s">
        <v>408</v>
      </c>
      <c r="B412" s="47"/>
      <c r="C412" s="47" t="s">
        <v>217</v>
      </c>
      <c r="D412" s="47" t="s">
        <v>61</v>
      </c>
      <c r="E412" s="47" t="s">
        <v>57</v>
      </c>
      <c r="F412" s="48">
        <v>5</v>
      </c>
      <c r="G412" s="48">
        <f>VLOOKUP(D412,단가!B:D,3,0)</f>
        <v>20000</v>
      </c>
      <c r="H412" s="48">
        <f t="shared" si="20"/>
        <v>100000</v>
      </c>
      <c r="I412" s="48">
        <f t="shared" si="21"/>
        <v>10000</v>
      </c>
      <c r="J412" s="49">
        <f t="shared" si="19"/>
        <v>110000</v>
      </c>
      <c r="K412" s="53"/>
    </row>
    <row r="413" spans="1:11" ht="19" customHeight="1">
      <c r="A413" s="62" t="s">
        <v>408</v>
      </c>
      <c r="B413" s="47"/>
      <c r="C413" s="47" t="s">
        <v>217</v>
      </c>
      <c r="D413" s="47" t="s">
        <v>148</v>
      </c>
      <c r="E413" s="47" t="s">
        <v>60</v>
      </c>
      <c r="F413" s="48">
        <v>5</v>
      </c>
      <c r="G413" s="48">
        <f>VLOOKUP(D413,단가!B:D,3,0)</f>
        <v>10500</v>
      </c>
      <c r="H413" s="48">
        <f t="shared" si="20"/>
        <v>52500</v>
      </c>
      <c r="I413" s="48">
        <f t="shared" si="21"/>
        <v>5250</v>
      </c>
      <c r="J413" s="49">
        <f t="shared" si="19"/>
        <v>57750</v>
      </c>
      <c r="K413" s="53"/>
    </row>
    <row r="414" spans="1:11" ht="19" customHeight="1">
      <c r="A414" s="62" t="s">
        <v>408</v>
      </c>
      <c r="B414" s="47"/>
      <c r="C414" s="47" t="s">
        <v>217</v>
      </c>
      <c r="D414" s="47" t="s">
        <v>146</v>
      </c>
      <c r="E414" s="47" t="s">
        <v>60</v>
      </c>
      <c r="F414" s="48">
        <v>5</v>
      </c>
      <c r="G414" s="48">
        <f>VLOOKUP(D414,단가!B:D,3,0)</f>
        <v>10500</v>
      </c>
      <c r="H414" s="48">
        <f t="shared" si="20"/>
        <v>52500</v>
      </c>
      <c r="I414" s="48">
        <f t="shared" si="21"/>
        <v>5250</v>
      </c>
      <c r="J414" s="49">
        <f t="shared" si="19"/>
        <v>57750</v>
      </c>
      <c r="K414" s="53"/>
    </row>
    <row r="415" spans="1:11" ht="19" customHeight="1">
      <c r="A415" s="62" t="s">
        <v>408</v>
      </c>
      <c r="B415" s="47"/>
      <c r="C415" s="47" t="s">
        <v>217</v>
      </c>
      <c r="D415" s="47" t="s">
        <v>147</v>
      </c>
      <c r="E415" s="47" t="s">
        <v>60</v>
      </c>
      <c r="F415" s="48">
        <v>5</v>
      </c>
      <c r="G415" s="48">
        <f>VLOOKUP(D415,단가!B:D,3,0)</f>
        <v>10500</v>
      </c>
      <c r="H415" s="48">
        <f t="shared" si="20"/>
        <v>52500</v>
      </c>
      <c r="I415" s="48">
        <f t="shared" si="21"/>
        <v>5250</v>
      </c>
      <c r="J415" s="49">
        <f t="shared" si="19"/>
        <v>57750</v>
      </c>
      <c r="K415" s="53"/>
    </row>
    <row r="416" spans="1:11" ht="19" customHeight="1">
      <c r="A416" s="62" t="s">
        <v>408</v>
      </c>
      <c r="B416" s="47"/>
      <c r="C416" s="47" t="s">
        <v>217</v>
      </c>
      <c r="D416" s="47" t="s">
        <v>152</v>
      </c>
      <c r="E416" s="47" t="s">
        <v>60</v>
      </c>
      <c r="F416" s="48">
        <v>5</v>
      </c>
      <c r="G416" s="48">
        <f>VLOOKUP(D416,단가!B:D,3,0)</f>
        <v>10500</v>
      </c>
      <c r="H416" s="48">
        <f t="shared" si="20"/>
        <v>52500</v>
      </c>
      <c r="I416" s="48">
        <f t="shared" si="21"/>
        <v>5250</v>
      </c>
      <c r="J416" s="49">
        <f t="shared" si="19"/>
        <v>57750</v>
      </c>
      <c r="K416" s="53"/>
    </row>
    <row r="417" spans="1:11" ht="19" customHeight="1">
      <c r="A417" s="62" t="s">
        <v>408</v>
      </c>
      <c r="B417" s="47"/>
      <c r="C417" s="47" t="s">
        <v>217</v>
      </c>
      <c r="D417" s="47" t="s">
        <v>151</v>
      </c>
      <c r="E417" s="47" t="s">
        <v>60</v>
      </c>
      <c r="F417" s="48">
        <v>5</v>
      </c>
      <c r="G417" s="48">
        <f>VLOOKUP(D417,단가!B:D,3,0)</f>
        <v>10500</v>
      </c>
      <c r="H417" s="48">
        <f t="shared" si="20"/>
        <v>52500</v>
      </c>
      <c r="I417" s="48">
        <f t="shared" si="21"/>
        <v>5250</v>
      </c>
      <c r="J417" s="49">
        <f t="shared" si="19"/>
        <v>57750</v>
      </c>
      <c r="K417" s="53"/>
    </row>
    <row r="418" spans="1:11" ht="19" customHeight="1">
      <c r="A418" s="62" t="s">
        <v>408</v>
      </c>
      <c r="B418" s="47"/>
      <c r="C418" s="47" t="s">
        <v>217</v>
      </c>
      <c r="D418" s="47" t="s">
        <v>153</v>
      </c>
      <c r="E418" s="47" t="s">
        <v>60</v>
      </c>
      <c r="F418" s="48">
        <v>5</v>
      </c>
      <c r="G418" s="48">
        <f>VLOOKUP(D418,단가!B:D,3,0)</f>
        <v>10500</v>
      </c>
      <c r="H418" s="48">
        <f t="shared" si="20"/>
        <v>52500</v>
      </c>
      <c r="I418" s="48">
        <f t="shared" si="21"/>
        <v>5250</v>
      </c>
      <c r="J418" s="49">
        <f t="shared" si="19"/>
        <v>57750</v>
      </c>
      <c r="K418" s="53"/>
    </row>
    <row r="419" spans="1:11" ht="19" customHeight="1">
      <c r="A419" s="62" t="s">
        <v>408</v>
      </c>
      <c r="B419" s="47"/>
      <c r="C419" s="47" t="s">
        <v>217</v>
      </c>
      <c r="D419" s="47" t="s">
        <v>154</v>
      </c>
      <c r="E419" s="47" t="s">
        <v>60</v>
      </c>
      <c r="F419" s="48">
        <v>5</v>
      </c>
      <c r="G419" s="48">
        <f>VLOOKUP(D419,단가!B:D,3,0)</f>
        <v>10500</v>
      </c>
      <c r="H419" s="48">
        <f t="shared" si="20"/>
        <v>52500</v>
      </c>
      <c r="I419" s="48">
        <f t="shared" si="21"/>
        <v>5250</v>
      </c>
      <c r="J419" s="49">
        <f t="shared" si="19"/>
        <v>57750</v>
      </c>
      <c r="K419" s="53"/>
    </row>
    <row r="420" spans="1:11" ht="19" customHeight="1">
      <c r="A420" s="62" t="s">
        <v>409</v>
      </c>
      <c r="B420" s="47"/>
      <c r="C420" s="47" t="s">
        <v>127</v>
      </c>
      <c r="D420" s="47" t="s">
        <v>137</v>
      </c>
      <c r="E420" s="47" t="s">
        <v>57</v>
      </c>
      <c r="F420" s="48">
        <v>10</v>
      </c>
      <c r="G420" s="48">
        <f>VLOOKUP(D420,단가!B:D,3,0)</f>
        <v>19000</v>
      </c>
      <c r="H420" s="48">
        <f t="shared" si="20"/>
        <v>190000</v>
      </c>
      <c r="I420" s="48">
        <f t="shared" si="21"/>
        <v>19000</v>
      </c>
      <c r="J420" s="49">
        <f t="shared" si="19"/>
        <v>209000</v>
      </c>
      <c r="K420" s="53"/>
    </row>
    <row r="421" spans="1:11" ht="19" customHeight="1">
      <c r="A421" s="62" t="s">
        <v>409</v>
      </c>
      <c r="B421" s="47"/>
      <c r="C421" s="47" t="s">
        <v>217</v>
      </c>
      <c r="D421" s="47" t="s">
        <v>178</v>
      </c>
      <c r="E421" s="47" t="s">
        <v>60</v>
      </c>
      <c r="F421" s="48">
        <v>5</v>
      </c>
      <c r="G421" s="48">
        <f>VLOOKUP(D421,단가!B:D,3,0)</f>
        <v>10500</v>
      </c>
      <c r="H421" s="48">
        <f t="shared" si="20"/>
        <v>52500</v>
      </c>
      <c r="I421" s="48">
        <f t="shared" si="21"/>
        <v>5250</v>
      </c>
      <c r="J421" s="49">
        <f t="shared" si="19"/>
        <v>57750</v>
      </c>
      <c r="K421" s="53"/>
    </row>
    <row r="422" spans="1:11" ht="19" customHeight="1">
      <c r="A422" s="62" t="s">
        <v>409</v>
      </c>
      <c r="B422" s="47"/>
      <c r="C422" s="47" t="s">
        <v>217</v>
      </c>
      <c r="D422" s="47" t="s">
        <v>147</v>
      </c>
      <c r="E422" s="47" t="s">
        <v>60</v>
      </c>
      <c r="F422" s="48">
        <v>5</v>
      </c>
      <c r="G422" s="48">
        <f>VLOOKUP(D422,단가!B:D,3,0)</f>
        <v>10500</v>
      </c>
      <c r="H422" s="48">
        <f t="shared" si="20"/>
        <v>52500</v>
      </c>
      <c r="I422" s="48">
        <f t="shared" si="21"/>
        <v>5250</v>
      </c>
      <c r="J422" s="49">
        <f t="shared" si="19"/>
        <v>57750</v>
      </c>
      <c r="K422" s="53"/>
    </row>
    <row r="423" spans="1:11" ht="19" customHeight="1">
      <c r="A423" s="62" t="s">
        <v>409</v>
      </c>
      <c r="B423" s="47"/>
      <c r="C423" s="47" t="s">
        <v>217</v>
      </c>
      <c r="D423" s="47" t="s">
        <v>146</v>
      </c>
      <c r="E423" s="47" t="s">
        <v>60</v>
      </c>
      <c r="F423" s="48">
        <v>5</v>
      </c>
      <c r="G423" s="48">
        <f>VLOOKUP(D423,단가!B:D,3,0)</f>
        <v>10500</v>
      </c>
      <c r="H423" s="48">
        <f t="shared" si="20"/>
        <v>52500</v>
      </c>
      <c r="I423" s="48">
        <f t="shared" si="21"/>
        <v>5250</v>
      </c>
      <c r="J423" s="49">
        <f t="shared" si="19"/>
        <v>57750</v>
      </c>
      <c r="K423" s="53"/>
    </row>
    <row r="424" spans="1:11" ht="19" customHeight="1">
      <c r="A424" s="62" t="s">
        <v>410</v>
      </c>
      <c r="B424" s="47"/>
      <c r="C424" s="47" t="s">
        <v>126</v>
      </c>
      <c r="D424" s="47" t="s">
        <v>137</v>
      </c>
      <c r="E424" s="47" t="s">
        <v>57</v>
      </c>
      <c r="F424" s="48">
        <v>10</v>
      </c>
      <c r="G424" s="48">
        <f>VLOOKUP(D424,단가!B:D,3,0)</f>
        <v>19000</v>
      </c>
      <c r="H424" s="48">
        <f t="shared" si="20"/>
        <v>190000</v>
      </c>
      <c r="I424" s="48">
        <f t="shared" si="21"/>
        <v>19000</v>
      </c>
      <c r="J424" s="49">
        <f t="shared" si="19"/>
        <v>209000</v>
      </c>
      <c r="K424" s="53"/>
    </row>
    <row r="425" spans="1:11" ht="19" customHeight="1">
      <c r="A425" s="62" t="s">
        <v>410</v>
      </c>
      <c r="B425" s="47"/>
      <c r="C425" s="47" t="s">
        <v>126</v>
      </c>
      <c r="D425" s="47" t="s">
        <v>130</v>
      </c>
      <c r="E425" s="47" t="s">
        <v>131</v>
      </c>
      <c r="F425" s="48">
        <v>2</v>
      </c>
      <c r="G425" s="48">
        <f>VLOOKUP(D425,단가!B:D,3,0)</f>
        <v>8000</v>
      </c>
      <c r="H425" s="48">
        <f t="shared" si="20"/>
        <v>16000</v>
      </c>
      <c r="I425" s="48">
        <f t="shared" si="21"/>
        <v>1600</v>
      </c>
      <c r="J425" s="49">
        <f t="shared" si="19"/>
        <v>17600</v>
      </c>
      <c r="K425" s="53"/>
    </row>
    <row r="426" spans="1:11" ht="19" customHeight="1">
      <c r="A426" s="62" t="s">
        <v>410</v>
      </c>
      <c r="B426" s="47"/>
      <c r="C426" s="47" t="s">
        <v>217</v>
      </c>
      <c r="D426" s="47" t="s">
        <v>61</v>
      </c>
      <c r="E426" s="47" t="s">
        <v>57</v>
      </c>
      <c r="F426" s="48">
        <v>7</v>
      </c>
      <c r="G426" s="48">
        <f>VLOOKUP(D426,단가!B:D,3,0)</f>
        <v>20000</v>
      </c>
      <c r="H426" s="48">
        <f t="shared" si="20"/>
        <v>140000</v>
      </c>
      <c r="I426" s="48">
        <f t="shared" si="21"/>
        <v>14000</v>
      </c>
      <c r="J426" s="49">
        <f t="shared" si="19"/>
        <v>154000</v>
      </c>
      <c r="K426" s="53"/>
    </row>
    <row r="427" spans="1:11" ht="19" customHeight="1">
      <c r="A427" s="62" t="s">
        <v>411</v>
      </c>
      <c r="B427" s="47"/>
      <c r="C427" s="47" t="s">
        <v>217</v>
      </c>
      <c r="D427" s="47" t="s">
        <v>148</v>
      </c>
      <c r="E427" s="47" t="s">
        <v>60</v>
      </c>
      <c r="F427" s="48">
        <v>5</v>
      </c>
      <c r="G427" s="48">
        <f>VLOOKUP(D427,단가!B:D,3,0)</f>
        <v>10500</v>
      </c>
      <c r="H427" s="48">
        <f t="shared" si="20"/>
        <v>52500</v>
      </c>
      <c r="I427" s="48">
        <f t="shared" si="21"/>
        <v>5250</v>
      </c>
      <c r="J427" s="49">
        <f t="shared" si="19"/>
        <v>57750</v>
      </c>
      <c r="K427" s="53"/>
    </row>
    <row r="428" spans="1:11" ht="19" customHeight="1">
      <c r="A428" s="62" t="s">
        <v>411</v>
      </c>
      <c r="B428" s="47"/>
      <c r="C428" s="47" t="s">
        <v>217</v>
      </c>
      <c r="D428" s="47" t="s">
        <v>147</v>
      </c>
      <c r="E428" s="47" t="s">
        <v>60</v>
      </c>
      <c r="F428" s="48">
        <v>5</v>
      </c>
      <c r="G428" s="48">
        <f>VLOOKUP(D428,단가!B:D,3,0)</f>
        <v>10500</v>
      </c>
      <c r="H428" s="48">
        <f t="shared" si="20"/>
        <v>52500</v>
      </c>
      <c r="I428" s="48">
        <f t="shared" si="21"/>
        <v>5250</v>
      </c>
      <c r="J428" s="49">
        <f t="shared" si="19"/>
        <v>57750</v>
      </c>
      <c r="K428" s="53"/>
    </row>
    <row r="429" spans="1:11" ht="19" customHeight="1">
      <c r="A429" s="62" t="s">
        <v>411</v>
      </c>
      <c r="B429" s="47"/>
      <c r="C429" s="47" t="s">
        <v>217</v>
      </c>
      <c r="D429" s="47" t="s">
        <v>152</v>
      </c>
      <c r="E429" s="47" t="s">
        <v>60</v>
      </c>
      <c r="F429" s="48">
        <v>5</v>
      </c>
      <c r="G429" s="48">
        <f>VLOOKUP(D429,단가!B:D,3,0)</f>
        <v>10500</v>
      </c>
      <c r="H429" s="48">
        <f t="shared" si="20"/>
        <v>52500</v>
      </c>
      <c r="I429" s="48">
        <f t="shared" si="21"/>
        <v>5250</v>
      </c>
      <c r="J429" s="49">
        <f t="shared" si="19"/>
        <v>57750</v>
      </c>
      <c r="K429" s="53"/>
    </row>
    <row r="430" spans="1:11" ht="19" customHeight="1">
      <c r="A430" s="62" t="s">
        <v>411</v>
      </c>
      <c r="B430" s="47"/>
      <c r="C430" s="47" t="s">
        <v>217</v>
      </c>
      <c r="D430" s="47" t="s">
        <v>149</v>
      </c>
      <c r="E430" s="47" t="s">
        <v>60</v>
      </c>
      <c r="F430" s="48">
        <v>5</v>
      </c>
      <c r="G430" s="48">
        <f>VLOOKUP(D430,단가!B:D,3,0)</f>
        <v>10500</v>
      </c>
      <c r="H430" s="48">
        <f t="shared" si="20"/>
        <v>52500</v>
      </c>
      <c r="I430" s="48">
        <f t="shared" si="21"/>
        <v>5250</v>
      </c>
      <c r="J430" s="49">
        <f t="shared" si="19"/>
        <v>57750</v>
      </c>
      <c r="K430" s="53"/>
    </row>
    <row r="431" spans="1:11" ht="19" customHeight="1">
      <c r="A431" s="62" t="s">
        <v>411</v>
      </c>
      <c r="B431" s="47"/>
      <c r="C431" s="47" t="s">
        <v>217</v>
      </c>
      <c r="D431" s="47" t="s">
        <v>150</v>
      </c>
      <c r="E431" s="47" t="s">
        <v>60</v>
      </c>
      <c r="F431" s="48">
        <v>5</v>
      </c>
      <c r="G431" s="48">
        <f>VLOOKUP(D431,단가!B:D,3,0)</f>
        <v>10500</v>
      </c>
      <c r="H431" s="48">
        <f t="shared" si="20"/>
        <v>52500</v>
      </c>
      <c r="I431" s="48">
        <f t="shared" si="21"/>
        <v>5250</v>
      </c>
      <c r="J431" s="49">
        <f t="shared" si="19"/>
        <v>57750</v>
      </c>
      <c r="K431" s="53"/>
    </row>
    <row r="432" spans="1:11" ht="19" customHeight="1">
      <c r="A432" s="62" t="s">
        <v>411</v>
      </c>
      <c r="B432" s="47"/>
      <c r="C432" s="47" t="s">
        <v>355</v>
      </c>
      <c r="D432" s="47" t="s">
        <v>61</v>
      </c>
      <c r="E432" s="47" t="s">
        <v>57</v>
      </c>
      <c r="F432" s="48">
        <v>3</v>
      </c>
      <c r="G432" s="48">
        <f>VLOOKUP(D432,단가!B:D,3,0)</f>
        <v>20000</v>
      </c>
      <c r="H432" s="48">
        <f t="shared" si="20"/>
        <v>60000</v>
      </c>
      <c r="I432" s="48">
        <f t="shared" si="21"/>
        <v>6000</v>
      </c>
      <c r="J432" s="49">
        <f t="shared" si="19"/>
        <v>66000</v>
      </c>
      <c r="K432" s="53"/>
    </row>
    <row r="433" spans="1:11" ht="19" customHeight="1">
      <c r="A433" s="62" t="s">
        <v>411</v>
      </c>
      <c r="B433" s="47"/>
      <c r="C433" s="47" t="s">
        <v>209</v>
      </c>
      <c r="D433" s="47" t="s">
        <v>61</v>
      </c>
      <c r="E433" s="47" t="s">
        <v>57</v>
      </c>
      <c r="F433" s="48">
        <v>5</v>
      </c>
      <c r="G433" s="48">
        <f>VLOOKUP(D433,단가!B:D,3,0)</f>
        <v>20000</v>
      </c>
      <c r="H433" s="48">
        <f t="shared" si="20"/>
        <v>100000</v>
      </c>
      <c r="I433" s="48">
        <f t="shared" si="21"/>
        <v>10000</v>
      </c>
      <c r="J433" s="49">
        <f t="shared" si="19"/>
        <v>110000</v>
      </c>
      <c r="K433" s="53"/>
    </row>
    <row r="434" spans="1:11" ht="19" customHeight="1">
      <c r="A434" s="62" t="s">
        <v>411</v>
      </c>
      <c r="B434" s="47"/>
      <c r="C434" s="47" t="s">
        <v>209</v>
      </c>
      <c r="D434" s="47" t="s">
        <v>412</v>
      </c>
      <c r="E434" s="47" t="s">
        <v>57</v>
      </c>
      <c r="F434" s="48">
        <v>1</v>
      </c>
      <c r="G434" s="48">
        <f>VLOOKUP(D434,단가!B:D,3,0)</f>
        <v>22000</v>
      </c>
      <c r="H434" s="48">
        <f t="shared" si="20"/>
        <v>22000</v>
      </c>
      <c r="I434" s="48">
        <f t="shared" si="21"/>
        <v>2200</v>
      </c>
      <c r="J434" s="49">
        <f t="shared" si="19"/>
        <v>24200</v>
      </c>
      <c r="K434" s="53"/>
    </row>
    <row r="435" spans="1:11" ht="19" customHeight="1">
      <c r="A435" s="62" t="s">
        <v>411</v>
      </c>
      <c r="B435" s="47"/>
      <c r="C435" s="47" t="s">
        <v>209</v>
      </c>
      <c r="D435" s="47" t="s">
        <v>151</v>
      </c>
      <c r="E435" s="47" t="s">
        <v>60</v>
      </c>
      <c r="F435" s="48">
        <v>1</v>
      </c>
      <c r="G435" s="48">
        <f>VLOOKUP(D435,단가!B:D,3,0)</f>
        <v>10500</v>
      </c>
      <c r="H435" s="48">
        <f t="shared" si="20"/>
        <v>10500</v>
      </c>
      <c r="I435" s="48">
        <f t="shared" si="21"/>
        <v>1050</v>
      </c>
      <c r="J435" s="49">
        <f t="shared" si="19"/>
        <v>11550</v>
      </c>
      <c r="K435" s="53"/>
    </row>
    <row r="436" spans="1:11" ht="19" customHeight="1">
      <c r="A436" s="62" t="s">
        <v>411</v>
      </c>
      <c r="B436" s="47"/>
      <c r="C436" s="47" t="s">
        <v>209</v>
      </c>
      <c r="D436" s="47" t="s">
        <v>146</v>
      </c>
      <c r="E436" s="47" t="s">
        <v>60</v>
      </c>
      <c r="F436" s="48">
        <v>1</v>
      </c>
      <c r="G436" s="48">
        <f>VLOOKUP(D436,단가!B:D,3,0)</f>
        <v>10500</v>
      </c>
      <c r="H436" s="48">
        <f t="shared" si="20"/>
        <v>10500</v>
      </c>
      <c r="I436" s="48">
        <f t="shared" si="21"/>
        <v>1050</v>
      </c>
      <c r="J436" s="49">
        <f t="shared" ref="J436:J501" si="22">H436+I436</f>
        <v>11550</v>
      </c>
      <c r="K436" s="53"/>
    </row>
    <row r="437" spans="1:11" ht="19" customHeight="1">
      <c r="A437" s="62" t="s">
        <v>411</v>
      </c>
      <c r="B437" s="47"/>
      <c r="C437" s="47" t="s">
        <v>183</v>
      </c>
      <c r="D437" s="47" t="s">
        <v>61</v>
      </c>
      <c r="E437" s="47" t="s">
        <v>57</v>
      </c>
      <c r="F437" s="48">
        <v>10</v>
      </c>
      <c r="G437" s="48">
        <f>VLOOKUP(D437,단가!B:D,3,0)</f>
        <v>20000</v>
      </c>
      <c r="H437" s="48">
        <f t="shared" ref="H437:H502" si="23">F437*G437</f>
        <v>200000</v>
      </c>
      <c r="I437" s="48">
        <f t="shared" ref="I437:I502" si="24">H437*0.1</f>
        <v>20000</v>
      </c>
      <c r="J437" s="49">
        <f t="shared" si="22"/>
        <v>220000</v>
      </c>
      <c r="K437" s="53"/>
    </row>
    <row r="438" spans="1:11" ht="19" customHeight="1">
      <c r="A438" s="62" t="s">
        <v>411</v>
      </c>
      <c r="B438" s="47"/>
      <c r="C438" s="47" t="s">
        <v>183</v>
      </c>
      <c r="D438" s="47" t="s">
        <v>129</v>
      </c>
      <c r="E438" s="47" t="s">
        <v>131</v>
      </c>
      <c r="F438" s="48">
        <v>2</v>
      </c>
      <c r="G438" s="48">
        <f>VLOOKUP(D438,단가!B:D,3,0)</f>
        <v>6000</v>
      </c>
      <c r="H438" s="48">
        <f t="shared" si="23"/>
        <v>12000</v>
      </c>
      <c r="I438" s="48">
        <f t="shared" si="24"/>
        <v>1200</v>
      </c>
      <c r="J438" s="49">
        <f t="shared" si="22"/>
        <v>13200</v>
      </c>
      <c r="K438" s="53"/>
    </row>
    <row r="439" spans="1:11" ht="19" customHeight="1">
      <c r="A439" s="62" t="s">
        <v>411</v>
      </c>
      <c r="B439" s="47"/>
      <c r="C439" s="47" t="s">
        <v>183</v>
      </c>
      <c r="D439" s="47" t="s">
        <v>130</v>
      </c>
      <c r="E439" s="47" t="s">
        <v>131</v>
      </c>
      <c r="F439" s="48">
        <v>1</v>
      </c>
      <c r="G439" s="48">
        <f>VLOOKUP(D439,단가!B:D,3,0)</f>
        <v>8000</v>
      </c>
      <c r="H439" s="48">
        <f t="shared" si="23"/>
        <v>8000</v>
      </c>
      <c r="I439" s="48">
        <f t="shared" si="24"/>
        <v>800</v>
      </c>
      <c r="J439" s="49">
        <f t="shared" si="22"/>
        <v>8800</v>
      </c>
      <c r="K439" s="56"/>
    </row>
    <row r="440" spans="1:11" ht="19" customHeight="1">
      <c r="A440" s="62" t="s">
        <v>415</v>
      </c>
      <c r="B440" s="47"/>
      <c r="C440" s="47" t="s">
        <v>199</v>
      </c>
      <c r="D440" s="47" t="s">
        <v>61</v>
      </c>
      <c r="E440" s="47" t="s">
        <v>57</v>
      </c>
      <c r="F440" s="48">
        <v>10</v>
      </c>
      <c r="G440" s="48">
        <f>VLOOKUP(D440,단가!B:D,3,0)</f>
        <v>20000</v>
      </c>
      <c r="H440" s="48">
        <f t="shared" si="23"/>
        <v>200000</v>
      </c>
      <c r="I440" s="48">
        <f t="shared" si="24"/>
        <v>20000</v>
      </c>
      <c r="J440" s="49">
        <f t="shared" si="22"/>
        <v>220000</v>
      </c>
      <c r="K440" s="53"/>
    </row>
    <row r="441" spans="1:11" ht="19" customHeight="1">
      <c r="A441" s="62" t="s">
        <v>415</v>
      </c>
      <c r="B441" s="47"/>
      <c r="C441" s="47" t="s">
        <v>199</v>
      </c>
      <c r="D441" s="47" t="s">
        <v>129</v>
      </c>
      <c r="E441" s="47" t="s">
        <v>131</v>
      </c>
      <c r="F441" s="48">
        <v>2</v>
      </c>
      <c r="G441" s="48">
        <f>VLOOKUP(D441,단가!B:D,3,0)</f>
        <v>6000</v>
      </c>
      <c r="H441" s="48">
        <f t="shared" si="23"/>
        <v>12000</v>
      </c>
      <c r="I441" s="48">
        <f t="shared" si="24"/>
        <v>1200</v>
      </c>
      <c r="J441" s="49">
        <f t="shared" si="22"/>
        <v>13200</v>
      </c>
      <c r="K441" s="53"/>
    </row>
    <row r="442" spans="1:11" ht="19" customHeight="1">
      <c r="A442" s="62" t="s">
        <v>416</v>
      </c>
      <c r="B442" s="47"/>
      <c r="C442" s="47" t="s">
        <v>217</v>
      </c>
      <c r="D442" s="47" t="s">
        <v>151</v>
      </c>
      <c r="E442" s="47" t="s">
        <v>60</v>
      </c>
      <c r="F442" s="48">
        <v>5</v>
      </c>
      <c r="G442" s="48">
        <f>VLOOKUP(D442,단가!B:D,3,0)</f>
        <v>10500</v>
      </c>
      <c r="H442" s="48">
        <f t="shared" si="23"/>
        <v>52500</v>
      </c>
      <c r="I442" s="48">
        <f t="shared" si="24"/>
        <v>5250</v>
      </c>
      <c r="J442" s="49">
        <f t="shared" si="22"/>
        <v>57750</v>
      </c>
      <c r="K442" s="53"/>
    </row>
    <row r="443" spans="1:11" ht="19" customHeight="1">
      <c r="A443" s="62" t="s">
        <v>416</v>
      </c>
      <c r="B443" s="47"/>
      <c r="C443" s="47" t="s">
        <v>217</v>
      </c>
      <c r="D443" s="47" t="s">
        <v>146</v>
      </c>
      <c r="E443" s="47" t="s">
        <v>60</v>
      </c>
      <c r="F443" s="48">
        <v>5</v>
      </c>
      <c r="G443" s="48">
        <f>VLOOKUP(D443,단가!B:D,3,0)</f>
        <v>10500</v>
      </c>
      <c r="H443" s="48">
        <f t="shared" si="23"/>
        <v>52500</v>
      </c>
      <c r="I443" s="48">
        <f t="shared" si="24"/>
        <v>5250</v>
      </c>
      <c r="J443" s="49">
        <f t="shared" si="22"/>
        <v>57750</v>
      </c>
      <c r="K443" s="53"/>
    </row>
    <row r="444" spans="1:11" ht="19" customHeight="1">
      <c r="A444" s="62" t="s">
        <v>417</v>
      </c>
      <c r="B444" s="47"/>
      <c r="C444" s="47" t="s">
        <v>128</v>
      </c>
      <c r="D444" s="47" t="s">
        <v>130</v>
      </c>
      <c r="E444" s="47" t="s">
        <v>131</v>
      </c>
      <c r="F444" s="48">
        <v>1</v>
      </c>
      <c r="G444" s="48">
        <f>VLOOKUP(D444,단가!B:D,3,0)</f>
        <v>8000</v>
      </c>
      <c r="H444" s="48">
        <f t="shared" si="23"/>
        <v>8000</v>
      </c>
      <c r="I444" s="48">
        <f t="shared" si="24"/>
        <v>800</v>
      </c>
      <c r="J444" s="49">
        <f t="shared" si="22"/>
        <v>8800</v>
      </c>
      <c r="K444" s="53"/>
    </row>
    <row r="445" spans="1:11" ht="19" customHeight="1">
      <c r="A445" s="62" t="s">
        <v>418</v>
      </c>
      <c r="B445" s="47"/>
      <c r="C445" s="47" t="s">
        <v>217</v>
      </c>
      <c r="D445" s="47" t="s">
        <v>150</v>
      </c>
      <c r="E445" s="47" t="s">
        <v>60</v>
      </c>
      <c r="F445" s="48">
        <v>5</v>
      </c>
      <c r="G445" s="48">
        <f>VLOOKUP(D445,단가!B:D,3,0)</f>
        <v>10500</v>
      </c>
      <c r="H445" s="48">
        <f t="shared" si="23"/>
        <v>52500</v>
      </c>
      <c r="I445" s="48">
        <f t="shared" si="24"/>
        <v>5250</v>
      </c>
      <c r="J445" s="49">
        <f t="shared" si="22"/>
        <v>57750</v>
      </c>
      <c r="K445" s="53"/>
    </row>
    <row r="446" spans="1:11" ht="19" customHeight="1">
      <c r="A446" s="62" t="s">
        <v>418</v>
      </c>
      <c r="B446" s="47"/>
      <c r="C446" s="47" t="s">
        <v>217</v>
      </c>
      <c r="D446" s="47" t="s">
        <v>152</v>
      </c>
      <c r="E446" s="47" t="s">
        <v>60</v>
      </c>
      <c r="F446" s="48">
        <v>5</v>
      </c>
      <c r="G446" s="48">
        <f>VLOOKUP(D446,단가!B:D,3,0)</f>
        <v>10500</v>
      </c>
      <c r="H446" s="48">
        <f t="shared" si="23"/>
        <v>52500</v>
      </c>
      <c r="I446" s="48">
        <f t="shared" si="24"/>
        <v>5250</v>
      </c>
      <c r="J446" s="49">
        <f t="shared" si="22"/>
        <v>57750</v>
      </c>
      <c r="K446" s="53"/>
    </row>
    <row r="447" spans="1:11" ht="19" customHeight="1">
      <c r="A447" s="62" t="s">
        <v>418</v>
      </c>
      <c r="B447" s="47"/>
      <c r="C447" s="47" t="s">
        <v>217</v>
      </c>
      <c r="D447" s="47" t="s">
        <v>154</v>
      </c>
      <c r="E447" s="47" t="s">
        <v>60</v>
      </c>
      <c r="F447" s="48">
        <v>5</v>
      </c>
      <c r="G447" s="48">
        <f>VLOOKUP(D447,단가!B:D,3,0)</f>
        <v>10500</v>
      </c>
      <c r="H447" s="48">
        <f t="shared" si="23"/>
        <v>52500</v>
      </c>
      <c r="I447" s="48">
        <f t="shared" si="24"/>
        <v>5250</v>
      </c>
      <c r="J447" s="49">
        <f t="shared" si="22"/>
        <v>57750</v>
      </c>
      <c r="K447" s="53"/>
    </row>
    <row r="448" spans="1:11" ht="19" customHeight="1">
      <c r="A448" s="62" t="s">
        <v>418</v>
      </c>
      <c r="B448" s="47"/>
      <c r="C448" s="47" t="s">
        <v>217</v>
      </c>
      <c r="D448" s="47" t="s">
        <v>149</v>
      </c>
      <c r="E448" s="47" t="s">
        <v>60</v>
      </c>
      <c r="F448" s="48">
        <v>5</v>
      </c>
      <c r="G448" s="48">
        <f>VLOOKUP(D448,단가!B:D,3,0)</f>
        <v>10500</v>
      </c>
      <c r="H448" s="48">
        <f t="shared" si="23"/>
        <v>52500</v>
      </c>
      <c r="I448" s="48">
        <f t="shared" si="24"/>
        <v>5250</v>
      </c>
      <c r="J448" s="49">
        <f t="shared" si="22"/>
        <v>57750</v>
      </c>
      <c r="K448" s="53"/>
    </row>
    <row r="449" spans="1:11" ht="19" customHeight="1">
      <c r="A449" s="62" t="s">
        <v>418</v>
      </c>
      <c r="B449" s="47"/>
      <c r="C449" s="47" t="s">
        <v>217</v>
      </c>
      <c r="D449" s="47" t="s">
        <v>419</v>
      </c>
      <c r="E449" s="47" t="s">
        <v>57</v>
      </c>
      <c r="F449" s="48">
        <v>5</v>
      </c>
      <c r="G449" s="48">
        <f>VLOOKUP(D449,단가!B:D,3,0)</f>
        <v>20000</v>
      </c>
      <c r="H449" s="48">
        <f t="shared" si="23"/>
        <v>100000</v>
      </c>
      <c r="I449" s="48">
        <f t="shared" si="24"/>
        <v>10000</v>
      </c>
      <c r="J449" s="49">
        <f t="shared" si="22"/>
        <v>110000</v>
      </c>
      <c r="K449" s="53"/>
    </row>
    <row r="450" spans="1:11" ht="19" customHeight="1">
      <c r="A450" s="62" t="s">
        <v>420</v>
      </c>
      <c r="B450" s="47"/>
      <c r="C450" s="47" t="s">
        <v>442</v>
      </c>
      <c r="D450" s="47" t="s">
        <v>61</v>
      </c>
      <c r="E450" s="47" t="s">
        <v>57</v>
      </c>
      <c r="F450" s="48">
        <v>1</v>
      </c>
      <c r="G450" s="48">
        <f>VLOOKUP(D450,단가!B:D,3,0)</f>
        <v>20000</v>
      </c>
      <c r="H450" s="48">
        <f t="shared" si="23"/>
        <v>20000</v>
      </c>
      <c r="I450" s="48">
        <f t="shared" si="24"/>
        <v>2000</v>
      </c>
      <c r="J450" s="49">
        <f t="shared" si="22"/>
        <v>22000</v>
      </c>
      <c r="K450" s="53"/>
    </row>
    <row r="451" spans="1:11" ht="19" customHeight="1">
      <c r="A451" s="62" t="s">
        <v>420</v>
      </c>
      <c r="B451" s="47"/>
      <c r="C451" s="47" t="s">
        <v>442</v>
      </c>
      <c r="D451" s="47" t="s">
        <v>421</v>
      </c>
      <c r="E451" s="47" t="s">
        <v>57</v>
      </c>
      <c r="F451" s="48">
        <v>1</v>
      </c>
      <c r="G451" s="48">
        <f>VLOOKUP(D451,단가!B:D,3,0)</f>
        <v>22000</v>
      </c>
      <c r="H451" s="48">
        <f t="shared" si="23"/>
        <v>22000</v>
      </c>
      <c r="I451" s="48">
        <f t="shared" si="24"/>
        <v>2200</v>
      </c>
      <c r="J451" s="49">
        <f t="shared" si="22"/>
        <v>24200</v>
      </c>
      <c r="K451" s="53"/>
    </row>
    <row r="452" spans="1:11" ht="19" customHeight="1">
      <c r="A452" s="62" t="s">
        <v>420</v>
      </c>
      <c r="B452" s="47"/>
      <c r="C452" s="47" t="s">
        <v>442</v>
      </c>
      <c r="D452" s="47" t="s">
        <v>388</v>
      </c>
      <c r="E452" s="47" t="s">
        <v>60</v>
      </c>
      <c r="F452" s="48">
        <v>1</v>
      </c>
      <c r="G452" s="48">
        <f>VLOOKUP(D452,단가!B:D,3,0)</f>
        <v>10500</v>
      </c>
      <c r="H452" s="48">
        <f t="shared" si="23"/>
        <v>10500</v>
      </c>
      <c r="I452" s="48">
        <f t="shared" si="24"/>
        <v>1050</v>
      </c>
      <c r="J452" s="49">
        <f t="shared" si="22"/>
        <v>11550</v>
      </c>
      <c r="K452" s="53"/>
    </row>
    <row r="453" spans="1:11" ht="19" customHeight="1">
      <c r="A453" s="62" t="s">
        <v>420</v>
      </c>
      <c r="B453" s="47"/>
      <c r="C453" s="47" t="s">
        <v>442</v>
      </c>
      <c r="D453" s="47" t="s">
        <v>422</v>
      </c>
      <c r="E453" s="47" t="s">
        <v>92</v>
      </c>
      <c r="F453" s="48">
        <v>1</v>
      </c>
      <c r="G453" s="48">
        <f>VLOOKUP(D453,단가!B:D,3,0)</f>
        <v>10500</v>
      </c>
      <c r="H453" s="48">
        <f t="shared" si="23"/>
        <v>10500</v>
      </c>
      <c r="I453" s="48">
        <f t="shared" si="24"/>
        <v>1050</v>
      </c>
      <c r="J453" s="49">
        <f t="shared" si="22"/>
        <v>11550</v>
      </c>
      <c r="K453" s="56"/>
    </row>
    <row r="454" spans="1:11" ht="19" customHeight="1">
      <c r="A454" s="62" t="s">
        <v>420</v>
      </c>
      <c r="B454" s="47"/>
      <c r="C454" s="47" t="s">
        <v>209</v>
      </c>
      <c r="D454" s="47" t="s">
        <v>421</v>
      </c>
      <c r="E454" s="47" t="s">
        <v>57</v>
      </c>
      <c r="F454" s="48">
        <v>1</v>
      </c>
      <c r="G454" s="48">
        <f>VLOOKUP(D454,단가!B:D,3,0)</f>
        <v>22000</v>
      </c>
      <c r="H454" s="48">
        <f t="shared" si="23"/>
        <v>22000</v>
      </c>
      <c r="I454" s="48">
        <f t="shared" si="24"/>
        <v>2200</v>
      </c>
      <c r="J454" s="49">
        <f t="shared" si="22"/>
        <v>24200</v>
      </c>
      <c r="K454" s="53"/>
    </row>
    <row r="455" spans="1:11" ht="19" customHeight="1">
      <c r="A455" s="62" t="s">
        <v>420</v>
      </c>
      <c r="B455" s="47"/>
      <c r="C455" s="47" t="s">
        <v>209</v>
      </c>
      <c r="D455" s="47" t="s">
        <v>146</v>
      </c>
      <c r="E455" s="47" t="s">
        <v>60</v>
      </c>
      <c r="F455" s="48">
        <v>1</v>
      </c>
      <c r="G455" s="48">
        <f>VLOOKUP(D455,단가!B:D,3,0)</f>
        <v>10500</v>
      </c>
      <c r="H455" s="48">
        <f t="shared" si="23"/>
        <v>10500</v>
      </c>
      <c r="I455" s="48">
        <f t="shared" si="24"/>
        <v>1050</v>
      </c>
      <c r="J455" s="49">
        <f t="shared" si="22"/>
        <v>11550</v>
      </c>
      <c r="K455" s="53"/>
    </row>
    <row r="456" spans="1:11" ht="19" customHeight="1">
      <c r="A456" s="62" t="s">
        <v>420</v>
      </c>
      <c r="B456" s="47"/>
      <c r="C456" s="47" t="s">
        <v>209</v>
      </c>
      <c r="D456" s="47" t="s">
        <v>148</v>
      </c>
      <c r="E456" s="47" t="s">
        <v>60</v>
      </c>
      <c r="F456" s="48">
        <v>1</v>
      </c>
      <c r="G456" s="48">
        <f>VLOOKUP(D456,단가!B:D,3,0)</f>
        <v>10500</v>
      </c>
      <c r="H456" s="48">
        <f t="shared" si="23"/>
        <v>10500</v>
      </c>
      <c r="I456" s="48">
        <f t="shared" si="24"/>
        <v>1050</v>
      </c>
      <c r="J456" s="49">
        <f t="shared" si="22"/>
        <v>11550</v>
      </c>
      <c r="K456" s="53"/>
    </row>
    <row r="457" spans="1:11" ht="19" customHeight="1">
      <c r="A457" s="62" t="s">
        <v>420</v>
      </c>
      <c r="B457" s="47"/>
      <c r="C457" s="47" t="s">
        <v>209</v>
      </c>
      <c r="D457" s="47" t="s">
        <v>422</v>
      </c>
      <c r="E457" s="47" t="s">
        <v>92</v>
      </c>
      <c r="F457" s="48">
        <v>1</v>
      </c>
      <c r="G457" s="48">
        <f>VLOOKUP(D457,단가!B:D,3,0)</f>
        <v>10500</v>
      </c>
      <c r="H457" s="48">
        <f t="shared" si="23"/>
        <v>10500</v>
      </c>
      <c r="I457" s="48">
        <f t="shared" si="24"/>
        <v>1050</v>
      </c>
      <c r="J457" s="49">
        <f t="shared" si="22"/>
        <v>11550</v>
      </c>
      <c r="K457" s="53"/>
    </row>
    <row r="458" spans="1:11" ht="19" customHeight="1">
      <c r="A458" s="62" t="s">
        <v>425</v>
      </c>
      <c r="B458" s="47"/>
      <c r="C458" s="47" t="s">
        <v>423</v>
      </c>
      <c r="D458" s="47" t="s">
        <v>424</v>
      </c>
      <c r="E458" s="47" t="s">
        <v>57</v>
      </c>
      <c r="F458" s="48">
        <v>1</v>
      </c>
      <c r="G458" s="48">
        <f>VLOOKUP(D458,단가!B:D,3,0)</f>
        <v>20000</v>
      </c>
      <c r="H458" s="48">
        <f t="shared" si="23"/>
        <v>20000</v>
      </c>
      <c r="I458" s="48">
        <f t="shared" si="24"/>
        <v>2000</v>
      </c>
      <c r="J458" s="49">
        <f t="shared" si="22"/>
        <v>22000</v>
      </c>
      <c r="K458" s="53"/>
    </row>
    <row r="459" spans="1:11" ht="19" customHeight="1">
      <c r="A459" s="62" t="s">
        <v>425</v>
      </c>
      <c r="B459" s="47"/>
      <c r="C459" s="47" t="s">
        <v>217</v>
      </c>
      <c r="D459" s="47" t="s">
        <v>146</v>
      </c>
      <c r="E459" s="47" t="s">
        <v>60</v>
      </c>
      <c r="F459" s="48">
        <v>15</v>
      </c>
      <c r="G459" s="48">
        <f>VLOOKUP(D459,단가!B:D,3,0)</f>
        <v>10500</v>
      </c>
      <c r="H459" s="48">
        <f t="shared" si="23"/>
        <v>157500</v>
      </c>
      <c r="I459" s="48">
        <f t="shared" si="24"/>
        <v>15750</v>
      </c>
      <c r="J459" s="49">
        <f t="shared" si="22"/>
        <v>173250</v>
      </c>
      <c r="K459" s="53"/>
    </row>
    <row r="460" spans="1:11" ht="19" customHeight="1">
      <c r="A460" s="62" t="s">
        <v>425</v>
      </c>
      <c r="B460" s="47"/>
      <c r="C460" s="47" t="s">
        <v>217</v>
      </c>
      <c r="D460" s="47" t="s">
        <v>147</v>
      </c>
      <c r="E460" s="47" t="s">
        <v>60</v>
      </c>
      <c r="F460" s="48">
        <v>5</v>
      </c>
      <c r="G460" s="48">
        <f>VLOOKUP(D460,단가!B:D,3,0)</f>
        <v>10500</v>
      </c>
      <c r="H460" s="48">
        <f t="shared" si="23"/>
        <v>52500</v>
      </c>
      <c r="I460" s="48">
        <f t="shared" si="24"/>
        <v>5250</v>
      </c>
      <c r="J460" s="49">
        <f t="shared" si="22"/>
        <v>57750</v>
      </c>
      <c r="K460" s="53"/>
    </row>
    <row r="461" spans="1:11" ht="19" customHeight="1">
      <c r="A461" s="62" t="s">
        <v>425</v>
      </c>
      <c r="B461" s="47"/>
      <c r="C461" s="47" t="s">
        <v>217</v>
      </c>
      <c r="D461" s="47" t="s">
        <v>153</v>
      </c>
      <c r="E461" s="47" t="s">
        <v>60</v>
      </c>
      <c r="F461" s="48">
        <v>5</v>
      </c>
      <c r="G461" s="48">
        <f>VLOOKUP(D461,단가!B:D,3,0)</f>
        <v>10500</v>
      </c>
      <c r="H461" s="48">
        <f t="shared" si="23"/>
        <v>52500</v>
      </c>
      <c r="I461" s="48">
        <f t="shared" si="24"/>
        <v>5250</v>
      </c>
      <c r="J461" s="49">
        <f t="shared" si="22"/>
        <v>57750</v>
      </c>
      <c r="K461" s="53"/>
    </row>
    <row r="462" spans="1:11" ht="19" customHeight="1">
      <c r="A462" s="62" t="s">
        <v>425</v>
      </c>
      <c r="B462" s="47"/>
      <c r="C462" s="47" t="s">
        <v>217</v>
      </c>
      <c r="D462" s="47" t="s">
        <v>152</v>
      </c>
      <c r="E462" s="47" t="s">
        <v>60</v>
      </c>
      <c r="F462" s="48">
        <v>10</v>
      </c>
      <c r="G462" s="48">
        <f>VLOOKUP(D462,단가!B:D,3,0)</f>
        <v>10500</v>
      </c>
      <c r="H462" s="48">
        <f t="shared" si="23"/>
        <v>105000</v>
      </c>
      <c r="I462" s="48">
        <f t="shared" si="24"/>
        <v>10500</v>
      </c>
      <c r="J462" s="49">
        <f t="shared" si="22"/>
        <v>115500</v>
      </c>
      <c r="K462" s="53"/>
    </row>
    <row r="463" spans="1:11" ht="19" customHeight="1">
      <c r="A463" s="62" t="s">
        <v>426</v>
      </c>
      <c r="B463" s="47"/>
      <c r="C463" s="47" t="s">
        <v>201</v>
      </c>
      <c r="D463" s="47" t="s">
        <v>61</v>
      </c>
      <c r="E463" s="47" t="s">
        <v>57</v>
      </c>
      <c r="F463" s="48">
        <v>5</v>
      </c>
      <c r="G463" s="48">
        <f>VLOOKUP(D463,단가!B:D,3,0)</f>
        <v>20000</v>
      </c>
      <c r="H463" s="48">
        <f t="shared" si="23"/>
        <v>100000</v>
      </c>
      <c r="I463" s="48">
        <f t="shared" si="24"/>
        <v>10000</v>
      </c>
      <c r="J463" s="49">
        <f t="shared" si="22"/>
        <v>110000</v>
      </c>
      <c r="K463" s="53"/>
    </row>
    <row r="464" spans="1:11" ht="19" customHeight="1">
      <c r="A464" s="62" t="s">
        <v>427</v>
      </c>
      <c r="B464" s="47"/>
      <c r="C464" s="47" t="s">
        <v>209</v>
      </c>
      <c r="D464" s="47" t="s">
        <v>61</v>
      </c>
      <c r="E464" s="47" t="s">
        <v>57</v>
      </c>
      <c r="F464" s="48">
        <v>5</v>
      </c>
      <c r="G464" s="48">
        <f>VLOOKUP(D464,단가!B:D,3,0)</f>
        <v>20000</v>
      </c>
      <c r="H464" s="48">
        <f t="shared" si="23"/>
        <v>100000</v>
      </c>
      <c r="I464" s="48">
        <f t="shared" si="24"/>
        <v>10000</v>
      </c>
      <c r="J464" s="49">
        <f t="shared" si="22"/>
        <v>110000</v>
      </c>
      <c r="K464" s="53"/>
    </row>
    <row r="465" spans="1:11" ht="19" customHeight="1">
      <c r="A465" s="62" t="s">
        <v>427</v>
      </c>
      <c r="B465" s="47"/>
      <c r="C465" s="47" t="s">
        <v>209</v>
      </c>
      <c r="D465" s="47" t="s">
        <v>146</v>
      </c>
      <c r="E465" s="47" t="s">
        <v>60</v>
      </c>
      <c r="F465" s="48">
        <v>2</v>
      </c>
      <c r="G465" s="48">
        <f>VLOOKUP(D465,단가!B:D,3,0)</f>
        <v>10500</v>
      </c>
      <c r="H465" s="48">
        <f t="shared" si="23"/>
        <v>21000</v>
      </c>
      <c r="I465" s="48">
        <f t="shared" si="24"/>
        <v>2100</v>
      </c>
      <c r="J465" s="49">
        <f t="shared" si="22"/>
        <v>23100</v>
      </c>
      <c r="K465" s="53"/>
    </row>
    <row r="466" spans="1:11" ht="19" customHeight="1">
      <c r="A466" s="62" t="s">
        <v>427</v>
      </c>
      <c r="B466" s="47"/>
      <c r="C466" s="47" t="s">
        <v>209</v>
      </c>
      <c r="D466" s="47" t="s">
        <v>148</v>
      </c>
      <c r="E466" s="47" t="s">
        <v>60</v>
      </c>
      <c r="F466" s="48">
        <v>1</v>
      </c>
      <c r="G466" s="48">
        <f>VLOOKUP(D466,단가!B:D,3,0)</f>
        <v>10500</v>
      </c>
      <c r="H466" s="48">
        <f t="shared" si="23"/>
        <v>10500</v>
      </c>
      <c r="I466" s="48">
        <f t="shared" si="24"/>
        <v>1050</v>
      </c>
      <c r="J466" s="49">
        <f t="shared" si="22"/>
        <v>11550</v>
      </c>
      <c r="K466" s="53"/>
    </row>
    <row r="467" spans="1:11" ht="19" customHeight="1">
      <c r="A467" s="62" t="s">
        <v>428</v>
      </c>
      <c r="B467" s="47"/>
      <c r="C467" s="47" t="s">
        <v>217</v>
      </c>
      <c r="D467" s="47" t="s">
        <v>429</v>
      </c>
      <c r="E467" s="47" t="s">
        <v>57</v>
      </c>
      <c r="F467" s="48">
        <v>6</v>
      </c>
      <c r="G467" s="48">
        <f>VLOOKUP(D467,단가!B:D,3,0)</f>
        <v>20000</v>
      </c>
      <c r="H467" s="48">
        <f t="shared" si="23"/>
        <v>120000</v>
      </c>
      <c r="I467" s="48">
        <f t="shared" si="24"/>
        <v>12000</v>
      </c>
      <c r="J467" s="49">
        <f t="shared" si="22"/>
        <v>132000</v>
      </c>
      <c r="K467" s="53"/>
    </row>
    <row r="468" spans="1:11" ht="19" customHeight="1">
      <c r="A468" s="62" t="s">
        <v>428</v>
      </c>
      <c r="B468" s="47"/>
      <c r="C468" s="47" t="s">
        <v>217</v>
      </c>
      <c r="D468" s="47" t="s">
        <v>430</v>
      </c>
      <c r="E468" s="47" t="s">
        <v>57</v>
      </c>
      <c r="F468" s="48">
        <v>1</v>
      </c>
      <c r="G468" s="48">
        <f>VLOOKUP(D468,단가!B:D,3,0)</f>
        <v>22000</v>
      </c>
      <c r="H468" s="48">
        <f t="shared" si="23"/>
        <v>22000</v>
      </c>
      <c r="I468" s="48">
        <f t="shared" si="24"/>
        <v>2200</v>
      </c>
      <c r="J468" s="49">
        <f t="shared" si="22"/>
        <v>24200</v>
      </c>
      <c r="K468" s="53"/>
    </row>
    <row r="469" spans="1:11" ht="19" customHeight="1">
      <c r="A469" s="62" t="s">
        <v>428</v>
      </c>
      <c r="B469" s="47"/>
      <c r="C469" s="47" t="s">
        <v>217</v>
      </c>
      <c r="D469" s="47" t="s">
        <v>148</v>
      </c>
      <c r="E469" s="47" t="s">
        <v>60</v>
      </c>
      <c r="F469" s="48">
        <v>5</v>
      </c>
      <c r="G469" s="48">
        <f>VLOOKUP(D469,단가!B:D,3,0)</f>
        <v>10500</v>
      </c>
      <c r="H469" s="48">
        <f t="shared" si="23"/>
        <v>52500</v>
      </c>
      <c r="I469" s="48">
        <f t="shared" si="24"/>
        <v>5250</v>
      </c>
      <c r="J469" s="49">
        <f t="shared" si="22"/>
        <v>57750</v>
      </c>
      <c r="K469" s="53"/>
    </row>
    <row r="470" spans="1:11" ht="19" customHeight="1">
      <c r="A470" s="62" t="s">
        <v>428</v>
      </c>
      <c r="B470" s="47"/>
      <c r="C470" s="47" t="s">
        <v>217</v>
      </c>
      <c r="D470" s="47" t="s">
        <v>147</v>
      </c>
      <c r="E470" s="47" t="s">
        <v>60</v>
      </c>
      <c r="F470" s="48">
        <v>5</v>
      </c>
      <c r="G470" s="48">
        <f>VLOOKUP(D470,단가!B:D,3,0)</f>
        <v>10500</v>
      </c>
      <c r="H470" s="48">
        <f t="shared" si="23"/>
        <v>52500</v>
      </c>
      <c r="I470" s="48">
        <f t="shared" si="24"/>
        <v>5250</v>
      </c>
      <c r="J470" s="49">
        <f t="shared" si="22"/>
        <v>57750</v>
      </c>
      <c r="K470" s="53"/>
    </row>
    <row r="471" spans="1:11" ht="19" customHeight="1">
      <c r="A471" s="62" t="s">
        <v>428</v>
      </c>
      <c r="B471" s="47"/>
      <c r="C471" s="47" t="s">
        <v>217</v>
      </c>
      <c r="D471" s="47" t="s">
        <v>152</v>
      </c>
      <c r="E471" s="47" t="s">
        <v>60</v>
      </c>
      <c r="F471" s="48">
        <v>5</v>
      </c>
      <c r="G471" s="48">
        <f>VLOOKUP(D471,단가!B:D,3,0)</f>
        <v>10500</v>
      </c>
      <c r="H471" s="48">
        <f t="shared" si="23"/>
        <v>52500</v>
      </c>
      <c r="I471" s="48">
        <f t="shared" si="24"/>
        <v>5250</v>
      </c>
      <c r="J471" s="49">
        <f t="shared" si="22"/>
        <v>57750</v>
      </c>
      <c r="K471" s="53"/>
    </row>
    <row r="472" spans="1:11" ht="19" customHeight="1">
      <c r="A472" s="62" t="s">
        <v>433</v>
      </c>
      <c r="B472" s="47"/>
      <c r="C472" s="47" t="s">
        <v>355</v>
      </c>
      <c r="D472" s="47" t="s">
        <v>61</v>
      </c>
      <c r="E472" s="47" t="s">
        <v>57</v>
      </c>
      <c r="F472" s="48">
        <v>3</v>
      </c>
      <c r="G472" s="48">
        <f>VLOOKUP(D472,단가!B:D,3,0)</f>
        <v>20000</v>
      </c>
      <c r="H472" s="48">
        <f t="shared" si="23"/>
        <v>60000</v>
      </c>
      <c r="I472" s="48">
        <f t="shared" si="24"/>
        <v>6000</v>
      </c>
      <c r="J472" s="49">
        <f t="shared" si="22"/>
        <v>66000</v>
      </c>
      <c r="K472" s="53"/>
    </row>
    <row r="473" spans="1:11" ht="19" customHeight="1">
      <c r="A473" s="62" t="s">
        <v>441</v>
      </c>
      <c r="B473" s="47"/>
      <c r="C473" s="47" t="s">
        <v>434</v>
      </c>
      <c r="D473" s="47" t="s">
        <v>315</v>
      </c>
      <c r="E473" s="47" t="s">
        <v>57</v>
      </c>
      <c r="F473" s="48">
        <v>2</v>
      </c>
      <c r="G473" s="48">
        <f>VLOOKUP(D473,단가!B:D,3,0)</f>
        <v>32000</v>
      </c>
      <c r="H473" s="48">
        <f t="shared" si="23"/>
        <v>64000</v>
      </c>
      <c r="I473" s="48">
        <f t="shared" si="24"/>
        <v>6400</v>
      </c>
      <c r="J473" s="49">
        <f t="shared" si="22"/>
        <v>70400</v>
      </c>
      <c r="K473" s="53"/>
    </row>
    <row r="474" spans="1:11" ht="19" customHeight="1">
      <c r="A474" s="62" t="s">
        <v>441</v>
      </c>
      <c r="B474" s="47"/>
      <c r="C474" s="47" t="s">
        <v>123</v>
      </c>
      <c r="D474" s="47" t="s">
        <v>61</v>
      </c>
      <c r="E474" s="47" t="s">
        <v>57</v>
      </c>
      <c r="F474" s="48">
        <v>10</v>
      </c>
      <c r="G474" s="48">
        <f>VLOOKUP(D474,단가!B:D,3,0)</f>
        <v>20000</v>
      </c>
      <c r="H474" s="48">
        <f t="shared" si="23"/>
        <v>200000</v>
      </c>
      <c r="I474" s="48">
        <f t="shared" si="24"/>
        <v>20000</v>
      </c>
      <c r="J474" s="49">
        <f t="shared" si="22"/>
        <v>220000</v>
      </c>
      <c r="K474" s="53"/>
    </row>
    <row r="475" spans="1:11" ht="19" customHeight="1">
      <c r="A475" s="62" t="s">
        <v>441</v>
      </c>
      <c r="B475" s="47"/>
      <c r="C475" s="47" t="s">
        <v>123</v>
      </c>
      <c r="D475" s="47" t="s">
        <v>129</v>
      </c>
      <c r="E475" s="47" t="s">
        <v>131</v>
      </c>
      <c r="F475" s="48">
        <v>4</v>
      </c>
      <c r="G475" s="48">
        <f>VLOOKUP(D475,단가!B:D,3,0)</f>
        <v>6000</v>
      </c>
      <c r="H475" s="48">
        <f t="shared" si="23"/>
        <v>24000</v>
      </c>
      <c r="I475" s="48">
        <f t="shared" si="24"/>
        <v>2400</v>
      </c>
      <c r="J475" s="49">
        <f t="shared" si="22"/>
        <v>26400</v>
      </c>
      <c r="K475" s="53"/>
    </row>
    <row r="476" spans="1:11" ht="19" customHeight="1">
      <c r="A476" s="62" t="s">
        <v>450</v>
      </c>
      <c r="B476" s="47"/>
      <c r="C476" s="47" t="s">
        <v>442</v>
      </c>
      <c r="D476" s="47" t="s">
        <v>451</v>
      </c>
      <c r="E476" s="47" t="s">
        <v>57</v>
      </c>
      <c r="F476" s="48">
        <v>4</v>
      </c>
      <c r="G476" s="48">
        <f>VLOOKUP(D476,단가!B:D,3,0)</f>
        <v>22000</v>
      </c>
      <c r="H476" s="48">
        <f t="shared" si="23"/>
        <v>88000</v>
      </c>
      <c r="I476" s="48">
        <f t="shared" si="24"/>
        <v>8800</v>
      </c>
      <c r="J476" s="49">
        <f t="shared" si="22"/>
        <v>96800</v>
      </c>
      <c r="K476" s="53"/>
    </row>
    <row r="477" spans="1:11" ht="19" customHeight="1">
      <c r="A477" s="62" t="s">
        <v>450</v>
      </c>
      <c r="B477" s="47"/>
      <c r="C477" s="47" t="s">
        <v>442</v>
      </c>
      <c r="D477" s="47" t="s">
        <v>388</v>
      </c>
      <c r="E477" s="47" t="s">
        <v>60</v>
      </c>
      <c r="F477" s="48">
        <v>2</v>
      </c>
      <c r="G477" s="48">
        <f>VLOOKUP(D477,단가!B:D,3,0)</f>
        <v>10500</v>
      </c>
      <c r="H477" s="48">
        <f t="shared" si="23"/>
        <v>21000</v>
      </c>
      <c r="I477" s="48">
        <f t="shared" si="24"/>
        <v>2100</v>
      </c>
      <c r="J477" s="49">
        <f t="shared" si="22"/>
        <v>23100</v>
      </c>
      <c r="K477" s="53"/>
    </row>
    <row r="478" spans="1:11" ht="19" customHeight="1">
      <c r="A478" s="62" t="s">
        <v>450</v>
      </c>
      <c r="B478" s="47"/>
      <c r="C478" s="47" t="s">
        <v>217</v>
      </c>
      <c r="D478" s="47" t="s">
        <v>61</v>
      </c>
      <c r="E478" s="47" t="s">
        <v>57</v>
      </c>
      <c r="F478" s="48">
        <v>5</v>
      </c>
      <c r="G478" s="48">
        <f>VLOOKUP(D478,단가!B:D,3,0)</f>
        <v>20000</v>
      </c>
      <c r="H478" s="48">
        <f t="shared" si="23"/>
        <v>100000</v>
      </c>
      <c r="I478" s="48">
        <f t="shared" si="24"/>
        <v>10000</v>
      </c>
      <c r="J478" s="49">
        <f t="shared" si="22"/>
        <v>110000</v>
      </c>
      <c r="K478" s="53"/>
    </row>
    <row r="479" spans="1:11" ht="19" customHeight="1">
      <c r="A479" s="62" t="s">
        <v>450</v>
      </c>
      <c r="B479" s="47"/>
      <c r="C479" s="47" t="s">
        <v>217</v>
      </c>
      <c r="D479" s="47" t="s">
        <v>146</v>
      </c>
      <c r="E479" s="47" t="s">
        <v>60</v>
      </c>
      <c r="F479" s="48">
        <v>5</v>
      </c>
      <c r="G479" s="48">
        <f>VLOOKUP(D479,단가!B:D,3,0)</f>
        <v>10500</v>
      </c>
      <c r="H479" s="48">
        <f t="shared" si="23"/>
        <v>52500</v>
      </c>
      <c r="I479" s="48">
        <f t="shared" si="24"/>
        <v>5250</v>
      </c>
      <c r="J479" s="49">
        <f t="shared" si="22"/>
        <v>57750</v>
      </c>
      <c r="K479" s="53"/>
    </row>
    <row r="480" spans="1:11" ht="19" customHeight="1">
      <c r="A480" s="62" t="s">
        <v>450</v>
      </c>
      <c r="B480" s="47"/>
      <c r="C480" s="47" t="s">
        <v>217</v>
      </c>
      <c r="D480" s="47" t="s">
        <v>147</v>
      </c>
      <c r="E480" s="47" t="s">
        <v>60</v>
      </c>
      <c r="F480" s="48">
        <v>5</v>
      </c>
      <c r="G480" s="48">
        <f>VLOOKUP(D480,단가!B:D,3,0)</f>
        <v>10500</v>
      </c>
      <c r="H480" s="48">
        <f t="shared" si="23"/>
        <v>52500</v>
      </c>
      <c r="I480" s="48">
        <f t="shared" si="24"/>
        <v>5250</v>
      </c>
      <c r="J480" s="49">
        <f t="shared" si="22"/>
        <v>57750</v>
      </c>
      <c r="K480" s="53"/>
    </row>
    <row r="481" spans="1:11" ht="19" customHeight="1">
      <c r="A481" s="62" t="s">
        <v>450</v>
      </c>
      <c r="B481" s="47"/>
      <c r="C481" s="47" t="s">
        <v>217</v>
      </c>
      <c r="D481" s="47" t="s">
        <v>152</v>
      </c>
      <c r="E481" s="47" t="s">
        <v>60</v>
      </c>
      <c r="F481" s="48">
        <v>5</v>
      </c>
      <c r="G481" s="48">
        <f>VLOOKUP(D481,단가!B:D,3,0)</f>
        <v>10500</v>
      </c>
      <c r="H481" s="48">
        <f t="shared" si="23"/>
        <v>52500</v>
      </c>
      <c r="I481" s="48">
        <f t="shared" si="24"/>
        <v>5250</v>
      </c>
      <c r="J481" s="49">
        <f t="shared" si="22"/>
        <v>57750</v>
      </c>
      <c r="K481" s="53"/>
    </row>
    <row r="482" spans="1:11" ht="19" customHeight="1">
      <c r="A482" s="62" t="s">
        <v>450</v>
      </c>
      <c r="B482" s="47"/>
      <c r="C482" s="47" t="s">
        <v>217</v>
      </c>
      <c r="D482" s="47" t="s">
        <v>151</v>
      </c>
      <c r="E482" s="47" t="s">
        <v>60</v>
      </c>
      <c r="F482" s="48">
        <v>5</v>
      </c>
      <c r="G482" s="48">
        <f>VLOOKUP(D482,단가!B:D,3,0)</f>
        <v>10500</v>
      </c>
      <c r="H482" s="48">
        <f t="shared" si="23"/>
        <v>52500</v>
      </c>
      <c r="I482" s="48">
        <f t="shared" si="24"/>
        <v>5250</v>
      </c>
      <c r="J482" s="49">
        <f t="shared" si="22"/>
        <v>57750</v>
      </c>
      <c r="K482" s="53"/>
    </row>
    <row r="483" spans="1:11" ht="19" customHeight="1">
      <c r="A483" s="62" t="s">
        <v>455</v>
      </c>
      <c r="B483" s="47"/>
      <c r="C483" s="47" t="s">
        <v>394</v>
      </c>
      <c r="D483" s="47" t="s">
        <v>405</v>
      </c>
      <c r="E483" s="47"/>
      <c r="F483" s="48">
        <v>1</v>
      </c>
      <c r="G483" s="48">
        <f>VLOOKUP(D483,단가!B:D,3,0)</f>
        <v>30000</v>
      </c>
      <c r="H483" s="48">
        <f t="shared" ref="H483:H484" si="25">F483*G483</f>
        <v>30000</v>
      </c>
      <c r="I483" s="48">
        <f t="shared" ref="I483:I484" si="26">H483*0.1</f>
        <v>3000</v>
      </c>
      <c r="J483" s="49">
        <f t="shared" ref="J483:J484" si="27">H483+I483</f>
        <v>33000</v>
      </c>
      <c r="K483" s="53"/>
    </row>
    <row r="484" spans="1:11" ht="19" customHeight="1">
      <c r="A484" s="62" t="s">
        <v>455</v>
      </c>
      <c r="B484" s="47"/>
      <c r="C484" s="47" t="s">
        <v>316</v>
      </c>
      <c r="D484" s="47" t="s">
        <v>405</v>
      </c>
      <c r="E484" s="47"/>
      <c r="F484" s="48">
        <v>1</v>
      </c>
      <c r="G484" s="48">
        <f>VLOOKUP(D484,단가!B:D,3,0)</f>
        <v>30000</v>
      </c>
      <c r="H484" s="48">
        <f t="shared" si="25"/>
        <v>30000</v>
      </c>
      <c r="I484" s="48">
        <f t="shared" si="26"/>
        <v>3000</v>
      </c>
      <c r="J484" s="49">
        <f t="shared" si="27"/>
        <v>33000</v>
      </c>
      <c r="K484" s="53"/>
    </row>
    <row r="485" spans="1:11" ht="19" customHeight="1">
      <c r="A485" s="62" t="s">
        <v>452</v>
      </c>
      <c r="B485" s="47"/>
      <c r="C485" s="47" t="s">
        <v>209</v>
      </c>
      <c r="D485" s="47" t="s">
        <v>61</v>
      </c>
      <c r="E485" s="47" t="s">
        <v>57</v>
      </c>
      <c r="F485" s="48">
        <v>5</v>
      </c>
      <c r="G485" s="48">
        <f>VLOOKUP(D485,단가!B:D,3,0)</f>
        <v>20000</v>
      </c>
      <c r="H485" s="48">
        <f t="shared" si="23"/>
        <v>100000</v>
      </c>
      <c r="I485" s="48">
        <f t="shared" si="24"/>
        <v>10000</v>
      </c>
      <c r="J485" s="49">
        <f t="shared" si="22"/>
        <v>110000</v>
      </c>
      <c r="K485" s="53"/>
    </row>
    <row r="486" spans="1:11" ht="19" customHeight="1">
      <c r="A486" s="62" t="s">
        <v>452</v>
      </c>
      <c r="B486" s="47"/>
      <c r="C486" s="47" t="s">
        <v>209</v>
      </c>
      <c r="D486" s="47" t="s">
        <v>149</v>
      </c>
      <c r="E486" s="47" t="s">
        <v>60</v>
      </c>
      <c r="F486" s="48">
        <v>1</v>
      </c>
      <c r="G486" s="48">
        <f>VLOOKUP(D486,단가!B:D,3,0)</f>
        <v>10500</v>
      </c>
      <c r="H486" s="48">
        <f t="shared" si="23"/>
        <v>10500</v>
      </c>
      <c r="I486" s="48">
        <f t="shared" si="24"/>
        <v>1050</v>
      </c>
      <c r="J486" s="49">
        <f t="shared" si="22"/>
        <v>11550</v>
      </c>
      <c r="K486" s="53"/>
    </row>
    <row r="487" spans="1:11" ht="19" customHeight="1">
      <c r="A487" s="62" t="s">
        <v>452</v>
      </c>
      <c r="B487" s="47"/>
      <c r="C487" s="47" t="s">
        <v>209</v>
      </c>
      <c r="D487" s="47" t="s">
        <v>152</v>
      </c>
      <c r="E487" s="47" t="s">
        <v>60</v>
      </c>
      <c r="F487" s="48">
        <v>1</v>
      </c>
      <c r="G487" s="48">
        <f>VLOOKUP(D487,단가!B:D,3,0)</f>
        <v>10500</v>
      </c>
      <c r="H487" s="48">
        <f t="shared" si="23"/>
        <v>10500</v>
      </c>
      <c r="I487" s="48">
        <f t="shared" si="24"/>
        <v>1050</v>
      </c>
      <c r="J487" s="49">
        <f t="shared" si="22"/>
        <v>11550</v>
      </c>
      <c r="K487" s="53"/>
    </row>
    <row r="488" spans="1:11" ht="19" customHeight="1">
      <c r="A488" s="62" t="s">
        <v>452</v>
      </c>
      <c r="B488" s="47"/>
      <c r="C488" s="47" t="s">
        <v>209</v>
      </c>
      <c r="D488" s="47" t="s">
        <v>422</v>
      </c>
      <c r="E488" s="47" t="s">
        <v>92</v>
      </c>
      <c r="F488" s="48">
        <v>2</v>
      </c>
      <c r="G488" s="48">
        <f>VLOOKUP(D488,단가!B:D,3,0)</f>
        <v>10500</v>
      </c>
      <c r="H488" s="48">
        <f t="shared" si="23"/>
        <v>21000</v>
      </c>
      <c r="I488" s="48">
        <f t="shared" si="24"/>
        <v>2100</v>
      </c>
      <c r="J488" s="49">
        <f t="shared" si="22"/>
        <v>23100</v>
      </c>
      <c r="K488" s="53"/>
    </row>
    <row r="489" spans="1:11" ht="19" customHeight="1">
      <c r="A489" s="62" t="s">
        <v>452</v>
      </c>
      <c r="B489" s="47"/>
      <c r="C489" s="47" t="s">
        <v>209</v>
      </c>
      <c r="D489" s="47" t="s">
        <v>170</v>
      </c>
      <c r="E489" s="47" t="s">
        <v>92</v>
      </c>
      <c r="F489" s="48">
        <v>1</v>
      </c>
      <c r="G489" s="48">
        <f>VLOOKUP(D489,단가!B:D,3,0)</f>
        <v>10500</v>
      </c>
      <c r="H489" s="48">
        <f t="shared" si="23"/>
        <v>10500</v>
      </c>
      <c r="I489" s="48">
        <f t="shared" si="24"/>
        <v>1050</v>
      </c>
      <c r="J489" s="49">
        <f t="shared" si="22"/>
        <v>11550</v>
      </c>
      <c r="K489" s="53"/>
    </row>
    <row r="490" spans="1:11" ht="19" customHeight="1">
      <c r="A490" s="62" t="s">
        <v>452</v>
      </c>
      <c r="B490" s="47"/>
      <c r="C490" s="47" t="s">
        <v>217</v>
      </c>
      <c r="D490" s="47" t="s">
        <v>61</v>
      </c>
      <c r="E490" s="47" t="s">
        <v>57</v>
      </c>
      <c r="F490" s="48">
        <v>5</v>
      </c>
      <c r="G490" s="48">
        <f>VLOOKUP(D490,단가!B:D,3,0)</f>
        <v>20000</v>
      </c>
      <c r="H490" s="48">
        <f t="shared" si="23"/>
        <v>100000</v>
      </c>
      <c r="I490" s="48">
        <f t="shared" si="24"/>
        <v>10000</v>
      </c>
      <c r="J490" s="49">
        <f t="shared" si="22"/>
        <v>110000</v>
      </c>
      <c r="K490" s="53"/>
    </row>
    <row r="491" spans="1:11" ht="19" customHeight="1">
      <c r="A491" s="62" t="s">
        <v>452</v>
      </c>
      <c r="B491" s="47"/>
      <c r="C491" s="47" t="s">
        <v>217</v>
      </c>
      <c r="D491" s="47" t="s">
        <v>148</v>
      </c>
      <c r="E491" s="47" t="s">
        <v>60</v>
      </c>
      <c r="F491" s="48">
        <v>5</v>
      </c>
      <c r="G491" s="48">
        <f>VLOOKUP(D491,단가!B:D,3,0)</f>
        <v>10500</v>
      </c>
      <c r="H491" s="48">
        <f t="shared" si="23"/>
        <v>52500</v>
      </c>
      <c r="I491" s="48">
        <f t="shared" si="24"/>
        <v>5250</v>
      </c>
      <c r="J491" s="49">
        <f t="shared" si="22"/>
        <v>57750</v>
      </c>
      <c r="K491" s="53"/>
    </row>
    <row r="492" spans="1:11" ht="19" customHeight="1">
      <c r="A492" s="62" t="s">
        <v>452</v>
      </c>
      <c r="B492" s="47"/>
      <c r="C492" s="47" t="s">
        <v>217</v>
      </c>
      <c r="D492" s="47" t="s">
        <v>147</v>
      </c>
      <c r="E492" s="47" t="s">
        <v>60</v>
      </c>
      <c r="F492" s="48">
        <v>5</v>
      </c>
      <c r="G492" s="48">
        <f>VLOOKUP(D492,단가!B:D,3,0)</f>
        <v>10500</v>
      </c>
      <c r="H492" s="48">
        <f t="shared" si="23"/>
        <v>52500</v>
      </c>
      <c r="I492" s="48">
        <f t="shared" si="24"/>
        <v>5250</v>
      </c>
      <c r="J492" s="49">
        <f t="shared" si="22"/>
        <v>57750</v>
      </c>
      <c r="K492" s="53"/>
    </row>
    <row r="493" spans="1:11" ht="19" customHeight="1">
      <c r="A493" s="62" t="s">
        <v>452</v>
      </c>
      <c r="B493" s="47"/>
      <c r="C493" s="47" t="s">
        <v>217</v>
      </c>
      <c r="D493" s="47" t="s">
        <v>149</v>
      </c>
      <c r="E493" s="47" t="s">
        <v>60</v>
      </c>
      <c r="F493" s="48">
        <v>5</v>
      </c>
      <c r="G493" s="48">
        <f>VLOOKUP(D493,단가!B:D,3,0)</f>
        <v>10500</v>
      </c>
      <c r="H493" s="48">
        <f t="shared" si="23"/>
        <v>52500</v>
      </c>
      <c r="I493" s="48">
        <f t="shared" si="24"/>
        <v>5250</v>
      </c>
      <c r="J493" s="49">
        <f t="shared" si="22"/>
        <v>57750</v>
      </c>
      <c r="K493" s="53"/>
    </row>
    <row r="494" spans="1:11" ht="19" customHeight="1">
      <c r="A494" s="62" t="s">
        <v>452</v>
      </c>
      <c r="B494" s="47"/>
      <c r="C494" s="47" t="s">
        <v>217</v>
      </c>
      <c r="D494" s="47" t="s">
        <v>150</v>
      </c>
      <c r="E494" s="47" t="s">
        <v>60</v>
      </c>
      <c r="F494" s="48">
        <v>5</v>
      </c>
      <c r="G494" s="48">
        <f>VLOOKUP(D494,단가!B:D,3,0)</f>
        <v>10500</v>
      </c>
      <c r="H494" s="48">
        <f t="shared" si="23"/>
        <v>52500</v>
      </c>
      <c r="I494" s="48">
        <f t="shared" si="24"/>
        <v>5250</v>
      </c>
      <c r="J494" s="49">
        <f t="shared" si="22"/>
        <v>57750</v>
      </c>
      <c r="K494" s="53"/>
    </row>
    <row r="495" spans="1:11" ht="19" customHeight="1">
      <c r="A495" s="62" t="s">
        <v>452</v>
      </c>
      <c r="B495" s="47"/>
      <c r="C495" s="47" t="s">
        <v>217</v>
      </c>
      <c r="D495" s="47" t="s">
        <v>153</v>
      </c>
      <c r="E495" s="47" t="s">
        <v>60</v>
      </c>
      <c r="F495" s="48">
        <v>5</v>
      </c>
      <c r="G495" s="48">
        <f>VLOOKUP(D495,단가!B:D,3,0)</f>
        <v>10500</v>
      </c>
      <c r="H495" s="48">
        <f t="shared" si="23"/>
        <v>52500</v>
      </c>
      <c r="I495" s="48">
        <f t="shared" si="24"/>
        <v>5250</v>
      </c>
      <c r="J495" s="49">
        <f t="shared" si="22"/>
        <v>57750</v>
      </c>
      <c r="K495" s="53"/>
    </row>
    <row r="496" spans="1:11" ht="19" customHeight="1">
      <c r="A496" s="62" t="s">
        <v>452</v>
      </c>
      <c r="B496" s="47"/>
      <c r="C496" s="47" t="s">
        <v>217</v>
      </c>
      <c r="D496" s="47" t="s">
        <v>154</v>
      </c>
      <c r="E496" s="47" t="s">
        <v>60</v>
      </c>
      <c r="F496" s="48">
        <v>5</v>
      </c>
      <c r="G496" s="48">
        <f>VLOOKUP(D496,단가!B:D,3,0)</f>
        <v>10500</v>
      </c>
      <c r="H496" s="48">
        <f t="shared" si="23"/>
        <v>52500</v>
      </c>
      <c r="I496" s="48">
        <f t="shared" si="24"/>
        <v>5250</v>
      </c>
      <c r="J496" s="49">
        <f t="shared" si="22"/>
        <v>57750</v>
      </c>
      <c r="K496" s="53"/>
    </row>
    <row r="497" spans="1:11" ht="19" customHeight="1">
      <c r="A497" s="62" t="s">
        <v>453</v>
      </c>
      <c r="B497" s="47"/>
      <c r="C497" s="47" t="s">
        <v>217</v>
      </c>
      <c r="D497" s="47" t="s">
        <v>146</v>
      </c>
      <c r="E497" s="47" t="s">
        <v>60</v>
      </c>
      <c r="F497" s="48">
        <v>5</v>
      </c>
      <c r="G497" s="48">
        <f>VLOOKUP(D497,단가!B:D,3,0)</f>
        <v>10500</v>
      </c>
      <c r="H497" s="48">
        <f t="shared" si="23"/>
        <v>52500</v>
      </c>
      <c r="I497" s="48">
        <f t="shared" si="24"/>
        <v>5250</v>
      </c>
      <c r="J497" s="49">
        <f t="shared" si="22"/>
        <v>57750</v>
      </c>
      <c r="K497" s="53"/>
    </row>
    <row r="498" spans="1:11" ht="19" customHeight="1">
      <c r="A498" s="62" t="s">
        <v>453</v>
      </c>
      <c r="B498" s="47"/>
      <c r="C498" s="47" t="s">
        <v>217</v>
      </c>
      <c r="D498" s="47" t="s">
        <v>149</v>
      </c>
      <c r="E498" s="47" t="s">
        <v>60</v>
      </c>
      <c r="F498" s="48">
        <v>5</v>
      </c>
      <c r="G498" s="48">
        <f>VLOOKUP(D498,단가!B:D,3,0)</f>
        <v>10500</v>
      </c>
      <c r="H498" s="48">
        <f t="shared" si="23"/>
        <v>52500</v>
      </c>
      <c r="I498" s="48">
        <f t="shared" si="24"/>
        <v>5250</v>
      </c>
      <c r="J498" s="49">
        <f t="shared" si="22"/>
        <v>57750</v>
      </c>
      <c r="K498" s="53"/>
    </row>
    <row r="499" spans="1:11" ht="19" customHeight="1">
      <c r="A499" s="62" t="s">
        <v>453</v>
      </c>
      <c r="B499" s="47"/>
      <c r="C499" s="47" t="s">
        <v>217</v>
      </c>
      <c r="D499" s="47" t="s">
        <v>152</v>
      </c>
      <c r="E499" s="47" t="s">
        <v>60</v>
      </c>
      <c r="F499" s="48">
        <v>5</v>
      </c>
      <c r="G499" s="48">
        <f>VLOOKUP(D499,단가!B:D,3,0)</f>
        <v>10500</v>
      </c>
      <c r="H499" s="48">
        <f t="shared" si="23"/>
        <v>52500</v>
      </c>
      <c r="I499" s="48">
        <f t="shared" si="24"/>
        <v>5250</v>
      </c>
      <c r="J499" s="49">
        <f t="shared" si="22"/>
        <v>57750</v>
      </c>
      <c r="K499" s="53"/>
    </row>
    <row r="500" spans="1:11" ht="19" customHeight="1">
      <c r="A500" s="62" t="s">
        <v>453</v>
      </c>
      <c r="B500" s="47"/>
      <c r="C500" s="47" t="s">
        <v>217</v>
      </c>
      <c r="D500" s="47" t="s">
        <v>151</v>
      </c>
      <c r="E500" s="47" t="s">
        <v>60</v>
      </c>
      <c r="F500" s="48">
        <v>5</v>
      </c>
      <c r="G500" s="48">
        <f>VLOOKUP(D500,단가!B:D,3,0)</f>
        <v>10500</v>
      </c>
      <c r="H500" s="48">
        <f t="shared" si="23"/>
        <v>52500</v>
      </c>
      <c r="I500" s="48">
        <f t="shared" si="24"/>
        <v>5250</v>
      </c>
      <c r="J500" s="49">
        <f t="shared" si="22"/>
        <v>57750</v>
      </c>
      <c r="K500" s="53"/>
    </row>
    <row r="501" spans="1:11" ht="19" customHeight="1">
      <c r="A501" s="62" t="s">
        <v>456</v>
      </c>
      <c r="B501" s="47"/>
      <c r="C501" s="47" t="s">
        <v>355</v>
      </c>
      <c r="D501" s="47" t="s">
        <v>61</v>
      </c>
      <c r="E501" s="47" t="s">
        <v>57</v>
      </c>
      <c r="F501" s="48">
        <v>3</v>
      </c>
      <c r="G501" s="48">
        <f>VLOOKUP(D501,단가!B:D,3,0)</f>
        <v>20000</v>
      </c>
      <c r="H501" s="48">
        <f t="shared" si="23"/>
        <v>60000</v>
      </c>
      <c r="I501" s="48">
        <f t="shared" si="24"/>
        <v>6000</v>
      </c>
      <c r="J501" s="49">
        <f t="shared" si="22"/>
        <v>66000</v>
      </c>
      <c r="K501" s="53"/>
    </row>
    <row r="502" spans="1:11" ht="19" customHeight="1">
      <c r="A502" s="62" t="s">
        <v>460</v>
      </c>
      <c r="B502" s="47"/>
      <c r="C502" s="47" t="s">
        <v>209</v>
      </c>
      <c r="D502" s="47" t="s">
        <v>61</v>
      </c>
      <c r="E502" s="47" t="s">
        <v>57</v>
      </c>
      <c r="F502" s="48">
        <v>5</v>
      </c>
      <c r="G502" s="48">
        <f>VLOOKUP(D502,단가!B:D,3,0)</f>
        <v>20000</v>
      </c>
      <c r="H502" s="48">
        <f t="shared" si="23"/>
        <v>100000</v>
      </c>
      <c r="I502" s="48">
        <f t="shared" si="24"/>
        <v>10000</v>
      </c>
      <c r="J502" s="49">
        <f t="shared" ref="J502:J565" si="28">H502+I502</f>
        <v>110000</v>
      </c>
      <c r="K502" s="53"/>
    </row>
    <row r="503" spans="1:11" ht="19" customHeight="1">
      <c r="A503" s="62" t="s">
        <v>460</v>
      </c>
      <c r="B503" s="47"/>
      <c r="C503" s="47" t="s">
        <v>209</v>
      </c>
      <c r="D503" s="47" t="s">
        <v>153</v>
      </c>
      <c r="E503" s="47" t="s">
        <v>60</v>
      </c>
      <c r="F503" s="48">
        <v>1</v>
      </c>
      <c r="G503" s="48">
        <f>VLOOKUP(D503,단가!B:D,3,0)</f>
        <v>10500</v>
      </c>
      <c r="H503" s="48">
        <f t="shared" ref="H503:H566" si="29">F503*G503</f>
        <v>10500</v>
      </c>
      <c r="I503" s="48">
        <f t="shared" ref="I503:I566" si="30">H503*0.1</f>
        <v>1050</v>
      </c>
      <c r="J503" s="49">
        <f t="shared" si="28"/>
        <v>11550</v>
      </c>
      <c r="K503" s="53"/>
    </row>
    <row r="504" spans="1:11" ht="19" customHeight="1">
      <c r="A504" s="62" t="s">
        <v>460</v>
      </c>
      <c r="B504" s="47"/>
      <c r="C504" s="47" t="s">
        <v>217</v>
      </c>
      <c r="D504" s="47" t="s">
        <v>61</v>
      </c>
      <c r="E504" s="47" t="s">
        <v>57</v>
      </c>
      <c r="F504" s="48">
        <v>5</v>
      </c>
      <c r="G504" s="48">
        <f>VLOOKUP(D504,단가!B:D,3,0)</f>
        <v>20000</v>
      </c>
      <c r="H504" s="48">
        <f t="shared" si="29"/>
        <v>100000</v>
      </c>
      <c r="I504" s="48">
        <f t="shared" si="30"/>
        <v>10000</v>
      </c>
      <c r="J504" s="49">
        <f t="shared" si="28"/>
        <v>110000</v>
      </c>
      <c r="K504" s="53"/>
    </row>
    <row r="505" spans="1:11" ht="19" customHeight="1">
      <c r="A505" s="62" t="s">
        <v>460</v>
      </c>
      <c r="B505" s="47"/>
      <c r="C505" s="47" t="s">
        <v>217</v>
      </c>
      <c r="D505" s="47" t="s">
        <v>148</v>
      </c>
      <c r="E505" s="47" t="s">
        <v>60</v>
      </c>
      <c r="F505" s="48">
        <v>5</v>
      </c>
      <c r="G505" s="48">
        <f>VLOOKUP(D505,단가!B:D,3,0)</f>
        <v>10500</v>
      </c>
      <c r="H505" s="48">
        <f t="shared" si="29"/>
        <v>52500</v>
      </c>
      <c r="I505" s="48">
        <f t="shared" si="30"/>
        <v>5250</v>
      </c>
      <c r="J505" s="49">
        <f t="shared" si="28"/>
        <v>57750</v>
      </c>
      <c r="K505" s="53"/>
    </row>
    <row r="506" spans="1:11" ht="19" customHeight="1">
      <c r="A506" s="62" t="s">
        <v>460</v>
      </c>
      <c r="B506" s="47"/>
      <c r="C506" s="47" t="s">
        <v>217</v>
      </c>
      <c r="D506" s="47" t="s">
        <v>154</v>
      </c>
      <c r="E506" s="47" t="s">
        <v>60</v>
      </c>
      <c r="F506" s="48">
        <v>5</v>
      </c>
      <c r="G506" s="48">
        <f>VLOOKUP(D506,단가!B:D,3,0)</f>
        <v>10500</v>
      </c>
      <c r="H506" s="48">
        <f t="shared" si="29"/>
        <v>52500</v>
      </c>
      <c r="I506" s="48">
        <f t="shared" si="30"/>
        <v>5250</v>
      </c>
      <c r="J506" s="49">
        <f t="shared" si="28"/>
        <v>57750</v>
      </c>
      <c r="K506" s="53"/>
    </row>
    <row r="507" spans="1:11" ht="19" customHeight="1">
      <c r="A507" s="62" t="s">
        <v>460</v>
      </c>
      <c r="B507" s="47"/>
      <c r="C507" s="47" t="s">
        <v>217</v>
      </c>
      <c r="D507" s="47" t="s">
        <v>153</v>
      </c>
      <c r="E507" s="47" t="s">
        <v>60</v>
      </c>
      <c r="F507" s="48">
        <v>5</v>
      </c>
      <c r="G507" s="48">
        <f>VLOOKUP(D507,단가!B:D,3,0)</f>
        <v>10500</v>
      </c>
      <c r="H507" s="48">
        <f t="shared" si="29"/>
        <v>52500</v>
      </c>
      <c r="I507" s="48">
        <f t="shared" si="30"/>
        <v>5250</v>
      </c>
      <c r="J507" s="49">
        <f t="shared" si="28"/>
        <v>57750</v>
      </c>
      <c r="K507" s="53"/>
    </row>
    <row r="508" spans="1:11" ht="19" customHeight="1">
      <c r="A508" s="62" t="s">
        <v>460</v>
      </c>
      <c r="B508" s="47"/>
      <c r="C508" s="47" t="s">
        <v>217</v>
      </c>
      <c r="D508" s="47" t="s">
        <v>152</v>
      </c>
      <c r="E508" s="47" t="s">
        <v>60</v>
      </c>
      <c r="F508" s="48">
        <v>5</v>
      </c>
      <c r="G508" s="48">
        <f>VLOOKUP(D508,단가!B:D,3,0)</f>
        <v>10500</v>
      </c>
      <c r="H508" s="48">
        <f t="shared" si="29"/>
        <v>52500</v>
      </c>
      <c r="I508" s="48">
        <f t="shared" si="30"/>
        <v>5250</v>
      </c>
      <c r="J508" s="49">
        <f t="shared" si="28"/>
        <v>57750</v>
      </c>
      <c r="K508" s="53"/>
    </row>
    <row r="509" spans="1:11" ht="19" customHeight="1">
      <c r="A509" s="62" t="s">
        <v>461</v>
      </c>
      <c r="B509" s="47"/>
      <c r="C509" s="47" t="s">
        <v>217</v>
      </c>
      <c r="D509" s="47" t="s">
        <v>462</v>
      </c>
      <c r="E509" s="47" t="s">
        <v>60</v>
      </c>
      <c r="F509" s="48">
        <v>5</v>
      </c>
      <c r="G509" s="48">
        <f>VLOOKUP(D509,단가!B:D,3,0)</f>
        <v>10500</v>
      </c>
      <c r="H509" s="48">
        <f t="shared" si="29"/>
        <v>52500</v>
      </c>
      <c r="I509" s="48">
        <f t="shared" si="30"/>
        <v>5250</v>
      </c>
      <c r="J509" s="49">
        <f t="shared" si="28"/>
        <v>57750</v>
      </c>
      <c r="K509" s="53"/>
    </row>
    <row r="510" spans="1:11" ht="19" customHeight="1">
      <c r="A510" s="62" t="s">
        <v>461</v>
      </c>
      <c r="B510" s="47"/>
      <c r="C510" s="47" t="s">
        <v>217</v>
      </c>
      <c r="D510" s="47" t="s">
        <v>149</v>
      </c>
      <c r="E510" s="47" t="s">
        <v>60</v>
      </c>
      <c r="F510" s="48">
        <v>5</v>
      </c>
      <c r="G510" s="48">
        <f>VLOOKUP(D510,단가!B:D,3,0)</f>
        <v>10500</v>
      </c>
      <c r="H510" s="48">
        <f t="shared" si="29"/>
        <v>52500</v>
      </c>
      <c r="I510" s="48">
        <f t="shared" si="30"/>
        <v>5250</v>
      </c>
      <c r="J510" s="49">
        <f t="shared" si="28"/>
        <v>57750</v>
      </c>
      <c r="K510" s="53"/>
    </row>
    <row r="511" spans="1:11" ht="19" customHeight="1">
      <c r="A511" s="62" t="s">
        <v>461</v>
      </c>
      <c r="B511" s="47"/>
      <c r="C511" s="47" t="s">
        <v>217</v>
      </c>
      <c r="D511" s="47" t="s">
        <v>150</v>
      </c>
      <c r="E511" s="47" t="s">
        <v>60</v>
      </c>
      <c r="F511" s="48">
        <v>5</v>
      </c>
      <c r="G511" s="48">
        <f>VLOOKUP(D511,단가!B:D,3,0)</f>
        <v>10500</v>
      </c>
      <c r="H511" s="48">
        <f t="shared" si="29"/>
        <v>52500</v>
      </c>
      <c r="I511" s="48">
        <f t="shared" si="30"/>
        <v>5250</v>
      </c>
      <c r="J511" s="49">
        <f t="shared" si="28"/>
        <v>57750</v>
      </c>
      <c r="K511" s="53"/>
    </row>
    <row r="512" spans="1:11" ht="19" customHeight="1">
      <c r="A512" s="62" t="s">
        <v>463</v>
      </c>
      <c r="B512" s="47"/>
      <c r="C512" s="47" t="s">
        <v>108</v>
      </c>
      <c r="D512" s="47" t="s">
        <v>464</v>
      </c>
      <c r="E512" s="47" t="s">
        <v>57</v>
      </c>
      <c r="F512" s="48">
        <v>1</v>
      </c>
      <c r="G512" s="48">
        <f>VLOOKUP(D512,단가!B:D,3,0)</f>
        <v>22000</v>
      </c>
      <c r="H512" s="48">
        <f t="shared" si="29"/>
        <v>22000</v>
      </c>
      <c r="I512" s="48">
        <f t="shared" si="30"/>
        <v>2200</v>
      </c>
      <c r="J512" s="49">
        <f t="shared" si="28"/>
        <v>24200</v>
      </c>
      <c r="K512" s="53"/>
    </row>
    <row r="513" spans="1:11" ht="19" customHeight="1">
      <c r="A513" s="62" t="s">
        <v>465</v>
      </c>
      <c r="B513" s="47"/>
      <c r="C513" s="47" t="s">
        <v>355</v>
      </c>
      <c r="D513" s="47" t="s">
        <v>466</v>
      </c>
      <c r="E513" s="47" t="s">
        <v>57</v>
      </c>
      <c r="F513" s="48">
        <v>3</v>
      </c>
      <c r="G513" s="48">
        <f>VLOOKUP(D513,단가!B:D,3,0)</f>
        <v>20000</v>
      </c>
      <c r="H513" s="48">
        <f t="shared" si="29"/>
        <v>60000</v>
      </c>
      <c r="I513" s="48">
        <f t="shared" si="30"/>
        <v>6000</v>
      </c>
      <c r="J513" s="49">
        <f t="shared" si="28"/>
        <v>66000</v>
      </c>
      <c r="K513" s="53"/>
    </row>
    <row r="514" spans="1:11" ht="19" customHeight="1">
      <c r="A514" s="62" t="s">
        <v>465</v>
      </c>
      <c r="B514" s="47"/>
      <c r="C514" s="47" t="s">
        <v>217</v>
      </c>
      <c r="D514" s="47" t="s">
        <v>466</v>
      </c>
      <c r="E514" s="47" t="s">
        <v>57</v>
      </c>
      <c r="F514" s="48">
        <v>5</v>
      </c>
      <c r="G514" s="48">
        <f>VLOOKUP(D514,단가!B:D,3,0)</f>
        <v>20000</v>
      </c>
      <c r="H514" s="48">
        <f t="shared" si="29"/>
        <v>100000</v>
      </c>
      <c r="I514" s="48">
        <f t="shared" si="30"/>
        <v>10000</v>
      </c>
      <c r="J514" s="49">
        <f t="shared" si="28"/>
        <v>110000</v>
      </c>
      <c r="K514" s="53"/>
    </row>
    <row r="515" spans="1:11" ht="19" customHeight="1">
      <c r="A515" s="62" t="s">
        <v>465</v>
      </c>
      <c r="B515" s="47"/>
      <c r="C515" s="47" t="s">
        <v>217</v>
      </c>
      <c r="D515" s="47" t="s">
        <v>302</v>
      </c>
      <c r="E515" s="47" t="s">
        <v>57</v>
      </c>
      <c r="F515" s="48">
        <v>1</v>
      </c>
      <c r="G515" s="48">
        <f>VLOOKUP(D515,단가!B:D,3,0)</f>
        <v>22000</v>
      </c>
      <c r="H515" s="48">
        <f t="shared" si="29"/>
        <v>22000</v>
      </c>
      <c r="I515" s="48">
        <f t="shared" si="30"/>
        <v>2200</v>
      </c>
      <c r="J515" s="49">
        <f t="shared" si="28"/>
        <v>24200</v>
      </c>
      <c r="K515" s="53"/>
    </row>
    <row r="516" spans="1:11" ht="19" customHeight="1">
      <c r="A516" s="62" t="s">
        <v>465</v>
      </c>
      <c r="B516" s="47"/>
      <c r="C516" s="68" t="s">
        <v>467</v>
      </c>
      <c r="D516" s="6" t="s">
        <v>315</v>
      </c>
      <c r="E516" s="47" t="s">
        <v>57</v>
      </c>
      <c r="F516" s="48">
        <v>2</v>
      </c>
      <c r="G516" s="48">
        <f>VLOOKUP(D516,단가!B:D,3,0)</f>
        <v>32000</v>
      </c>
      <c r="H516" s="48">
        <f t="shared" si="29"/>
        <v>64000</v>
      </c>
      <c r="I516" s="48">
        <f t="shared" si="30"/>
        <v>6400</v>
      </c>
      <c r="J516" s="49">
        <f t="shared" si="28"/>
        <v>70400</v>
      </c>
      <c r="K516" s="53"/>
    </row>
    <row r="517" spans="1:11" ht="19" customHeight="1">
      <c r="A517" s="62" t="s">
        <v>473</v>
      </c>
      <c r="B517" s="47"/>
      <c r="C517" s="47" t="s">
        <v>217</v>
      </c>
      <c r="D517" s="47" t="s">
        <v>146</v>
      </c>
      <c r="E517" s="47" t="s">
        <v>60</v>
      </c>
      <c r="F517" s="48">
        <v>5</v>
      </c>
      <c r="G517" s="48">
        <f>VLOOKUP(D517,단가!B:D,3,0)</f>
        <v>10500</v>
      </c>
      <c r="H517" s="48">
        <f t="shared" si="29"/>
        <v>52500</v>
      </c>
      <c r="I517" s="48">
        <f t="shared" si="30"/>
        <v>5250</v>
      </c>
      <c r="J517" s="49">
        <f t="shared" si="28"/>
        <v>57750</v>
      </c>
      <c r="K517" s="53"/>
    </row>
    <row r="518" spans="1:11" ht="19" customHeight="1">
      <c r="A518" s="62" t="s">
        <v>473</v>
      </c>
      <c r="B518" s="47"/>
      <c r="C518" s="47" t="s">
        <v>217</v>
      </c>
      <c r="D518" s="47" t="s">
        <v>148</v>
      </c>
      <c r="E518" s="47" t="s">
        <v>60</v>
      </c>
      <c r="F518" s="48">
        <v>5</v>
      </c>
      <c r="G518" s="48">
        <f>VLOOKUP(D518,단가!B:D,3,0)</f>
        <v>10500</v>
      </c>
      <c r="H518" s="48">
        <f t="shared" si="29"/>
        <v>52500</v>
      </c>
      <c r="I518" s="48">
        <f t="shared" si="30"/>
        <v>5250</v>
      </c>
      <c r="J518" s="49">
        <f t="shared" si="28"/>
        <v>57750</v>
      </c>
      <c r="K518" s="53"/>
    </row>
    <row r="519" spans="1:11" ht="19" customHeight="1">
      <c r="A519" s="62" t="s">
        <v>473</v>
      </c>
      <c r="B519" s="47"/>
      <c r="C519" s="47" t="s">
        <v>217</v>
      </c>
      <c r="D519" s="47" t="s">
        <v>147</v>
      </c>
      <c r="E519" s="47" t="s">
        <v>60</v>
      </c>
      <c r="F519" s="48">
        <v>5</v>
      </c>
      <c r="G519" s="48">
        <f>VLOOKUP(D519,단가!B:D,3,0)</f>
        <v>10500</v>
      </c>
      <c r="H519" s="48">
        <f t="shared" si="29"/>
        <v>52500</v>
      </c>
      <c r="I519" s="48">
        <f t="shared" si="30"/>
        <v>5250</v>
      </c>
      <c r="J519" s="49">
        <f t="shared" si="28"/>
        <v>57750</v>
      </c>
      <c r="K519" s="53"/>
    </row>
    <row r="520" spans="1:11" ht="19" customHeight="1">
      <c r="A520" s="62" t="s">
        <v>473</v>
      </c>
      <c r="B520" s="47"/>
      <c r="C520" s="47" t="s">
        <v>217</v>
      </c>
      <c r="D520" s="47" t="s">
        <v>152</v>
      </c>
      <c r="E520" s="47" t="s">
        <v>60</v>
      </c>
      <c r="F520" s="48">
        <v>5</v>
      </c>
      <c r="G520" s="48">
        <f>VLOOKUP(D520,단가!B:D,3,0)</f>
        <v>10500</v>
      </c>
      <c r="H520" s="48">
        <f t="shared" si="29"/>
        <v>52500</v>
      </c>
      <c r="I520" s="48">
        <f t="shared" si="30"/>
        <v>5250</v>
      </c>
      <c r="J520" s="49">
        <f t="shared" si="28"/>
        <v>57750</v>
      </c>
      <c r="K520" s="53"/>
    </row>
    <row r="521" spans="1:11" ht="19" customHeight="1">
      <c r="A521" s="62" t="s">
        <v>473</v>
      </c>
      <c r="B521" s="47"/>
      <c r="C521" s="47" t="s">
        <v>217</v>
      </c>
      <c r="D521" s="47" t="s">
        <v>153</v>
      </c>
      <c r="E521" s="47" t="s">
        <v>60</v>
      </c>
      <c r="F521" s="48">
        <v>5</v>
      </c>
      <c r="G521" s="48">
        <f>VLOOKUP(D521,단가!B:D,3,0)</f>
        <v>10500</v>
      </c>
      <c r="H521" s="48">
        <f t="shared" si="29"/>
        <v>52500</v>
      </c>
      <c r="I521" s="48">
        <f t="shared" si="30"/>
        <v>5250</v>
      </c>
      <c r="J521" s="49">
        <f t="shared" si="28"/>
        <v>57750</v>
      </c>
      <c r="K521" s="53"/>
    </row>
    <row r="522" spans="1:11" ht="19" customHeight="1">
      <c r="A522" s="62" t="s">
        <v>474</v>
      </c>
      <c r="B522" s="47"/>
      <c r="C522" s="47" t="s">
        <v>209</v>
      </c>
      <c r="D522" s="47" t="s">
        <v>475</v>
      </c>
      <c r="E522" s="47" t="s">
        <v>57</v>
      </c>
      <c r="F522" s="48">
        <v>5</v>
      </c>
      <c r="G522" s="48">
        <f>VLOOKUP(D522,단가!B:D,3,0)</f>
        <v>20000</v>
      </c>
      <c r="H522" s="48">
        <f t="shared" si="29"/>
        <v>100000</v>
      </c>
      <c r="I522" s="48">
        <f t="shared" si="30"/>
        <v>10000</v>
      </c>
      <c r="J522" s="49">
        <f t="shared" si="28"/>
        <v>110000</v>
      </c>
      <c r="K522" s="53"/>
    </row>
    <row r="523" spans="1:11" ht="19" customHeight="1">
      <c r="A523" s="62" t="s">
        <v>474</v>
      </c>
      <c r="B523" s="47"/>
      <c r="C523" s="47" t="s">
        <v>209</v>
      </c>
      <c r="D523" s="47" t="s">
        <v>476</v>
      </c>
      <c r="E523" s="47" t="s">
        <v>57</v>
      </c>
      <c r="F523" s="48">
        <v>1</v>
      </c>
      <c r="G523" s="48">
        <f>VLOOKUP(D523,단가!B:D,3,0)</f>
        <v>22000</v>
      </c>
      <c r="H523" s="48">
        <f t="shared" si="29"/>
        <v>22000</v>
      </c>
      <c r="I523" s="48">
        <f t="shared" si="30"/>
        <v>2200</v>
      </c>
      <c r="J523" s="49">
        <f t="shared" si="28"/>
        <v>24200</v>
      </c>
      <c r="K523" s="53"/>
    </row>
    <row r="524" spans="1:11" ht="19" customHeight="1">
      <c r="A524" s="62" t="s">
        <v>474</v>
      </c>
      <c r="B524" s="47"/>
      <c r="C524" s="47" t="s">
        <v>209</v>
      </c>
      <c r="D524" s="47" t="s">
        <v>146</v>
      </c>
      <c r="E524" s="47" t="s">
        <v>60</v>
      </c>
      <c r="F524" s="48">
        <v>2</v>
      </c>
      <c r="G524" s="48">
        <f>VLOOKUP(D524,단가!B:D,3,0)</f>
        <v>10500</v>
      </c>
      <c r="H524" s="48">
        <f t="shared" si="29"/>
        <v>21000</v>
      </c>
      <c r="I524" s="48">
        <f t="shared" si="30"/>
        <v>2100</v>
      </c>
      <c r="J524" s="49">
        <f t="shared" si="28"/>
        <v>23100</v>
      </c>
      <c r="K524" s="53"/>
    </row>
    <row r="525" spans="1:11" ht="19" customHeight="1">
      <c r="A525" s="62" t="s">
        <v>474</v>
      </c>
      <c r="B525" s="47"/>
      <c r="C525" s="47" t="s">
        <v>209</v>
      </c>
      <c r="D525" s="6" t="s">
        <v>162</v>
      </c>
      <c r="E525" s="6" t="s">
        <v>92</v>
      </c>
      <c r="F525" s="48">
        <v>1</v>
      </c>
      <c r="G525" s="48">
        <f>VLOOKUP(D525,단가!B:D,3,0)</f>
        <v>10500</v>
      </c>
      <c r="H525" s="48">
        <f t="shared" si="29"/>
        <v>10500</v>
      </c>
      <c r="I525" s="48">
        <f t="shared" si="30"/>
        <v>1050</v>
      </c>
      <c r="J525" s="49">
        <f t="shared" si="28"/>
        <v>11550</v>
      </c>
      <c r="K525" s="53"/>
    </row>
    <row r="526" spans="1:11" ht="19" customHeight="1">
      <c r="A526" s="62" t="s">
        <v>474</v>
      </c>
      <c r="B526" s="47"/>
      <c r="C526" s="47" t="s">
        <v>126</v>
      </c>
      <c r="D526" s="47" t="s">
        <v>475</v>
      </c>
      <c r="E526" s="47" t="s">
        <v>57</v>
      </c>
      <c r="F526" s="48">
        <v>10</v>
      </c>
      <c r="G526" s="48">
        <f>VLOOKUP(D526,단가!B:D,3,0)</f>
        <v>20000</v>
      </c>
      <c r="H526" s="48">
        <f t="shared" si="29"/>
        <v>200000</v>
      </c>
      <c r="I526" s="48">
        <f t="shared" si="30"/>
        <v>20000</v>
      </c>
      <c r="J526" s="49">
        <f t="shared" si="28"/>
        <v>220000</v>
      </c>
      <c r="K526" s="53"/>
    </row>
    <row r="527" spans="1:11" ht="19" customHeight="1">
      <c r="A527" s="62" t="s">
        <v>474</v>
      </c>
      <c r="B527" s="47"/>
      <c r="C527" s="47" t="s">
        <v>126</v>
      </c>
      <c r="D527" s="6" t="s">
        <v>130</v>
      </c>
      <c r="E527" s="6" t="s">
        <v>131</v>
      </c>
      <c r="F527" s="48">
        <v>2</v>
      </c>
      <c r="G527" s="48">
        <f>VLOOKUP(D527,단가!B:D,3,0)</f>
        <v>8000</v>
      </c>
      <c r="H527" s="48">
        <f t="shared" si="29"/>
        <v>16000</v>
      </c>
      <c r="I527" s="48">
        <f t="shared" si="30"/>
        <v>1600</v>
      </c>
      <c r="J527" s="49">
        <f t="shared" si="28"/>
        <v>17600</v>
      </c>
      <c r="K527" s="53"/>
    </row>
    <row r="528" spans="1:11" ht="19" customHeight="1">
      <c r="A528" s="62" t="s">
        <v>477</v>
      </c>
      <c r="B528" s="47"/>
      <c r="C528" s="47" t="s">
        <v>217</v>
      </c>
      <c r="D528" s="47" t="s">
        <v>148</v>
      </c>
      <c r="E528" s="47" t="s">
        <v>60</v>
      </c>
      <c r="F528" s="48">
        <v>5</v>
      </c>
      <c r="G528" s="48">
        <f>VLOOKUP(D528,단가!B:D,3,0)</f>
        <v>10500</v>
      </c>
      <c r="H528" s="48">
        <f t="shared" si="29"/>
        <v>52500</v>
      </c>
      <c r="I528" s="48">
        <f t="shared" si="30"/>
        <v>5250</v>
      </c>
      <c r="J528" s="49">
        <f t="shared" si="28"/>
        <v>57750</v>
      </c>
      <c r="K528" s="53"/>
    </row>
    <row r="529" spans="1:11" ht="19" customHeight="1">
      <c r="A529" s="62" t="s">
        <v>477</v>
      </c>
      <c r="B529" s="47"/>
      <c r="C529" s="47" t="s">
        <v>217</v>
      </c>
      <c r="D529" s="47" t="s">
        <v>146</v>
      </c>
      <c r="E529" s="47" t="s">
        <v>60</v>
      </c>
      <c r="F529" s="48">
        <v>5</v>
      </c>
      <c r="G529" s="48">
        <f>VLOOKUP(D529,단가!B:D,3,0)</f>
        <v>10500</v>
      </c>
      <c r="H529" s="48">
        <f t="shared" si="29"/>
        <v>52500</v>
      </c>
      <c r="I529" s="48">
        <f t="shared" si="30"/>
        <v>5250</v>
      </c>
      <c r="J529" s="49">
        <f t="shared" si="28"/>
        <v>57750</v>
      </c>
      <c r="K529" s="53"/>
    </row>
    <row r="530" spans="1:11" ht="19" customHeight="1">
      <c r="A530" s="62" t="s">
        <v>477</v>
      </c>
      <c r="B530" s="47"/>
      <c r="C530" s="47" t="s">
        <v>217</v>
      </c>
      <c r="D530" s="47" t="s">
        <v>147</v>
      </c>
      <c r="E530" s="47" t="s">
        <v>60</v>
      </c>
      <c r="F530" s="48">
        <v>5</v>
      </c>
      <c r="G530" s="48">
        <f>VLOOKUP(D530,단가!B:D,3,0)</f>
        <v>10500</v>
      </c>
      <c r="H530" s="48">
        <f t="shared" si="29"/>
        <v>52500</v>
      </c>
      <c r="I530" s="48">
        <f t="shared" si="30"/>
        <v>5250</v>
      </c>
      <c r="J530" s="49">
        <f t="shared" si="28"/>
        <v>57750</v>
      </c>
      <c r="K530" s="53"/>
    </row>
    <row r="531" spans="1:11" ht="19" customHeight="1">
      <c r="A531" s="62" t="s">
        <v>477</v>
      </c>
      <c r="B531" s="47"/>
      <c r="C531" s="47" t="s">
        <v>217</v>
      </c>
      <c r="D531" s="47" t="s">
        <v>149</v>
      </c>
      <c r="E531" s="47" t="s">
        <v>60</v>
      </c>
      <c r="F531" s="48">
        <v>5</v>
      </c>
      <c r="G531" s="48">
        <f>VLOOKUP(D531,단가!B:D,3,0)</f>
        <v>10500</v>
      </c>
      <c r="H531" s="48">
        <f t="shared" si="29"/>
        <v>52500</v>
      </c>
      <c r="I531" s="48">
        <f t="shared" si="30"/>
        <v>5250</v>
      </c>
      <c r="J531" s="49">
        <f t="shared" si="28"/>
        <v>57750</v>
      </c>
      <c r="K531" s="53"/>
    </row>
    <row r="532" spans="1:11" ht="19" customHeight="1">
      <c r="A532" s="62" t="s">
        <v>477</v>
      </c>
      <c r="B532" s="47"/>
      <c r="C532" s="47" t="s">
        <v>217</v>
      </c>
      <c r="D532" s="47" t="s">
        <v>150</v>
      </c>
      <c r="E532" s="47" t="s">
        <v>60</v>
      </c>
      <c r="F532" s="48">
        <v>5</v>
      </c>
      <c r="G532" s="48">
        <f>VLOOKUP(D532,단가!B:D,3,0)</f>
        <v>10500</v>
      </c>
      <c r="H532" s="48">
        <f t="shared" si="29"/>
        <v>52500</v>
      </c>
      <c r="I532" s="48">
        <f t="shared" si="30"/>
        <v>5250</v>
      </c>
      <c r="J532" s="49">
        <f t="shared" si="28"/>
        <v>57750</v>
      </c>
      <c r="K532" s="53"/>
    </row>
    <row r="533" spans="1:11" ht="19" customHeight="1">
      <c r="A533" s="62" t="s">
        <v>477</v>
      </c>
      <c r="B533" s="47"/>
      <c r="C533" s="47" t="s">
        <v>217</v>
      </c>
      <c r="D533" s="47" t="s">
        <v>152</v>
      </c>
      <c r="E533" s="47" t="s">
        <v>60</v>
      </c>
      <c r="F533" s="48">
        <v>5</v>
      </c>
      <c r="G533" s="48">
        <f>VLOOKUP(D533,단가!B:D,3,0)</f>
        <v>10500</v>
      </c>
      <c r="H533" s="48">
        <f t="shared" si="29"/>
        <v>52500</v>
      </c>
      <c r="I533" s="48">
        <f t="shared" si="30"/>
        <v>5250</v>
      </c>
      <c r="J533" s="49">
        <f t="shared" si="28"/>
        <v>57750</v>
      </c>
      <c r="K533" s="53"/>
    </row>
    <row r="534" spans="1:11" ht="19" customHeight="1">
      <c r="A534" s="62" t="s">
        <v>477</v>
      </c>
      <c r="B534" s="47"/>
      <c r="C534" s="47" t="s">
        <v>217</v>
      </c>
      <c r="D534" s="47" t="s">
        <v>153</v>
      </c>
      <c r="E534" s="47" t="s">
        <v>60</v>
      </c>
      <c r="F534" s="48">
        <v>5</v>
      </c>
      <c r="G534" s="48">
        <f>VLOOKUP(D534,단가!B:D,3,0)</f>
        <v>10500</v>
      </c>
      <c r="H534" s="48">
        <f t="shared" si="29"/>
        <v>52500</v>
      </c>
      <c r="I534" s="48">
        <f t="shared" si="30"/>
        <v>5250</v>
      </c>
      <c r="J534" s="49">
        <f t="shared" si="28"/>
        <v>57750</v>
      </c>
      <c r="K534" s="53"/>
    </row>
    <row r="535" spans="1:11" ht="19" customHeight="1">
      <c r="A535" s="62" t="s">
        <v>477</v>
      </c>
      <c r="B535" s="47"/>
      <c r="C535" s="47" t="s">
        <v>217</v>
      </c>
      <c r="D535" s="47" t="s">
        <v>154</v>
      </c>
      <c r="E535" s="47" t="s">
        <v>60</v>
      </c>
      <c r="F535" s="48">
        <v>5</v>
      </c>
      <c r="G535" s="48">
        <f>VLOOKUP(D535,단가!B:D,3,0)</f>
        <v>10500</v>
      </c>
      <c r="H535" s="48">
        <f t="shared" si="29"/>
        <v>52500</v>
      </c>
      <c r="I535" s="48">
        <f t="shared" si="30"/>
        <v>5250</v>
      </c>
      <c r="J535" s="49">
        <f t="shared" si="28"/>
        <v>57750</v>
      </c>
      <c r="K535" s="53"/>
    </row>
    <row r="536" spans="1:11" ht="19" customHeight="1">
      <c r="A536" s="62" t="s">
        <v>477</v>
      </c>
      <c r="B536" s="47"/>
      <c r="C536" s="47" t="s">
        <v>217</v>
      </c>
      <c r="D536" s="47" t="s">
        <v>151</v>
      </c>
      <c r="E536" s="47" t="s">
        <v>60</v>
      </c>
      <c r="F536" s="48">
        <v>5</v>
      </c>
      <c r="G536" s="48">
        <f>VLOOKUP(D536,단가!B:D,3,0)</f>
        <v>10500</v>
      </c>
      <c r="H536" s="48">
        <f t="shared" si="29"/>
        <v>52500</v>
      </c>
      <c r="I536" s="48">
        <f t="shared" si="30"/>
        <v>5250</v>
      </c>
      <c r="J536" s="49">
        <f t="shared" si="28"/>
        <v>57750</v>
      </c>
      <c r="K536" s="53"/>
    </row>
    <row r="537" spans="1:11" ht="19" customHeight="1">
      <c r="A537" s="62" t="s">
        <v>478</v>
      </c>
      <c r="B537" s="47"/>
      <c r="C537" s="47" t="s">
        <v>355</v>
      </c>
      <c r="D537" s="47" t="s">
        <v>61</v>
      </c>
      <c r="E537" s="47" t="s">
        <v>57</v>
      </c>
      <c r="F537" s="48">
        <v>3</v>
      </c>
      <c r="G537" s="48">
        <f>VLOOKUP(D537,단가!B:D,3,0)</f>
        <v>20000</v>
      </c>
      <c r="H537" s="48">
        <f t="shared" si="29"/>
        <v>60000</v>
      </c>
      <c r="I537" s="48">
        <f t="shared" si="30"/>
        <v>6000</v>
      </c>
      <c r="J537" s="49">
        <f t="shared" si="28"/>
        <v>66000</v>
      </c>
      <c r="K537" s="53"/>
    </row>
    <row r="538" spans="1:11" ht="19" customHeight="1">
      <c r="A538" s="62" t="s">
        <v>478</v>
      </c>
      <c r="B538" s="47"/>
      <c r="C538" s="47" t="s">
        <v>479</v>
      </c>
      <c r="D538" s="6" t="s">
        <v>315</v>
      </c>
      <c r="E538" s="47" t="s">
        <v>57</v>
      </c>
      <c r="F538" s="48">
        <v>2</v>
      </c>
      <c r="G538" s="48">
        <f>VLOOKUP(D538,단가!B:D,3,0)</f>
        <v>32000</v>
      </c>
      <c r="H538" s="48">
        <f t="shared" si="29"/>
        <v>64000</v>
      </c>
      <c r="I538" s="48">
        <f t="shared" si="30"/>
        <v>6400</v>
      </c>
      <c r="J538" s="49">
        <f t="shared" si="28"/>
        <v>70400</v>
      </c>
      <c r="K538" s="53"/>
    </row>
    <row r="539" spans="1:11" ht="19" customHeight="1">
      <c r="A539" s="62" t="s">
        <v>478</v>
      </c>
      <c r="B539" s="47"/>
      <c r="C539" s="17" t="s">
        <v>483</v>
      </c>
      <c r="D539" s="6" t="s">
        <v>315</v>
      </c>
      <c r="E539" s="47" t="s">
        <v>57</v>
      </c>
      <c r="F539" s="48">
        <v>2</v>
      </c>
      <c r="G539" s="48">
        <f>VLOOKUP(D539,단가!B:D,3,0)</f>
        <v>32000</v>
      </c>
      <c r="H539" s="48">
        <f t="shared" si="29"/>
        <v>64000</v>
      </c>
      <c r="I539" s="48">
        <f t="shared" si="30"/>
        <v>6400</v>
      </c>
      <c r="J539" s="49">
        <f t="shared" si="28"/>
        <v>70400</v>
      </c>
      <c r="K539" s="53"/>
    </row>
    <row r="540" spans="1:11" ht="19" customHeight="1">
      <c r="A540" s="62" t="s">
        <v>478</v>
      </c>
      <c r="B540" s="47"/>
      <c r="C540" s="17" t="s">
        <v>486</v>
      </c>
      <c r="D540" s="6" t="s">
        <v>315</v>
      </c>
      <c r="E540" s="47" t="s">
        <v>57</v>
      </c>
      <c r="F540" s="48">
        <v>2</v>
      </c>
      <c r="G540" s="48">
        <f>VLOOKUP(D540,단가!B:D,3,0)</f>
        <v>32000</v>
      </c>
      <c r="H540" s="48">
        <f t="shared" si="29"/>
        <v>64000</v>
      </c>
      <c r="I540" s="48">
        <f t="shared" si="30"/>
        <v>6400</v>
      </c>
      <c r="J540" s="49">
        <f t="shared" si="28"/>
        <v>70400</v>
      </c>
      <c r="K540" s="53"/>
    </row>
    <row r="541" spans="1:11" ht="19" customHeight="1">
      <c r="A541" s="62" t="s">
        <v>492</v>
      </c>
      <c r="B541" s="47"/>
      <c r="C541" s="47" t="s">
        <v>313</v>
      </c>
      <c r="D541" s="47" t="s">
        <v>493</v>
      </c>
      <c r="E541" s="47" t="s">
        <v>57</v>
      </c>
      <c r="F541" s="48">
        <v>10</v>
      </c>
      <c r="G541" s="48">
        <f>VLOOKUP(D541,단가!B:D,3,0)</f>
        <v>22000</v>
      </c>
      <c r="H541" s="48">
        <f t="shared" si="29"/>
        <v>220000</v>
      </c>
      <c r="I541" s="48">
        <f t="shared" si="30"/>
        <v>22000</v>
      </c>
      <c r="J541" s="49">
        <f t="shared" si="28"/>
        <v>242000</v>
      </c>
      <c r="K541" s="53"/>
    </row>
    <row r="542" spans="1:11" ht="19" customHeight="1">
      <c r="A542" s="62" t="s">
        <v>494</v>
      </c>
      <c r="B542" s="47"/>
      <c r="C542" s="47" t="s">
        <v>495</v>
      </c>
      <c r="D542" s="47" t="s">
        <v>61</v>
      </c>
      <c r="E542" s="47" t="s">
        <v>57</v>
      </c>
      <c r="F542" s="48">
        <v>8</v>
      </c>
      <c r="G542" s="48">
        <f>VLOOKUP(D542,단가!B:D,3,0)</f>
        <v>20000</v>
      </c>
      <c r="H542" s="48">
        <f t="shared" si="29"/>
        <v>160000</v>
      </c>
      <c r="I542" s="48">
        <f t="shared" si="30"/>
        <v>16000</v>
      </c>
      <c r="J542" s="49">
        <f t="shared" si="28"/>
        <v>176000</v>
      </c>
      <c r="K542" s="53"/>
    </row>
    <row r="543" spans="1:11" ht="19" customHeight="1">
      <c r="A543" s="62" t="s">
        <v>494</v>
      </c>
      <c r="B543" s="47"/>
      <c r="C543" s="47" t="s">
        <v>495</v>
      </c>
      <c r="D543" s="47" t="s">
        <v>146</v>
      </c>
      <c r="E543" s="47" t="s">
        <v>60</v>
      </c>
      <c r="F543" s="48">
        <v>5</v>
      </c>
      <c r="G543" s="48">
        <f>VLOOKUP(D543,단가!B:D,3,0)</f>
        <v>10500</v>
      </c>
      <c r="H543" s="48">
        <f t="shared" si="29"/>
        <v>52500</v>
      </c>
      <c r="I543" s="48">
        <f t="shared" si="30"/>
        <v>5250</v>
      </c>
      <c r="J543" s="49">
        <f t="shared" si="28"/>
        <v>57750</v>
      </c>
      <c r="K543" s="53"/>
    </row>
    <row r="544" spans="1:11" ht="19" customHeight="1">
      <c r="A544" s="62" t="s">
        <v>496</v>
      </c>
      <c r="B544" s="47"/>
      <c r="C544" s="47" t="s">
        <v>497</v>
      </c>
      <c r="D544" s="47" t="s">
        <v>61</v>
      </c>
      <c r="E544" s="47" t="s">
        <v>57</v>
      </c>
      <c r="F544" s="48">
        <v>5</v>
      </c>
      <c r="G544" s="48">
        <f>VLOOKUP(D544,단가!B:D,3,0)</f>
        <v>20000</v>
      </c>
      <c r="H544" s="48">
        <f t="shared" si="29"/>
        <v>100000</v>
      </c>
      <c r="I544" s="48">
        <f t="shared" si="30"/>
        <v>10000</v>
      </c>
      <c r="J544" s="49">
        <f t="shared" si="28"/>
        <v>110000</v>
      </c>
      <c r="K544" s="53"/>
    </row>
    <row r="545" spans="1:11" ht="19" customHeight="1">
      <c r="A545" s="62" t="s">
        <v>496</v>
      </c>
      <c r="B545" s="47"/>
      <c r="C545" s="47" t="s">
        <v>497</v>
      </c>
      <c r="D545" s="47" t="s">
        <v>149</v>
      </c>
      <c r="E545" s="47" t="s">
        <v>60</v>
      </c>
      <c r="F545" s="48">
        <v>1</v>
      </c>
      <c r="G545" s="48">
        <f>VLOOKUP(D545,단가!B:D,3,0)</f>
        <v>10500</v>
      </c>
      <c r="H545" s="48">
        <f t="shared" si="29"/>
        <v>10500</v>
      </c>
      <c r="I545" s="48">
        <f t="shared" si="30"/>
        <v>1050</v>
      </c>
      <c r="J545" s="49">
        <f t="shared" si="28"/>
        <v>11550</v>
      </c>
      <c r="K545" s="53"/>
    </row>
    <row r="546" spans="1:11" ht="19" customHeight="1">
      <c r="A546" s="62" t="s">
        <v>496</v>
      </c>
      <c r="B546" s="47"/>
      <c r="C546" s="47" t="s">
        <v>497</v>
      </c>
      <c r="D546" s="47" t="s">
        <v>150</v>
      </c>
      <c r="E546" s="47" t="s">
        <v>60</v>
      </c>
      <c r="F546" s="48">
        <v>1</v>
      </c>
      <c r="G546" s="48">
        <f>VLOOKUP(D546,단가!B:D,3,0)</f>
        <v>10500</v>
      </c>
      <c r="H546" s="48">
        <f t="shared" si="29"/>
        <v>10500</v>
      </c>
      <c r="I546" s="48">
        <f t="shared" si="30"/>
        <v>1050</v>
      </c>
      <c r="J546" s="49">
        <f t="shared" si="28"/>
        <v>11550</v>
      </c>
      <c r="K546" s="53"/>
    </row>
    <row r="547" spans="1:11" ht="19" customHeight="1">
      <c r="A547" s="62" t="s">
        <v>498</v>
      </c>
      <c r="B547" s="47"/>
      <c r="C547" s="47" t="s">
        <v>394</v>
      </c>
      <c r="D547" s="47" t="s">
        <v>405</v>
      </c>
      <c r="E547" s="47"/>
      <c r="F547" s="48">
        <v>1</v>
      </c>
      <c r="G547" s="48">
        <f>VLOOKUP(D547,단가!B:D,3,0)</f>
        <v>30000</v>
      </c>
      <c r="H547" s="48">
        <f t="shared" si="29"/>
        <v>30000</v>
      </c>
      <c r="I547" s="48">
        <f t="shared" si="30"/>
        <v>3000</v>
      </c>
      <c r="J547" s="49">
        <f t="shared" si="28"/>
        <v>33000</v>
      </c>
      <c r="K547" s="53"/>
    </row>
    <row r="548" spans="1:11" ht="19" customHeight="1">
      <c r="A548" s="62" t="s">
        <v>498</v>
      </c>
      <c r="B548" s="47"/>
      <c r="C548" s="47" t="s">
        <v>316</v>
      </c>
      <c r="D548" s="47" t="s">
        <v>405</v>
      </c>
      <c r="E548" s="47"/>
      <c r="F548" s="48">
        <v>1</v>
      </c>
      <c r="G548" s="48">
        <f>VLOOKUP(D548,단가!B:D,3,0)</f>
        <v>30000</v>
      </c>
      <c r="H548" s="48">
        <f t="shared" si="29"/>
        <v>30000</v>
      </c>
      <c r="I548" s="48">
        <f t="shared" si="30"/>
        <v>3000</v>
      </c>
      <c r="J548" s="49">
        <f t="shared" si="28"/>
        <v>33000</v>
      </c>
      <c r="K548" s="53"/>
    </row>
    <row r="549" spans="1:11" ht="19" customHeight="1">
      <c r="A549" s="62" t="s">
        <v>498</v>
      </c>
      <c r="B549" s="47"/>
      <c r="C549" s="17" t="s">
        <v>434</v>
      </c>
      <c r="D549" s="47" t="s">
        <v>405</v>
      </c>
      <c r="E549" s="47"/>
      <c r="F549" s="48">
        <v>1</v>
      </c>
      <c r="G549" s="48">
        <f>VLOOKUP(D549,단가!B:D,3,0)</f>
        <v>30000</v>
      </c>
      <c r="H549" s="48">
        <f t="shared" si="29"/>
        <v>30000</v>
      </c>
      <c r="I549" s="48">
        <f t="shared" si="30"/>
        <v>3000</v>
      </c>
      <c r="J549" s="49">
        <f t="shared" si="28"/>
        <v>33000</v>
      </c>
      <c r="K549" s="53"/>
    </row>
    <row r="550" spans="1:11" ht="19" customHeight="1">
      <c r="A550" s="62" t="s">
        <v>499</v>
      </c>
      <c r="B550" s="47"/>
      <c r="C550" s="47" t="s">
        <v>127</v>
      </c>
      <c r="D550" s="47" t="s">
        <v>61</v>
      </c>
      <c r="E550" s="47" t="s">
        <v>57</v>
      </c>
      <c r="F550" s="48">
        <v>10</v>
      </c>
      <c r="G550" s="48">
        <f>VLOOKUP(D550,단가!B:D,3,0)</f>
        <v>20000</v>
      </c>
      <c r="H550" s="48">
        <f t="shared" si="29"/>
        <v>200000</v>
      </c>
      <c r="I550" s="48">
        <f t="shared" si="30"/>
        <v>20000</v>
      </c>
      <c r="J550" s="49">
        <f t="shared" si="28"/>
        <v>220000</v>
      </c>
      <c r="K550" s="53"/>
    </row>
    <row r="551" spans="1:11" ht="19" customHeight="1">
      <c r="A551" s="62" t="s">
        <v>500</v>
      </c>
      <c r="B551" s="47"/>
      <c r="C551" s="47" t="s">
        <v>217</v>
      </c>
      <c r="D551" s="47" t="s">
        <v>61</v>
      </c>
      <c r="E551" s="47" t="s">
        <v>57</v>
      </c>
      <c r="F551" s="48">
        <v>5</v>
      </c>
      <c r="G551" s="48">
        <f>VLOOKUP(D551,단가!B:D,3,0)</f>
        <v>20000</v>
      </c>
      <c r="H551" s="48">
        <f t="shared" si="29"/>
        <v>100000</v>
      </c>
      <c r="I551" s="48">
        <f t="shared" si="30"/>
        <v>10000</v>
      </c>
      <c r="J551" s="49">
        <f t="shared" si="28"/>
        <v>110000</v>
      </c>
      <c r="K551" s="53"/>
    </row>
    <row r="552" spans="1:11" ht="19" customHeight="1">
      <c r="A552" s="62" t="s">
        <v>500</v>
      </c>
      <c r="B552" s="47"/>
      <c r="C552" s="47" t="s">
        <v>217</v>
      </c>
      <c r="D552" s="47" t="s">
        <v>146</v>
      </c>
      <c r="E552" s="47" t="s">
        <v>60</v>
      </c>
      <c r="F552" s="48">
        <v>5</v>
      </c>
      <c r="G552" s="48">
        <f>VLOOKUP(D552,단가!B:D,3,0)</f>
        <v>10500</v>
      </c>
      <c r="H552" s="48">
        <f t="shared" si="29"/>
        <v>52500</v>
      </c>
      <c r="I552" s="48">
        <f t="shared" si="30"/>
        <v>5250</v>
      </c>
      <c r="J552" s="49">
        <f t="shared" si="28"/>
        <v>57750</v>
      </c>
      <c r="K552" s="53"/>
    </row>
    <row r="553" spans="1:11" ht="19" customHeight="1">
      <c r="A553" s="62" t="s">
        <v>500</v>
      </c>
      <c r="B553" s="47"/>
      <c r="C553" s="47" t="s">
        <v>217</v>
      </c>
      <c r="D553" s="47" t="s">
        <v>152</v>
      </c>
      <c r="E553" s="47" t="s">
        <v>60</v>
      </c>
      <c r="F553" s="48">
        <v>5</v>
      </c>
      <c r="G553" s="48">
        <f>VLOOKUP(D553,단가!B:D,3,0)</f>
        <v>10500</v>
      </c>
      <c r="H553" s="48">
        <f t="shared" si="29"/>
        <v>52500</v>
      </c>
      <c r="I553" s="48">
        <f t="shared" si="30"/>
        <v>5250</v>
      </c>
      <c r="J553" s="49">
        <f t="shared" si="28"/>
        <v>57750</v>
      </c>
      <c r="K553" s="53"/>
    </row>
    <row r="554" spans="1:11" ht="19" customHeight="1">
      <c r="A554" s="62" t="s">
        <v>500</v>
      </c>
      <c r="B554" s="47"/>
      <c r="C554" s="47" t="s">
        <v>217</v>
      </c>
      <c r="D554" s="47" t="s">
        <v>149</v>
      </c>
      <c r="E554" s="47" t="s">
        <v>60</v>
      </c>
      <c r="F554" s="48">
        <v>5</v>
      </c>
      <c r="G554" s="48">
        <f>VLOOKUP(D554,단가!B:D,3,0)</f>
        <v>10500</v>
      </c>
      <c r="H554" s="48">
        <f t="shared" si="29"/>
        <v>52500</v>
      </c>
      <c r="I554" s="48">
        <f t="shared" si="30"/>
        <v>5250</v>
      </c>
      <c r="J554" s="49">
        <f t="shared" si="28"/>
        <v>57750</v>
      </c>
      <c r="K554" s="53"/>
    </row>
    <row r="555" spans="1:11" ht="19" customHeight="1">
      <c r="A555" s="62" t="s">
        <v>514</v>
      </c>
      <c r="B555" s="47"/>
      <c r="C555" s="69" t="s">
        <v>508</v>
      </c>
      <c r="D555" s="6" t="s">
        <v>315</v>
      </c>
      <c r="E555" s="47" t="s">
        <v>57</v>
      </c>
      <c r="F555" s="48">
        <v>2</v>
      </c>
      <c r="G555" s="48">
        <f>VLOOKUP(D555,단가!B:D,3,0)</f>
        <v>32000</v>
      </c>
      <c r="H555" s="48">
        <f t="shared" si="29"/>
        <v>64000</v>
      </c>
      <c r="I555" s="48">
        <f t="shared" si="30"/>
        <v>6400</v>
      </c>
      <c r="J555" s="49">
        <f t="shared" si="28"/>
        <v>70400</v>
      </c>
      <c r="K555" s="53"/>
    </row>
    <row r="556" spans="1:11" ht="19" customHeight="1">
      <c r="A556" s="62" t="s">
        <v>514</v>
      </c>
      <c r="B556" s="47"/>
      <c r="C556" s="70" t="s">
        <v>505</v>
      </c>
      <c r="D556" s="6" t="s">
        <v>315</v>
      </c>
      <c r="E556" s="47" t="s">
        <v>57</v>
      </c>
      <c r="F556" s="48">
        <v>2</v>
      </c>
      <c r="G556" s="48">
        <f>VLOOKUP(D556,단가!B:D,3,0)</f>
        <v>32000</v>
      </c>
      <c r="H556" s="48">
        <f t="shared" si="29"/>
        <v>64000</v>
      </c>
      <c r="I556" s="48">
        <f t="shared" si="30"/>
        <v>6400</v>
      </c>
      <c r="J556" s="49">
        <f t="shared" si="28"/>
        <v>70400</v>
      </c>
      <c r="K556" s="53"/>
    </row>
    <row r="557" spans="1:11" ht="19" customHeight="1">
      <c r="A557" s="62" t="s">
        <v>514</v>
      </c>
      <c r="B557" s="47"/>
      <c r="C557" s="70" t="s">
        <v>501</v>
      </c>
      <c r="D557" s="6" t="s">
        <v>315</v>
      </c>
      <c r="E557" s="47" t="s">
        <v>57</v>
      </c>
      <c r="F557" s="48">
        <v>2</v>
      </c>
      <c r="G557" s="48">
        <f>VLOOKUP(D557,단가!B:D,3,0)</f>
        <v>32000</v>
      </c>
      <c r="H557" s="48">
        <f t="shared" si="29"/>
        <v>64000</v>
      </c>
      <c r="I557" s="48">
        <f t="shared" si="30"/>
        <v>6400</v>
      </c>
      <c r="J557" s="49">
        <f t="shared" si="28"/>
        <v>70400</v>
      </c>
      <c r="K557" s="53"/>
    </row>
    <row r="558" spans="1:11" ht="19" customHeight="1">
      <c r="A558" s="47"/>
      <c r="B558" s="47"/>
      <c r="C558" s="47"/>
      <c r="D558" s="47"/>
      <c r="E558" s="47"/>
      <c r="F558" s="48"/>
      <c r="G558" s="48" t="e">
        <f>VLOOKUP(D558,단가!B:D,3,0)</f>
        <v>#N/A</v>
      </c>
      <c r="H558" s="48" t="e">
        <f t="shared" si="29"/>
        <v>#N/A</v>
      </c>
      <c r="I558" s="48" t="e">
        <f t="shared" si="30"/>
        <v>#N/A</v>
      </c>
      <c r="J558" s="49" t="e">
        <f t="shared" si="28"/>
        <v>#N/A</v>
      </c>
      <c r="K558" s="53"/>
    </row>
    <row r="559" spans="1:11" ht="19" customHeight="1">
      <c r="A559" s="47"/>
      <c r="B559" s="47"/>
      <c r="C559" s="47"/>
      <c r="D559" s="47"/>
      <c r="E559" s="47"/>
      <c r="F559" s="48"/>
      <c r="G559" s="48" t="e">
        <f>VLOOKUP(D559,단가!B:D,3,0)</f>
        <v>#N/A</v>
      </c>
      <c r="H559" s="48" t="e">
        <f t="shared" si="29"/>
        <v>#N/A</v>
      </c>
      <c r="I559" s="48" t="e">
        <f t="shared" si="30"/>
        <v>#N/A</v>
      </c>
      <c r="J559" s="49" t="e">
        <f t="shared" si="28"/>
        <v>#N/A</v>
      </c>
      <c r="K559" s="53"/>
    </row>
    <row r="560" spans="1:11" ht="19" customHeight="1">
      <c r="A560" s="47"/>
      <c r="B560" s="47"/>
      <c r="C560" s="47"/>
      <c r="D560" s="47"/>
      <c r="E560" s="47"/>
      <c r="F560" s="48"/>
      <c r="G560" s="48" t="e">
        <f>VLOOKUP(D560,단가!B:D,3,0)</f>
        <v>#N/A</v>
      </c>
      <c r="H560" s="48" t="e">
        <f t="shared" si="29"/>
        <v>#N/A</v>
      </c>
      <c r="I560" s="48" t="e">
        <f t="shared" si="30"/>
        <v>#N/A</v>
      </c>
      <c r="J560" s="49" t="e">
        <f t="shared" si="28"/>
        <v>#N/A</v>
      </c>
      <c r="K560" s="53"/>
    </row>
    <row r="561" spans="1:11" ht="19" customHeight="1">
      <c r="A561" s="47"/>
      <c r="B561" s="47"/>
      <c r="C561" s="47"/>
      <c r="D561" s="47"/>
      <c r="E561" s="47"/>
      <c r="F561" s="48"/>
      <c r="G561" s="48" t="e">
        <f>VLOOKUP(D561,단가!B:D,3,0)</f>
        <v>#N/A</v>
      </c>
      <c r="H561" s="48" t="e">
        <f t="shared" si="29"/>
        <v>#N/A</v>
      </c>
      <c r="I561" s="48" t="e">
        <f t="shared" si="30"/>
        <v>#N/A</v>
      </c>
      <c r="J561" s="49" t="e">
        <f t="shared" si="28"/>
        <v>#N/A</v>
      </c>
      <c r="K561" s="53"/>
    </row>
    <row r="562" spans="1:11" ht="19" customHeight="1">
      <c r="A562" s="47"/>
      <c r="B562" s="47"/>
      <c r="C562" s="47"/>
      <c r="D562" s="47"/>
      <c r="E562" s="47"/>
      <c r="F562" s="48"/>
      <c r="G562" s="48" t="e">
        <f>VLOOKUP(D562,단가!B:D,3,0)</f>
        <v>#N/A</v>
      </c>
      <c r="H562" s="48" t="e">
        <f t="shared" si="29"/>
        <v>#N/A</v>
      </c>
      <c r="I562" s="48" t="e">
        <f t="shared" si="30"/>
        <v>#N/A</v>
      </c>
      <c r="J562" s="49" t="e">
        <f t="shared" si="28"/>
        <v>#N/A</v>
      </c>
      <c r="K562" s="53"/>
    </row>
    <row r="563" spans="1:11" ht="19" customHeight="1">
      <c r="A563" s="47"/>
      <c r="B563" s="47"/>
      <c r="C563" s="47"/>
      <c r="D563" s="47"/>
      <c r="E563" s="47"/>
      <c r="F563" s="48"/>
      <c r="G563" s="48" t="e">
        <f>VLOOKUP(D563,단가!B:D,3,0)</f>
        <v>#N/A</v>
      </c>
      <c r="H563" s="48" t="e">
        <f t="shared" si="29"/>
        <v>#N/A</v>
      </c>
      <c r="I563" s="48" t="e">
        <f t="shared" si="30"/>
        <v>#N/A</v>
      </c>
      <c r="J563" s="49" t="e">
        <f t="shared" si="28"/>
        <v>#N/A</v>
      </c>
      <c r="K563" s="53"/>
    </row>
    <row r="564" spans="1:11" ht="19" customHeight="1">
      <c r="A564" s="47"/>
      <c r="B564" s="47"/>
      <c r="C564" s="47"/>
      <c r="D564" s="47"/>
      <c r="E564" s="47"/>
      <c r="F564" s="48"/>
      <c r="G564" s="48" t="e">
        <f>VLOOKUP(D564,단가!B:D,3,0)</f>
        <v>#N/A</v>
      </c>
      <c r="H564" s="48" t="e">
        <f t="shared" si="29"/>
        <v>#N/A</v>
      </c>
      <c r="I564" s="48" t="e">
        <f t="shared" si="30"/>
        <v>#N/A</v>
      </c>
      <c r="J564" s="49" t="e">
        <f t="shared" si="28"/>
        <v>#N/A</v>
      </c>
      <c r="K564" s="53"/>
    </row>
    <row r="565" spans="1:11" ht="19" customHeight="1">
      <c r="A565" s="47"/>
      <c r="B565" s="47"/>
      <c r="C565" s="47"/>
      <c r="D565" s="47"/>
      <c r="E565" s="47"/>
      <c r="F565" s="48"/>
      <c r="G565" s="48" t="e">
        <f>VLOOKUP(D565,단가!B:D,3,0)</f>
        <v>#N/A</v>
      </c>
      <c r="H565" s="48" t="e">
        <f t="shared" si="29"/>
        <v>#N/A</v>
      </c>
      <c r="I565" s="48" t="e">
        <f t="shared" si="30"/>
        <v>#N/A</v>
      </c>
      <c r="J565" s="49" t="e">
        <f t="shared" si="28"/>
        <v>#N/A</v>
      </c>
      <c r="K565" s="53"/>
    </row>
    <row r="566" spans="1:11" ht="19" customHeight="1">
      <c r="A566" s="47"/>
      <c r="B566" s="47"/>
      <c r="C566" s="47"/>
      <c r="D566" s="47"/>
      <c r="E566" s="47"/>
      <c r="F566" s="48"/>
      <c r="G566" s="48" t="e">
        <f>VLOOKUP(D566,단가!B:D,3,0)</f>
        <v>#N/A</v>
      </c>
      <c r="H566" s="48" t="e">
        <f t="shared" si="29"/>
        <v>#N/A</v>
      </c>
      <c r="I566" s="48" t="e">
        <f t="shared" si="30"/>
        <v>#N/A</v>
      </c>
      <c r="J566" s="49" t="e">
        <f t="shared" ref="J566:J629" si="31">H566+I566</f>
        <v>#N/A</v>
      </c>
      <c r="K566" s="53"/>
    </row>
    <row r="567" spans="1:11" ht="19" customHeight="1">
      <c r="A567" s="47"/>
      <c r="B567" s="47"/>
      <c r="C567" s="47"/>
      <c r="D567" s="47"/>
      <c r="E567" s="47"/>
      <c r="F567" s="48"/>
      <c r="G567" s="48" t="e">
        <f>VLOOKUP(D567,단가!B:D,3,0)</f>
        <v>#N/A</v>
      </c>
      <c r="H567" s="48" t="e">
        <f t="shared" ref="H567:H630" si="32">F567*G567</f>
        <v>#N/A</v>
      </c>
      <c r="I567" s="48" t="e">
        <f t="shared" ref="I567:I630" si="33">H567*0.1</f>
        <v>#N/A</v>
      </c>
      <c r="J567" s="49" t="e">
        <f t="shared" si="31"/>
        <v>#N/A</v>
      </c>
      <c r="K567" s="53"/>
    </row>
    <row r="568" spans="1:11" ht="19" customHeight="1">
      <c r="A568" s="47"/>
      <c r="B568" s="47"/>
      <c r="C568" s="47"/>
      <c r="D568" s="47"/>
      <c r="E568" s="47"/>
      <c r="F568" s="48"/>
      <c r="G568" s="48" t="e">
        <f>VLOOKUP(D568,단가!B:D,3,0)</f>
        <v>#N/A</v>
      </c>
      <c r="H568" s="48" t="e">
        <f t="shared" si="32"/>
        <v>#N/A</v>
      </c>
      <c r="I568" s="48" t="e">
        <f t="shared" si="33"/>
        <v>#N/A</v>
      </c>
      <c r="J568" s="49" t="e">
        <f t="shared" si="31"/>
        <v>#N/A</v>
      </c>
      <c r="K568" s="53"/>
    </row>
    <row r="569" spans="1:11" ht="19" customHeight="1">
      <c r="A569" s="47"/>
      <c r="B569" s="47"/>
      <c r="C569" s="47"/>
      <c r="D569" s="47"/>
      <c r="E569" s="47"/>
      <c r="F569" s="48"/>
      <c r="G569" s="48" t="e">
        <f>VLOOKUP(D569,단가!B:D,3,0)</f>
        <v>#N/A</v>
      </c>
      <c r="H569" s="48" t="e">
        <f t="shared" si="32"/>
        <v>#N/A</v>
      </c>
      <c r="I569" s="48" t="e">
        <f t="shared" si="33"/>
        <v>#N/A</v>
      </c>
      <c r="J569" s="49" t="e">
        <f t="shared" si="31"/>
        <v>#N/A</v>
      </c>
      <c r="K569" s="53"/>
    </row>
    <row r="570" spans="1:11" ht="19" customHeight="1">
      <c r="A570" s="47"/>
      <c r="B570" s="47"/>
      <c r="C570" s="47"/>
      <c r="D570" s="47"/>
      <c r="E570" s="47"/>
      <c r="F570" s="48"/>
      <c r="G570" s="48" t="e">
        <f>VLOOKUP(D570,단가!B:D,3,0)</f>
        <v>#N/A</v>
      </c>
      <c r="H570" s="48" t="e">
        <f t="shared" si="32"/>
        <v>#N/A</v>
      </c>
      <c r="I570" s="48" t="e">
        <f t="shared" si="33"/>
        <v>#N/A</v>
      </c>
      <c r="J570" s="49" t="e">
        <f t="shared" si="31"/>
        <v>#N/A</v>
      </c>
      <c r="K570" s="53"/>
    </row>
    <row r="571" spans="1:11" ht="19" customHeight="1">
      <c r="A571" s="47"/>
      <c r="B571" s="47"/>
      <c r="C571" s="47"/>
      <c r="D571" s="47"/>
      <c r="E571" s="47"/>
      <c r="F571" s="48"/>
      <c r="G571" s="48" t="e">
        <f>VLOOKUP(D571,단가!B:D,3,0)</f>
        <v>#N/A</v>
      </c>
      <c r="H571" s="48" t="e">
        <f t="shared" si="32"/>
        <v>#N/A</v>
      </c>
      <c r="I571" s="48" t="e">
        <f t="shared" si="33"/>
        <v>#N/A</v>
      </c>
      <c r="J571" s="49" t="e">
        <f t="shared" si="31"/>
        <v>#N/A</v>
      </c>
      <c r="K571" s="53"/>
    </row>
    <row r="572" spans="1:11" ht="19" customHeight="1">
      <c r="A572" s="47"/>
      <c r="B572" s="47"/>
      <c r="C572" s="47"/>
      <c r="D572" s="47"/>
      <c r="E572" s="47"/>
      <c r="F572" s="48"/>
      <c r="G572" s="48" t="e">
        <f>VLOOKUP(D572,단가!B:D,3,0)</f>
        <v>#N/A</v>
      </c>
      <c r="H572" s="48" t="e">
        <f t="shared" si="32"/>
        <v>#N/A</v>
      </c>
      <c r="I572" s="48" t="e">
        <f t="shared" si="33"/>
        <v>#N/A</v>
      </c>
      <c r="J572" s="49" t="e">
        <f t="shared" si="31"/>
        <v>#N/A</v>
      </c>
      <c r="K572" s="53"/>
    </row>
    <row r="573" spans="1:11" ht="19" customHeight="1">
      <c r="A573" s="47"/>
      <c r="B573" s="47"/>
      <c r="C573" s="47"/>
      <c r="D573" s="47"/>
      <c r="E573" s="47"/>
      <c r="F573" s="48"/>
      <c r="G573" s="48" t="e">
        <f>VLOOKUP(D573,단가!B:D,3,0)</f>
        <v>#N/A</v>
      </c>
      <c r="H573" s="48" t="e">
        <f t="shared" si="32"/>
        <v>#N/A</v>
      </c>
      <c r="I573" s="48" t="e">
        <f t="shared" si="33"/>
        <v>#N/A</v>
      </c>
      <c r="J573" s="49" t="e">
        <f t="shared" si="31"/>
        <v>#N/A</v>
      </c>
      <c r="K573" s="53"/>
    </row>
    <row r="574" spans="1:11" ht="19" customHeight="1">
      <c r="A574" s="47"/>
      <c r="B574" s="47"/>
      <c r="C574" s="47"/>
      <c r="D574" s="47"/>
      <c r="E574" s="47"/>
      <c r="F574" s="48"/>
      <c r="G574" s="48" t="e">
        <f>VLOOKUP(D574,단가!B:D,3,0)</f>
        <v>#N/A</v>
      </c>
      <c r="H574" s="48" t="e">
        <f t="shared" si="32"/>
        <v>#N/A</v>
      </c>
      <c r="I574" s="48" t="e">
        <f t="shared" si="33"/>
        <v>#N/A</v>
      </c>
      <c r="J574" s="49" t="e">
        <f t="shared" si="31"/>
        <v>#N/A</v>
      </c>
      <c r="K574" s="53"/>
    </row>
    <row r="575" spans="1:11" ht="19" customHeight="1">
      <c r="A575" s="47"/>
      <c r="B575" s="47"/>
      <c r="C575" s="47"/>
      <c r="D575" s="47"/>
      <c r="E575" s="47"/>
      <c r="F575" s="48"/>
      <c r="G575" s="48" t="e">
        <f>VLOOKUP(D575,단가!B:D,3,0)</f>
        <v>#N/A</v>
      </c>
      <c r="H575" s="48" t="e">
        <f t="shared" si="32"/>
        <v>#N/A</v>
      </c>
      <c r="I575" s="48" t="e">
        <f t="shared" si="33"/>
        <v>#N/A</v>
      </c>
      <c r="J575" s="49" t="e">
        <f t="shared" si="31"/>
        <v>#N/A</v>
      </c>
      <c r="K575" s="53"/>
    </row>
    <row r="576" spans="1:11" ht="19" customHeight="1">
      <c r="A576" s="47"/>
      <c r="B576" s="47"/>
      <c r="C576" s="47"/>
      <c r="D576" s="47"/>
      <c r="E576" s="47"/>
      <c r="F576" s="48"/>
      <c r="G576" s="48" t="e">
        <f>VLOOKUP(D576,단가!B:D,3,0)</f>
        <v>#N/A</v>
      </c>
      <c r="H576" s="48" t="e">
        <f t="shared" si="32"/>
        <v>#N/A</v>
      </c>
      <c r="I576" s="48" t="e">
        <f t="shared" si="33"/>
        <v>#N/A</v>
      </c>
      <c r="J576" s="49" t="e">
        <f t="shared" si="31"/>
        <v>#N/A</v>
      </c>
      <c r="K576" s="53"/>
    </row>
    <row r="577" spans="1:11" ht="19" customHeight="1">
      <c r="A577" s="47"/>
      <c r="B577" s="47"/>
      <c r="C577" s="47"/>
      <c r="D577" s="47"/>
      <c r="E577" s="47"/>
      <c r="F577" s="48"/>
      <c r="G577" s="48" t="e">
        <f>VLOOKUP(D577,단가!B:D,3,0)</f>
        <v>#N/A</v>
      </c>
      <c r="H577" s="48" t="e">
        <f t="shared" si="32"/>
        <v>#N/A</v>
      </c>
      <c r="I577" s="48" t="e">
        <f t="shared" si="33"/>
        <v>#N/A</v>
      </c>
      <c r="J577" s="49" t="e">
        <f t="shared" si="31"/>
        <v>#N/A</v>
      </c>
      <c r="K577" s="53"/>
    </row>
    <row r="578" spans="1:11" ht="19" customHeight="1">
      <c r="A578" s="47"/>
      <c r="B578" s="47"/>
      <c r="C578" s="47"/>
      <c r="D578" s="47"/>
      <c r="E578" s="47"/>
      <c r="F578" s="48"/>
      <c r="G578" s="48" t="e">
        <f>VLOOKUP(D578,단가!B:D,3,0)</f>
        <v>#N/A</v>
      </c>
      <c r="H578" s="48" t="e">
        <f t="shared" si="32"/>
        <v>#N/A</v>
      </c>
      <c r="I578" s="48" t="e">
        <f t="shared" si="33"/>
        <v>#N/A</v>
      </c>
      <c r="J578" s="49" t="e">
        <f t="shared" si="31"/>
        <v>#N/A</v>
      </c>
      <c r="K578" s="53"/>
    </row>
    <row r="579" spans="1:11" ht="19" customHeight="1">
      <c r="A579" s="47"/>
      <c r="B579" s="47"/>
      <c r="C579" s="47"/>
      <c r="D579" s="47"/>
      <c r="E579" s="47"/>
      <c r="F579" s="48"/>
      <c r="G579" s="48" t="e">
        <f>VLOOKUP(D579,단가!B:D,3,0)</f>
        <v>#N/A</v>
      </c>
      <c r="H579" s="48" t="e">
        <f t="shared" si="32"/>
        <v>#N/A</v>
      </c>
      <c r="I579" s="48" t="e">
        <f t="shared" si="33"/>
        <v>#N/A</v>
      </c>
      <c r="J579" s="49" t="e">
        <f t="shared" si="31"/>
        <v>#N/A</v>
      </c>
      <c r="K579" s="53"/>
    </row>
    <row r="580" spans="1:11" ht="19" customHeight="1">
      <c r="A580" s="47"/>
      <c r="B580" s="47"/>
      <c r="C580" s="47"/>
      <c r="D580" s="47"/>
      <c r="E580" s="47"/>
      <c r="F580" s="48"/>
      <c r="G580" s="48" t="e">
        <f>VLOOKUP(D580,단가!B:D,3,0)</f>
        <v>#N/A</v>
      </c>
      <c r="H580" s="48" t="e">
        <f t="shared" si="32"/>
        <v>#N/A</v>
      </c>
      <c r="I580" s="48" t="e">
        <f t="shared" si="33"/>
        <v>#N/A</v>
      </c>
      <c r="J580" s="49" t="e">
        <f t="shared" si="31"/>
        <v>#N/A</v>
      </c>
      <c r="K580" s="53"/>
    </row>
    <row r="581" spans="1:11" ht="19" customHeight="1">
      <c r="A581" s="47"/>
      <c r="B581" s="47"/>
      <c r="C581" s="47"/>
      <c r="D581" s="47"/>
      <c r="E581" s="47"/>
      <c r="F581" s="48"/>
      <c r="G581" s="48" t="e">
        <f>VLOOKUP(D581,단가!B:D,3,0)</f>
        <v>#N/A</v>
      </c>
      <c r="H581" s="48" t="e">
        <f t="shared" si="32"/>
        <v>#N/A</v>
      </c>
      <c r="I581" s="48" t="e">
        <f t="shared" si="33"/>
        <v>#N/A</v>
      </c>
      <c r="J581" s="49" t="e">
        <f t="shared" si="31"/>
        <v>#N/A</v>
      </c>
      <c r="K581" s="53"/>
    </row>
    <row r="582" spans="1:11" ht="19" customHeight="1">
      <c r="A582" s="47"/>
      <c r="B582" s="47"/>
      <c r="C582" s="47"/>
      <c r="D582" s="47"/>
      <c r="E582" s="47"/>
      <c r="F582" s="48"/>
      <c r="G582" s="48" t="e">
        <f>VLOOKUP(D582,단가!B:D,3,0)</f>
        <v>#N/A</v>
      </c>
      <c r="H582" s="48" t="e">
        <f t="shared" si="32"/>
        <v>#N/A</v>
      </c>
      <c r="I582" s="48" t="e">
        <f t="shared" si="33"/>
        <v>#N/A</v>
      </c>
      <c r="J582" s="49" t="e">
        <f t="shared" si="31"/>
        <v>#N/A</v>
      </c>
      <c r="K582" s="53"/>
    </row>
    <row r="583" spans="1:11" ht="19" customHeight="1">
      <c r="A583" s="47"/>
      <c r="B583" s="47"/>
      <c r="C583" s="47"/>
      <c r="D583" s="47"/>
      <c r="E583" s="47"/>
      <c r="F583" s="48"/>
      <c r="G583" s="48" t="e">
        <f>VLOOKUP(D583,단가!B:D,3,0)</f>
        <v>#N/A</v>
      </c>
      <c r="H583" s="48" t="e">
        <f t="shared" si="32"/>
        <v>#N/A</v>
      </c>
      <c r="I583" s="48" t="e">
        <f t="shared" si="33"/>
        <v>#N/A</v>
      </c>
      <c r="J583" s="49" t="e">
        <f t="shared" si="31"/>
        <v>#N/A</v>
      </c>
      <c r="K583" s="53"/>
    </row>
    <row r="584" spans="1:11" ht="19" customHeight="1">
      <c r="A584" s="47"/>
      <c r="B584" s="47"/>
      <c r="C584" s="47"/>
      <c r="D584" s="47"/>
      <c r="E584" s="47"/>
      <c r="F584" s="48"/>
      <c r="G584" s="48" t="e">
        <f>VLOOKUP(D584,단가!B:D,3,0)</f>
        <v>#N/A</v>
      </c>
      <c r="H584" s="48" t="e">
        <f t="shared" si="32"/>
        <v>#N/A</v>
      </c>
      <c r="I584" s="48" t="e">
        <f t="shared" si="33"/>
        <v>#N/A</v>
      </c>
      <c r="J584" s="49" t="e">
        <f t="shared" si="31"/>
        <v>#N/A</v>
      </c>
      <c r="K584" s="53"/>
    </row>
    <row r="585" spans="1:11" ht="19" customHeight="1">
      <c r="A585" s="47"/>
      <c r="B585" s="47"/>
      <c r="C585" s="47"/>
      <c r="D585" s="47"/>
      <c r="E585" s="47"/>
      <c r="F585" s="48"/>
      <c r="G585" s="48" t="e">
        <f>VLOOKUP(D585,단가!B:D,3,0)</f>
        <v>#N/A</v>
      </c>
      <c r="H585" s="48" t="e">
        <f t="shared" si="32"/>
        <v>#N/A</v>
      </c>
      <c r="I585" s="48" t="e">
        <f t="shared" si="33"/>
        <v>#N/A</v>
      </c>
      <c r="J585" s="49" t="e">
        <f t="shared" si="31"/>
        <v>#N/A</v>
      </c>
      <c r="K585" s="53"/>
    </row>
    <row r="586" spans="1:11" ht="19" customHeight="1">
      <c r="A586" s="47"/>
      <c r="B586" s="47"/>
      <c r="C586" s="47"/>
      <c r="D586" s="47"/>
      <c r="E586" s="47"/>
      <c r="F586" s="48"/>
      <c r="G586" s="48" t="e">
        <f>VLOOKUP(D586,단가!B:D,3,0)</f>
        <v>#N/A</v>
      </c>
      <c r="H586" s="48" t="e">
        <f t="shared" si="32"/>
        <v>#N/A</v>
      </c>
      <c r="I586" s="48" t="e">
        <f t="shared" si="33"/>
        <v>#N/A</v>
      </c>
      <c r="J586" s="49" t="e">
        <f t="shared" si="31"/>
        <v>#N/A</v>
      </c>
      <c r="K586" s="53"/>
    </row>
    <row r="587" spans="1:11" ht="19" customHeight="1">
      <c r="A587" s="47"/>
      <c r="B587" s="47"/>
      <c r="C587" s="47"/>
      <c r="D587" s="47"/>
      <c r="E587" s="47"/>
      <c r="F587" s="48"/>
      <c r="G587" s="48" t="e">
        <f>VLOOKUP(D587,단가!B:D,3,0)</f>
        <v>#N/A</v>
      </c>
      <c r="H587" s="48" t="e">
        <f t="shared" si="32"/>
        <v>#N/A</v>
      </c>
      <c r="I587" s="48" t="e">
        <f t="shared" si="33"/>
        <v>#N/A</v>
      </c>
      <c r="J587" s="49" t="e">
        <f t="shared" si="31"/>
        <v>#N/A</v>
      </c>
      <c r="K587" s="53"/>
    </row>
    <row r="588" spans="1:11" ht="19" customHeight="1">
      <c r="A588" s="47"/>
      <c r="B588" s="47"/>
      <c r="C588" s="47"/>
      <c r="D588" s="47"/>
      <c r="E588" s="47"/>
      <c r="F588" s="48"/>
      <c r="G588" s="48" t="e">
        <f>VLOOKUP(D588,단가!B:D,3,0)</f>
        <v>#N/A</v>
      </c>
      <c r="H588" s="48" t="e">
        <f t="shared" si="32"/>
        <v>#N/A</v>
      </c>
      <c r="I588" s="48" t="e">
        <f t="shared" si="33"/>
        <v>#N/A</v>
      </c>
      <c r="J588" s="49" t="e">
        <f t="shared" si="31"/>
        <v>#N/A</v>
      </c>
      <c r="K588" s="53"/>
    </row>
    <row r="589" spans="1:11" ht="19" customHeight="1">
      <c r="A589" s="47"/>
      <c r="B589" s="47"/>
      <c r="C589" s="47"/>
      <c r="D589" s="47"/>
      <c r="E589" s="47"/>
      <c r="F589" s="48"/>
      <c r="G589" s="48" t="e">
        <f>VLOOKUP(D589,단가!B:D,3,0)</f>
        <v>#N/A</v>
      </c>
      <c r="H589" s="48" t="e">
        <f t="shared" si="32"/>
        <v>#N/A</v>
      </c>
      <c r="I589" s="48" t="e">
        <f t="shared" si="33"/>
        <v>#N/A</v>
      </c>
      <c r="J589" s="49" t="e">
        <f t="shared" si="31"/>
        <v>#N/A</v>
      </c>
      <c r="K589" s="53"/>
    </row>
    <row r="590" spans="1:11" ht="19" customHeight="1">
      <c r="A590" s="47"/>
      <c r="B590" s="47"/>
      <c r="C590" s="47"/>
      <c r="D590" s="47"/>
      <c r="E590" s="47"/>
      <c r="F590" s="48"/>
      <c r="G590" s="48" t="e">
        <f>VLOOKUP(D590,단가!B:D,3,0)</f>
        <v>#N/A</v>
      </c>
      <c r="H590" s="48" t="e">
        <f t="shared" si="32"/>
        <v>#N/A</v>
      </c>
      <c r="I590" s="48" t="e">
        <f t="shared" si="33"/>
        <v>#N/A</v>
      </c>
      <c r="J590" s="49" t="e">
        <f t="shared" si="31"/>
        <v>#N/A</v>
      </c>
      <c r="K590" s="53"/>
    </row>
    <row r="591" spans="1:11" ht="19" customHeight="1">
      <c r="A591" s="47"/>
      <c r="B591" s="47"/>
      <c r="C591" s="47"/>
      <c r="D591" s="47"/>
      <c r="E591" s="47"/>
      <c r="F591" s="48"/>
      <c r="G591" s="48" t="e">
        <f>VLOOKUP(D591,단가!B:D,3,0)</f>
        <v>#N/A</v>
      </c>
      <c r="H591" s="48" t="e">
        <f t="shared" si="32"/>
        <v>#N/A</v>
      </c>
      <c r="I591" s="48" t="e">
        <f t="shared" si="33"/>
        <v>#N/A</v>
      </c>
      <c r="J591" s="49" t="e">
        <f t="shared" si="31"/>
        <v>#N/A</v>
      </c>
      <c r="K591" s="53"/>
    </row>
    <row r="592" spans="1:11" ht="19" customHeight="1">
      <c r="A592" s="47"/>
      <c r="B592" s="47"/>
      <c r="C592" s="47"/>
      <c r="D592" s="47"/>
      <c r="E592" s="47"/>
      <c r="F592" s="48"/>
      <c r="G592" s="48" t="e">
        <f>VLOOKUP(D592,단가!B:D,3,0)</f>
        <v>#N/A</v>
      </c>
      <c r="H592" s="48" t="e">
        <f t="shared" si="32"/>
        <v>#N/A</v>
      </c>
      <c r="I592" s="48" t="e">
        <f t="shared" si="33"/>
        <v>#N/A</v>
      </c>
      <c r="J592" s="49" t="e">
        <f t="shared" si="31"/>
        <v>#N/A</v>
      </c>
      <c r="K592" s="53"/>
    </row>
    <row r="593" spans="1:11" ht="19" customHeight="1">
      <c r="A593" s="47"/>
      <c r="B593" s="47"/>
      <c r="C593" s="47"/>
      <c r="D593" s="47"/>
      <c r="E593" s="47"/>
      <c r="F593" s="48"/>
      <c r="G593" s="48" t="e">
        <f>VLOOKUP(D593,단가!B:D,3,0)</f>
        <v>#N/A</v>
      </c>
      <c r="H593" s="48" t="e">
        <f t="shared" si="32"/>
        <v>#N/A</v>
      </c>
      <c r="I593" s="48" t="e">
        <f t="shared" si="33"/>
        <v>#N/A</v>
      </c>
      <c r="J593" s="49" t="e">
        <f t="shared" si="31"/>
        <v>#N/A</v>
      </c>
      <c r="K593" s="53"/>
    </row>
    <row r="594" spans="1:11" ht="19" customHeight="1">
      <c r="A594" s="47"/>
      <c r="B594" s="47"/>
      <c r="C594" s="47"/>
      <c r="D594" s="47"/>
      <c r="E594" s="47"/>
      <c r="F594" s="48"/>
      <c r="G594" s="48" t="e">
        <f>VLOOKUP(D594,단가!B:D,3,0)</f>
        <v>#N/A</v>
      </c>
      <c r="H594" s="48" t="e">
        <f t="shared" si="32"/>
        <v>#N/A</v>
      </c>
      <c r="I594" s="48" t="e">
        <f t="shared" si="33"/>
        <v>#N/A</v>
      </c>
      <c r="J594" s="49" t="e">
        <f t="shared" si="31"/>
        <v>#N/A</v>
      </c>
      <c r="K594" s="53"/>
    </row>
    <row r="595" spans="1:11" ht="19" customHeight="1">
      <c r="A595" s="47"/>
      <c r="B595" s="47"/>
      <c r="C595" s="47"/>
      <c r="D595" s="47"/>
      <c r="E595" s="47"/>
      <c r="F595" s="48"/>
      <c r="G595" s="48" t="e">
        <f>VLOOKUP(D595,단가!B:D,3,0)</f>
        <v>#N/A</v>
      </c>
      <c r="H595" s="48" t="e">
        <f t="shared" si="32"/>
        <v>#N/A</v>
      </c>
      <c r="I595" s="48" t="e">
        <f t="shared" si="33"/>
        <v>#N/A</v>
      </c>
      <c r="J595" s="49" t="e">
        <f t="shared" si="31"/>
        <v>#N/A</v>
      </c>
      <c r="K595" s="53"/>
    </row>
    <row r="596" spans="1:11" ht="19" customHeight="1">
      <c r="A596" s="47"/>
      <c r="B596" s="47"/>
      <c r="C596" s="47"/>
      <c r="D596" s="47"/>
      <c r="E596" s="47"/>
      <c r="F596" s="48"/>
      <c r="G596" s="48" t="e">
        <f>VLOOKUP(D596,단가!B:D,3,0)</f>
        <v>#N/A</v>
      </c>
      <c r="H596" s="48" t="e">
        <f t="shared" si="32"/>
        <v>#N/A</v>
      </c>
      <c r="I596" s="48" t="e">
        <f t="shared" si="33"/>
        <v>#N/A</v>
      </c>
      <c r="J596" s="49" t="e">
        <f t="shared" si="31"/>
        <v>#N/A</v>
      </c>
      <c r="K596" s="53"/>
    </row>
    <row r="597" spans="1:11" ht="19" customHeight="1">
      <c r="A597" s="47"/>
      <c r="B597" s="47"/>
      <c r="C597" s="47"/>
      <c r="D597" s="47"/>
      <c r="E597" s="47"/>
      <c r="F597" s="48"/>
      <c r="G597" s="48" t="e">
        <f>VLOOKUP(D597,단가!B:D,3,0)</f>
        <v>#N/A</v>
      </c>
      <c r="H597" s="48" t="e">
        <f t="shared" si="32"/>
        <v>#N/A</v>
      </c>
      <c r="I597" s="48" t="e">
        <f t="shared" si="33"/>
        <v>#N/A</v>
      </c>
      <c r="J597" s="49" t="e">
        <f t="shared" si="31"/>
        <v>#N/A</v>
      </c>
      <c r="K597" s="53"/>
    </row>
    <row r="598" spans="1:11" ht="19" customHeight="1">
      <c r="A598" s="47"/>
      <c r="B598" s="47"/>
      <c r="C598" s="47"/>
      <c r="D598" s="47"/>
      <c r="E598" s="47"/>
      <c r="F598" s="48"/>
      <c r="G598" s="48" t="e">
        <f>VLOOKUP(D598,단가!B:D,3,0)</f>
        <v>#N/A</v>
      </c>
      <c r="H598" s="48" t="e">
        <f t="shared" si="32"/>
        <v>#N/A</v>
      </c>
      <c r="I598" s="48" t="e">
        <f t="shared" si="33"/>
        <v>#N/A</v>
      </c>
      <c r="J598" s="49" t="e">
        <f t="shared" si="31"/>
        <v>#N/A</v>
      </c>
      <c r="K598" s="53"/>
    </row>
    <row r="599" spans="1:11" ht="19" customHeight="1">
      <c r="A599" s="47"/>
      <c r="B599" s="47"/>
      <c r="C599" s="47"/>
      <c r="D599" s="47"/>
      <c r="E599" s="47"/>
      <c r="F599" s="48"/>
      <c r="G599" s="48" t="e">
        <f>VLOOKUP(D599,단가!B:D,3,0)</f>
        <v>#N/A</v>
      </c>
      <c r="H599" s="48" t="e">
        <f t="shared" si="32"/>
        <v>#N/A</v>
      </c>
      <c r="I599" s="48" t="e">
        <f t="shared" si="33"/>
        <v>#N/A</v>
      </c>
      <c r="J599" s="49" t="e">
        <f t="shared" si="31"/>
        <v>#N/A</v>
      </c>
      <c r="K599" s="53"/>
    </row>
    <row r="600" spans="1:11" ht="19" customHeight="1">
      <c r="A600" s="47"/>
      <c r="B600" s="47"/>
      <c r="C600" s="47"/>
      <c r="D600" s="47"/>
      <c r="E600" s="47"/>
      <c r="F600" s="48"/>
      <c r="G600" s="48" t="e">
        <f>VLOOKUP(D600,단가!B:D,3,0)</f>
        <v>#N/A</v>
      </c>
      <c r="H600" s="48" t="e">
        <f t="shared" si="32"/>
        <v>#N/A</v>
      </c>
      <c r="I600" s="48" t="e">
        <f t="shared" si="33"/>
        <v>#N/A</v>
      </c>
      <c r="J600" s="49" t="e">
        <f t="shared" si="31"/>
        <v>#N/A</v>
      </c>
      <c r="K600" s="53"/>
    </row>
    <row r="601" spans="1:11" ht="19" customHeight="1">
      <c r="A601" s="47"/>
      <c r="B601" s="47"/>
      <c r="C601" s="47"/>
      <c r="D601" s="47"/>
      <c r="E601" s="47"/>
      <c r="F601" s="48"/>
      <c r="G601" s="48" t="e">
        <f>VLOOKUP(D601,단가!B:D,3,0)</f>
        <v>#N/A</v>
      </c>
      <c r="H601" s="48" t="e">
        <f t="shared" si="32"/>
        <v>#N/A</v>
      </c>
      <c r="I601" s="48" t="e">
        <f t="shared" si="33"/>
        <v>#N/A</v>
      </c>
      <c r="J601" s="49" t="e">
        <f t="shared" si="31"/>
        <v>#N/A</v>
      </c>
      <c r="K601" s="53"/>
    </row>
    <row r="602" spans="1:11" ht="19" customHeight="1">
      <c r="A602" s="47"/>
      <c r="B602" s="47"/>
      <c r="C602" s="47"/>
      <c r="D602" s="47"/>
      <c r="E602" s="47"/>
      <c r="F602" s="48"/>
      <c r="G602" s="48" t="e">
        <f>VLOOKUP(D602,단가!B:D,3,0)</f>
        <v>#N/A</v>
      </c>
      <c r="H602" s="48" t="e">
        <f t="shared" si="32"/>
        <v>#N/A</v>
      </c>
      <c r="I602" s="48" t="e">
        <f t="shared" si="33"/>
        <v>#N/A</v>
      </c>
      <c r="J602" s="49" t="e">
        <f t="shared" si="31"/>
        <v>#N/A</v>
      </c>
      <c r="K602" s="53"/>
    </row>
    <row r="603" spans="1:11" ht="19" customHeight="1">
      <c r="A603" s="47"/>
      <c r="B603" s="47"/>
      <c r="C603" s="47"/>
      <c r="D603" s="47"/>
      <c r="E603" s="47"/>
      <c r="F603" s="48"/>
      <c r="G603" s="48" t="e">
        <f>VLOOKUP(D603,단가!B:D,3,0)</f>
        <v>#N/A</v>
      </c>
      <c r="H603" s="48" t="e">
        <f t="shared" si="32"/>
        <v>#N/A</v>
      </c>
      <c r="I603" s="48" t="e">
        <f t="shared" si="33"/>
        <v>#N/A</v>
      </c>
      <c r="J603" s="49" t="e">
        <f t="shared" si="31"/>
        <v>#N/A</v>
      </c>
      <c r="K603" s="53"/>
    </row>
    <row r="604" spans="1:11" ht="19" customHeight="1">
      <c r="A604" s="47"/>
      <c r="B604" s="47"/>
      <c r="C604" s="47"/>
      <c r="D604" s="47"/>
      <c r="E604" s="47"/>
      <c r="F604" s="48"/>
      <c r="G604" s="48" t="e">
        <f>VLOOKUP(D604,단가!B:D,3,0)</f>
        <v>#N/A</v>
      </c>
      <c r="H604" s="48" t="e">
        <f t="shared" si="32"/>
        <v>#N/A</v>
      </c>
      <c r="I604" s="48" t="e">
        <f t="shared" si="33"/>
        <v>#N/A</v>
      </c>
      <c r="J604" s="49" t="e">
        <f t="shared" si="31"/>
        <v>#N/A</v>
      </c>
      <c r="K604" s="53"/>
    </row>
    <row r="605" spans="1:11" ht="19" customHeight="1">
      <c r="A605" s="47"/>
      <c r="B605" s="47"/>
      <c r="C605" s="47"/>
      <c r="D605" s="47"/>
      <c r="E605" s="47"/>
      <c r="F605" s="48"/>
      <c r="G605" s="48" t="e">
        <f>VLOOKUP(D605,단가!B:D,3,0)</f>
        <v>#N/A</v>
      </c>
      <c r="H605" s="48" t="e">
        <f t="shared" si="32"/>
        <v>#N/A</v>
      </c>
      <c r="I605" s="48" t="e">
        <f t="shared" si="33"/>
        <v>#N/A</v>
      </c>
      <c r="J605" s="49" t="e">
        <f t="shared" si="31"/>
        <v>#N/A</v>
      </c>
      <c r="K605" s="53"/>
    </row>
    <row r="606" spans="1:11" ht="19" customHeight="1">
      <c r="A606" s="47"/>
      <c r="B606" s="47"/>
      <c r="C606" s="47"/>
      <c r="D606" s="47"/>
      <c r="E606" s="47"/>
      <c r="F606" s="48"/>
      <c r="G606" s="48" t="e">
        <f>VLOOKUP(D606,단가!B:D,3,0)</f>
        <v>#N/A</v>
      </c>
      <c r="H606" s="48" t="e">
        <f t="shared" si="32"/>
        <v>#N/A</v>
      </c>
      <c r="I606" s="48" t="e">
        <f t="shared" si="33"/>
        <v>#N/A</v>
      </c>
      <c r="J606" s="49" t="e">
        <f t="shared" si="31"/>
        <v>#N/A</v>
      </c>
      <c r="K606" s="53"/>
    </row>
    <row r="607" spans="1:11" ht="19" customHeight="1">
      <c r="A607" s="47"/>
      <c r="B607" s="47"/>
      <c r="C607" s="47"/>
      <c r="D607" s="47"/>
      <c r="E607" s="47"/>
      <c r="F607" s="48"/>
      <c r="G607" s="48" t="e">
        <f>VLOOKUP(D607,단가!B:D,3,0)</f>
        <v>#N/A</v>
      </c>
      <c r="H607" s="48" t="e">
        <f t="shared" si="32"/>
        <v>#N/A</v>
      </c>
      <c r="I607" s="48" t="e">
        <f t="shared" si="33"/>
        <v>#N/A</v>
      </c>
      <c r="J607" s="49" t="e">
        <f t="shared" si="31"/>
        <v>#N/A</v>
      </c>
      <c r="K607" s="53"/>
    </row>
    <row r="608" spans="1:11" ht="19" customHeight="1">
      <c r="A608" s="47"/>
      <c r="B608" s="47"/>
      <c r="C608" s="47"/>
      <c r="D608" s="47"/>
      <c r="E608" s="47"/>
      <c r="F608" s="48"/>
      <c r="G608" s="48" t="e">
        <f>VLOOKUP(D608,단가!B:D,3,0)</f>
        <v>#N/A</v>
      </c>
      <c r="H608" s="48" t="e">
        <f t="shared" si="32"/>
        <v>#N/A</v>
      </c>
      <c r="I608" s="48" t="e">
        <f t="shared" si="33"/>
        <v>#N/A</v>
      </c>
      <c r="J608" s="49" t="e">
        <f t="shared" si="31"/>
        <v>#N/A</v>
      </c>
      <c r="K608" s="53"/>
    </row>
    <row r="609" spans="1:11" ht="19" customHeight="1">
      <c r="A609" s="47"/>
      <c r="B609" s="47"/>
      <c r="C609" s="47"/>
      <c r="D609" s="47"/>
      <c r="E609" s="47"/>
      <c r="F609" s="48"/>
      <c r="G609" s="48" t="e">
        <f>VLOOKUP(D609,단가!B:D,3,0)</f>
        <v>#N/A</v>
      </c>
      <c r="H609" s="48" t="e">
        <f t="shared" si="32"/>
        <v>#N/A</v>
      </c>
      <c r="I609" s="48" t="e">
        <f t="shared" si="33"/>
        <v>#N/A</v>
      </c>
      <c r="J609" s="49" t="e">
        <f t="shared" si="31"/>
        <v>#N/A</v>
      </c>
      <c r="K609" s="53"/>
    </row>
    <row r="610" spans="1:11" ht="19" customHeight="1">
      <c r="A610" s="47"/>
      <c r="B610" s="47"/>
      <c r="C610" s="47"/>
      <c r="D610" s="47"/>
      <c r="E610" s="47"/>
      <c r="F610" s="48"/>
      <c r="G610" s="48" t="e">
        <f>VLOOKUP(D610,단가!B:D,3,0)</f>
        <v>#N/A</v>
      </c>
      <c r="H610" s="48" t="e">
        <f t="shared" si="32"/>
        <v>#N/A</v>
      </c>
      <c r="I610" s="48" t="e">
        <f t="shared" si="33"/>
        <v>#N/A</v>
      </c>
      <c r="J610" s="49" t="e">
        <f t="shared" si="31"/>
        <v>#N/A</v>
      </c>
      <c r="K610" s="53"/>
    </row>
    <row r="611" spans="1:11" ht="19" customHeight="1">
      <c r="A611" s="47"/>
      <c r="B611" s="47"/>
      <c r="C611" s="47"/>
      <c r="D611" s="47"/>
      <c r="E611" s="47"/>
      <c r="F611" s="48"/>
      <c r="G611" s="48" t="e">
        <f>VLOOKUP(D611,단가!B:D,3,0)</f>
        <v>#N/A</v>
      </c>
      <c r="H611" s="48" t="e">
        <f t="shared" si="32"/>
        <v>#N/A</v>
      </c>
      <c r="I611" s="48" t="e">
        <f t="shared" si="33"/>
        <v>#N/A</v>
      </c>
      <c r="J611" s="49" t="e">
        <f t="shared" si="31"/>
        <v>#N/A</v>
      </c>
      <c r="K611" s="53"/>
    </row>
    <row r="612" spans="1:11" ht="19" customHeight="1">
      <c r="A612" s="47"/>
      <c r="B612" s="47"/>
      <c r="C612" s="47"/>
      <c r="D612" s="47"/>
      <c r="E612" s="47"/>
      <c r="F612" s="48"/>
      <c r="G612" s="48" t="e">
        <f>VLOOKUP(D612,단가!B:D,3,0)</f>
        <v>#N/A</v>
      </c>
      <c r="H612" s="48" t="e">
        <f t="shared" si="32"/>
        <v>#N/A</v>
      </c>
      <c r="I612" s="48" t="e">
        <f t="shared" si="33"/>
        <v>#N/A</v>
      </c>
      <c r="J612" s="49" t="e">
        <f t="shared" si="31"/>
        <v>#N/A</v>
      </c>
      <c r="K612" s="53"/>
    </row>
    <row r="613" spans="1:11" ht="19" customHeight="1">
      <c r="A613" s="47"/>
      <c r="B613" s="47"/>
      <c r="C613" s="47"/>
      <c r="D613" s="47"/>
      <c r="E613" s="47"/>
      <c r="F613" s="48"/>
      <c r="G613" s="48" t="e">
        <f>VLOOKUP(D613,단가!B:D,3,0)</f>
        <v>#N/A</v>
      </c>
      <c r="H613" s="48" t="e">
        <f t="shared" si="32"/>
        <v>#N/A</v>
      </c>
      <c r="I613" s="48" t="e">
        <f t="shared" si="33"/>
        <v>#N/A</v>
      </c>
      <c r="J613" s="49" t="e">
        <f t="shared" si="31"/>
        <v>#N/A</v>
      </c>
      <c r="K613" s="53"/>
    </row>
    <row r="614" spans="1:11" ht="19" customHeight="1">
      <c r="A614" s="47"/>
      <c r="B614" s="47"/>
      <c r="C614" s="47"/>
      <c r="D614" s="47"/>
      <c r="E614" s="47"/>
      <c r="F614" s="48"/>
      <c r="G614" s="48" t="e">
        <f>VLOOKUP(D614,단가!B:D,3,0)</f>
        <v>#N/A</v>
      </c>
      <c r="H614" s="48" t="e">
        <f t="shared" si="32"/>
        <v>#N/A</v>
      </c>
      <c r="I614" s="48" t="e">
        <f t="shared" si="33"/>
        <v>#N/A</v>
      </c>
      <c r="J614" s="49" t="e">
        <f t="shared" si="31"/>
        <v>#N/A</v>
      </c>
      <c r="K614" s="53"/>
    </row>
    <row r="615" spans="1:11" ht="19" customHeight="1">
      <c r="A615" s="47"/>
      <c r="B615" s="47"/>
      <c r="C615" s="47"/>
      <c r="D615" s="47"/>
      <c r="E615" s="47"/>
      <c r="F615" s="48"/>
      <c r="G615" s="48" t="e">
        <f>VLOOKUP(D615,단가!B:D,3,0)</f>
        <v>#N/A</v>
      </c>
      <c r="H615" s="48" t="e">
        <f t="shared" si="32"/>
        <v>#N/A</v>
      </c>
      <c r="I615" s="48" t="e">
        <f t="shared" si="33"/>
        <v>#N/A</v>
      </c>
      <c r="J615" s="49" t="e">
        <f t="shared" si="31"/>
        <v>#N/A</v>
      </c>
      <c r="K615" s="53"/>
    </row>
    <row r="616" spans="1:11" ht="19" customHeight="1">
      <c r="A616" s="47"/>
      <c r="B616" s="47"/>
      <c r="C616" s="47"/>
      <c r="D616" s="47"/>
      <c r="E616" s="47"/>
      <c r="F616" s="48"/>
      <c r="G616" s="48" t="e">
        <f>VLOOKUP(D616,단가!B:D,3,0)</f>
        <v>#N/A</v>
      </c>
      <c r="H616" s="48" t="e">
        <f t="shared" si="32"/>
        <v>#N/A</v>
      </c>
      <c r="I616" s="48" t="e">
        <f t="shared" si="33"/>
        <v>#N/A</v>
      </c>
      <c r="J616" s="49" t="e">
        <f t="shared" si="31"/>
        <v>#N/A</v>
      </c>
      <c r="K616" s="53"/>
    </row>
    <row r="617" spans="1:11" ht="19" customHeight="1">
      <c r="A617" s="47"/>
      <c r="B617" s="47"/>
      <c r="C617" s="47"/>
      <c r="D617" s="47"/>
      <c r="E617" s="47"/>
      <c r="F617" s="48"/>
      <c r="G617" s="48" t="e">
        <f>VLOOKUP(D617,단가!B:D,3,0)</f>
        <v>#N/A</v>
      </c>
      <c r="H617" s="48" t="e">
        <f t="shared" si="32"/>
        <v>#N/A</v>
      </c>
      <c r="I617" s="48" t="e">
        <f t="shared" si="33"/>
        <v>#N/A</v>
      </c>
      <c r="J617" s="49" t="e">
        <f t="shared" si="31"/>
        <v>#N/A</v>
      </c>
      <c r="K617" s="53"/>
    </row>
    <row r="618" spans="1:11" ht="19" customHeight="1">
      <c r="A618" s="47"/>
      <c r="B618" s="47"/>
      <c r="C618" s="47"/>
      <c r="D618" s="47"/>
      <c r="E618" s="47"/>
      <c r="F618" s="48"/>
      <c r="G618" s="48" t="e">
        <f>VLOOKUP(D618,단가!B:D,3,0)</f>
        <v>#N/A</v>
      </c>
      <c r="H618" s="48" t="e">
        <f t="shared" si="32"/>
        <v>#N/A</v>
      </c>
      <c r="I618" s="48" t="e">
        <f t="shared" si="33"/>
        <v>#N/A</v>
      </c>
      <c r="J618" s="49" t="e">
        <f t="shared" si="31"/>
        <v>#N/A</v>
      </c>
      <c r="K618" s="53"/>
    </row>
    <row r="619" spans="1:11" ht="19" customHeight="1">
      <c r="A619" s="47"/>
      <c r="B619" s="47"/>
      <c r="C619" s="47"/>
      <c r="D619" s="47"/>
      <c r="E619" s="47"/>
      <c r="F619" s="48"/>
      <c r="G619" s="48" t="e">
        <f>VLOOKUP(D619,단가!B:D,3,0)</f>
        <v>#N/A</v>
      </c>
      <c r="H619" s="48" t="e">
        <f t="shared" si="32"/>
        <v>#N/A</v>
      </c>
      <c r="I619" s="48" t="e">
        <f t="shared" si="33"/>
        <v>#N/A</v>
      </c>
      <c r="J619" s="49" t="e">
        <f t="shared" si="31"/>
        <v>#N/A</v>
      </c>
      <c r="K619" s="53"/>
    </row>
    <row r="620" spans="1:11" ht="19" customHeight="1">
      <c r="A620" s="47"/>
      <c r="B620" s="47"/>
      <c r="C620" s="47"/>
      <c r="D620" s="47"/>
      <c r="E620" s="47"/>
      <c r="F620" s="48"/>
      <c r="G620" s="48" t="e">
        <f>VLOOKUP(D620,단가!B:D,3,0)</f>
        <v>#N/A</v>
      </c>
      <c r="H620" s="48" t="e">
        <f t="shared" si="32"/>
        <v>#N/A</v>
      </c>
      <c r="I620" s="48" t="e">
        <f t="shared" si="33"/>
        <v>#N/A</v>
      </c>
      <c r="J620" s="49" t="e">
        <f t="shared" si="31"/>
        <v>#N/A</v>
      </c>
      <c r="K620" s="53"/>
    </row>
    <row r="621" spans="1:11" ht="19" customHeight="1">
      <c r="A621" s="47"/>
      <c r="B621" s="47"/>
      <c r="C621" s="47"/>
      <c r="D621" s="47"/>
      <c r="E621" s="47"/>
      <c r="F621" s="48"/>
      <c r="G621" s="48" t="e">
        <f>VLOOKUP(D621,단가!B:D,3,0)</f>
        <v>#N/A</v>
      </c>
      <c r="H621" s="48" t="e">
        <f t="shared" si="32"/>
        <v>#N/A</v>
      </c>
      <c r="I621" s="48" t="e">
        <f t="shared" si="33"/>
        <v>#N/A</v>
      </c>
      <c r="J621" s="49" t="e">
        <f t="shared" si="31"/>
        <v>#N/A</v>
      </c>
      <c r="K621" s="53"/>
    </row>
    <row r="622" spans="1:11" ht="19" customHeight="1">
      <c r="A622" s="47"/>
      <c r="B622" s="47"/>
      <c r="C622" s="47"/>
      <c r="D622" s="47"/>
      <c r="E622" s="47"/>
      <c r="F622" s="48"/>
      <c r="G622" s="48" t="e">
        <f>VLOOKUP(D622,단가!B:D,3,0)</f>
        <v>#N/A</v>
      </c>
      <c r="H622" s="48" t="e">
        <f t="shared" si="32"/>
        <v>#N/A</v>
      </c>
      <c r="I622" s="48" t="e">
        <f t="shared" si="33"/>
        <v>#N/A</v>
      </c>
      <c r="J622" s="49" t="e">
        <f t="shared" si="31"/>
        <v>#N/A</v>
      </c>
      <c r="K622" s="53"/>
    </row>
    <row r="623" spans="1:11" ht="19" customHeight="1">
      <c r="A623" s="47"/>
      <c r="B623" s="47"/>
      <c r="C623" s="47"/>
      <c r="D623" s="47"/>
      <c r="E623" s="47"/>
      <c r="F623" s="48"/>
      <c r="G623" s="48" t="e">
        <f>VLOOKUP(D623,단가!B:D,3,0)</f>
        <v>#N/A</v>
      </c>
      <c r="H623" s="48" t="e">
        <f t="shared" si="32"/>
        <v>#N/A</v>
      </c>
      <c r="I623" s="48" t="e">
        <f t="shared" si="33"/>
        <v>#N/A</v>
      </c>
      <c r="J623" s="49" t="e">
        <f t="shared" si="31"/>
        <v>#N/A</v>
      </c>
      <c r="K623" s="53"/>
    </row>
    <row r="624" spans="1:11" ht="19" customHeight="1">
      <c r="A624" s="47"/>
      <c r="B624" s="47"/>
      <c r="C624" s="47"/>
      <c r="D624" s="47"/>
      <c r="E624" s="47"/>
      <c r="F624" s="48"/>
      <c r="G624" s="48" t="e">
        <f>VLOOKUP(D624,단가!B:D,3,0)</f>
        <v>#N/A</v>
      </c>
      <c r="H624" s="48" t="e">
        <f t="shared" si="32"/>
        <v>#N/A</v>
      </c>
      <c r="I624" s="48" t="e">
        <f t="shared" si="33"/>
        <v>#N/A</v>
      </c>
      <c r="J624" s="49" t="e">
        <f t="shared" si="31"/>
        <v>#N/A</v>
      </c>
      <c r="K624" s="53"/>
    </row>
    <row r="625" spans="1:11" ht="19" customHeight="1">
      <c r="A625" s="47"/>
      <c r="B625" s="47"/>
      <c r="C625" s="47"/>
      <c r="D625" s="47"/>
      <c r="E625" s="47"/>
      <c r="F625" s="48"/>
      <c r="G625" s="48" t="e">
        <f>VLOOKUP(D625,단가!B:D,3,0)</f>
        <v>#N/A</v>
      </c>
      <c r="H625" s="48" t="e">
        <f t="shared" si="32"/>
        <v>#N/A</v>
      </c>
      <c r="I625" s="48" t="e">
        <f t="shared" si="33"/>
        <v>#N/A</v>
      </c>
      <c r="J625" s="49" t="e">
        <f t="shared" si="31"/>
        <v>#N/A</v>
      </c>
      <c r="K625" s="53"/>
    </row>
    <row r="626" spans="1:11" ht="19" customHeight="1">
      <c r="A626" s="47"/>
      <c r="B626" s="47"/>
      <c r="C626" s="47"/>
      <c r="D626" s="47"/>
      <c r="E626" s="47"/>
      <c r="F626" s="48"/>
      <c r="G626" s="48" t="e">
        <f>VLOOKUP(D626,단가!B:D,3,0)</f>
        <v>#N/A</v>
      </c>
      <c r="H626" s="48" t="e">
        <f t="shared" si="32"/>
        <v>#N/A</v>
      </c>
      <c r="I626" s="48" t="e">
        <f t="shared" si="33"/>
        <v>#N/A</v>
      </c>
      <c r="J626" s="49" t="e">
        <f t="shared" si="31"/>
        <v>#N/A</v>
      </c>
      <c r="K626" s="53"/>
    </row>
    <row r="627" spans="1:11" ht="19" customHeight="1">
      <c r="A627" s="47"/>
      <c r="B627" s="47"/>
      <c r="C627" s="47"/>
      <c r="D627" s="47"/>
      <c r="E627" s="47"/>
      <c r="F627" s="48"/>
      <c r="G627" s="48" t="e">
        <f>VLOOKUP(D627,단가!B:D,3,0)</f>
        <v>#N/A</v>
      </c>
      <c r="H627" s="48" t="e">
        <f t="shared" si="32"/>
        <v>#N/A</v>
      </c>
      <c r="I627" s="48" t="e">
        <f t="shared" si="33"/>
        <v>#N/A</v>
      </c>
      <c r="J627" s="49" t="e">
        <f t="shared" si="31"/>
        <v>#N/A</v>
      </c>
      <c r="K627" s="53"/>
    </row>
    <row r="628" spans="1:11" ht="19" customHeight="1">
      <c r="A628" s="47"/>
      <c r="B628" s="47"/>
      <c r="C628" s="47"/>
      <c r="D628" s="47"/>
      <c r="E628" s="47"/>
      <c r="F628" s="48"/>
      <c r="G628" s="48" t="e">
        <f>VLOOKUP(D628,단가!B:D,3,0)</f>
        <v>#N/A</v>
      </c>
      <c r="H628" s="48" t="e">
        <f t="shared" si="32"/>
        <v>#N/A</v>
      </c>
      <c r="I628" s="48" t="e">
        <f t="shared" si="33"/>
        <v>#N/A</v>
      </c>
      <c r="J628" s="49" t="e">
        <f t="shared" si="31"/>
        <v>#N/A</v>
      </c>
      <c r="K628" s="53"/>
    </row>
    <row r="629" spans="1:11" ht="19" customHeight="1">
      <c r="A629" s="47"/>
      <c r="B629" s="47"/>
      <c r="C629" s="47"/>
      <c r="D629" s="47"/>
      <c r="E629" s="47"/>
      <c r="F629" s="48"/>
      <c r="G629" s="48" t="e">
        <f>VLOOKUP(D629,단가!B:D,3,0)</f>
        <v>#N/A</v>
      </c>
      <c r="H629" s="48" t="e">
        <f t="shared" si="32"/>
        <v>#N/A</v>
      </c>
      <c r="I629" s="48" t="e">
        <f t="shared" si="33"/>
        <v>#N/A</v>
      </c>
      <c r="J629" s="49" t="e">
        <f t="shared" si="31"/>
        <v>#N/A</v>
      </c>
      <c r="K629" s="53"/>
    </row>
    <row r="630" spans="1:11" ht="19" customHeight="1">
      <c r="A630" s="47"/>
      <c r="B630" s="47"/>
      <c r="C630" s="47"/>
      <c r="D630" s="47"/>
      <c r="E630" s="47"/>
      <c r="F630" s="48"/>
      <c r="G630" s="48" t="e">
        <f>VLOOKUP(D630,단가!B:D,3,0)</f>
        <v>#N/A</v>
      </c>
      <c r="H630" s="48" t="e">
        <f t="shared" si="32"/>
        <v>#N/A</v>
      </c>
      <c r="I630" s="48" t="e">
        <f t="shared" si="33"/>
        <v>#N/A</v>
      </c>
      <c r="J630" s="49" t="e">
        <f t="shared" ref="J630:J693" si="34">H630+I630</f>
        <v>#N/A</v>
      </c>
      <c r="K630" s="53"/>
    </row>
    <row r="631" spans="1:11" ht="19" customHeight="1">
      <c r="A631" s="47"/>
      <c r="B631" s="47"/>
      <c r="C631" s="47"/>
      <c r="D631" s="47"/>
      <c r="E631" s="47"/>
      <c r="F631" s="48"/>
      <c r="G631" s="48" t="e">
        <f>VLOOKUP(D631,단가!B:D,3,0)</f>
        <v>#N/A</v>
      </c>
      <c r="H631" s="48" t="e">
        <f t="shared" ref="H631:H694" si="35">F631*G631</f>
        <v>#N/A</v>
      </c>
      <c r="I631" s="48" t="e">
        <f t="shared" ref="I631:I694" si="36">H631*0.1</f>
        <v>#N/A</v>
      </c>
      <c r="J631" s="49" t="e">
        <f t="shared" si="34"/>
        <v>#N/A</v>
      </c>
      <c r="K631" s="53"/>
    </row>
    <row r="632" spans="1:11" ht="19" customHeight="1">
      <c r="A632" s="47"/>
      <c r="B632" s="47"/>
      <c r="C632" s="47"/>
      <c r="D632" s="47"/>
      <c r="E632" s="47"/>
      <c r="F632" s="48"/>
      <c r="G632" s="48" t="e">
        <f>VLOOKUP(D632,단가!B:D,3,0)</f>
        <v>#N/A</v>
      </c>
      <c r="H632" s="48" t="e">
        <f t="shared" si="35"/>
        <v>#N/A</v>
      </c>
      <c r="I632" s="48" t="e">
        <f t="shared" si="36"/>
        <v>#N/A</v>
      </c>
      <c r="J632" s="49" t="e">
        <f t="shared" si="34"/>
        <v>#N/A</v>
      </c>
      <c r="K632" s="53"/>
    </row>
    <row r="633" spans="1:11" ht="19" customHeight="1">
      <c r="A633" s="47"/>
      <c r="B633" s="47"/>
      <c r="C633" s="47"/>
      <c r="D633" s="47"/>
      <c r="E633" s="47"/>
      <c r="F633" s="48"/>
      <c r="G633" s="48" t="e">
        <f>VLOOKUP(D633,단가!B:D,3,0)</f>
        <v>#N/A</v>
      </c>
      <c r="H633" s="48" t="e">
        <f t="shared" si="35"/>
        <v>#N/A</v>
      </c>
      <c r="I633" s="48" t="e">
        <f t="shared" si="36"/>
        <v>#N/A</v>
      </c>
      <c r="J633" s="49" t="e">
        <f t="shared" si="34"/>
        <v>#N/A</v>
      </c>
      <c r="K633" s="53"/>
    </row>
    <row r="634" spans="1:11" ht="19" customHeight="1">
      <c r="A634" s="47"/>
      <c r="B634" s="47"/>
      <c r="C634" s="47"/>
      <c r="D634" s="47"/>
      <c r="E634" s="47"/>
      <c r="F634" s="48"/>
      <c r="G634" s="48" t="e">
        <f>VLOOKUP(D634,단가!B:D,3,0)</f>
        <v>#N/A</v>
      </c>
      <c r="H634" s="48" t="e">
        <f t="shared" si="35"/>
        <v>#N/A</v>
      </c>
      <c r="I634" s="48" t="e">
        <f t="shared" si="36"/>
        <v>#N/A</v>
      </c>
      <c r="J634" s="49" t="e">
        <f t="shared" si="34"/>
        <v>#N/A</v>
      </c>
      <c r="K634" s="53"/>
    </row>
    <row r="635" spans="1:11" ht="19" customHeight="1">
      <c r="A635" s="47"/>
      <c r="B635" s="47"/>
      <c r="C635" s="47"/>
      <c r="D635" s="47"/>
      <c r="E635" s="47"/>
      <c r="F635" s="48"/>
      <c r="G635" s="48" t="e">
        <f>VLOOKUP(D635,단가!B:D,3,0)</f>
        <v>#N/A</v>
      </c>
      <c r="H635" s="48" t="e">
        <f t="shared" si="35"/>
        <v>#N/A</v>
      </c>
      <c r="I635" s="48" t="e">
        <f t="shared" si="36"/>
        <v>#N/A</v>
      </c>
      <c r="J635" s="49" t="e">
        <f t="shared" si="34"/>
        <v>#N/A</v>
      </c>
      <c r="K635" s="53"/>
    </row>
    <row r="636" spans="1:11" ht="19" customHeight="1">
      <c r="A636" s="47"/>
      <c r="B636" s="47"/>
      <c r="C636" s="47"/>
      <c r="D636" s="47"/>
      <c r="E636" s="47"/>
      <c r="F636" s="48"/>
      <c r="G636" s="48" t="e">
        <f>VLOOKUP(D636,단가!B:D,3,0)</f>
        <v>#N/A</v>
      </c>
      <c r="H636" s="48" t="e">
        <f t="shared" si="35"/>
        <v>#N/A</v>
      </c>
      <c r="I636" s="48" t="e">
        <f t="shared" si="36"/>
        <v>#N/A</v>
      </c>
      <c r="J636" s="49" t="e">
        <f t="shared" si="34"/>
        <v>#N/A</v>
      </c>
      <c r="K636" s="53"/>
    </row>
    <row r="637" spans="1:11" ht="19" customHeight="1">
      <c r="A637" s="47"/>
      <c r="B637" s="47"/>
      <c r="C637" s="47"/>
      <c r="D637" s="47"/>
      <c r="E637" s="47"/>
      <c r="F637" s="48"/>
      <c r="G637" s="48" t="e">
        <f>VLOOKUP(D637,단가!B:D,3,0)</f>
        <v>#N/A</v>
      </c>
      <c r="H637" s="48" t="e">
        <f t="shared" si="35"/>
        <v>#N/A</v>
      </c>
      <c r="I637" s="48" t="e">
        <f t="shared" si="36"/>
        <v>#N/A</v>
      </c>
      <c r="J637" s="49" t="e">
        <f t="shared" si="34"/>
        <v>#N/A</v>
      </c>
      <c r="K637" s="53"/>
    </row>
    <row r="638" spans="1:11" ht="19" customHeight="1">
      <c r="A638" s="47"/>
      <c r="B638" s="47"/>
      <c r="C638" s="47"/>
      <c r="D638" s="47"/>
      <c r="E638" s="47"/>
      <c r="F638" s="48"/>
      <c r="G638" s="48" t="e">
        <f>VLOOKUP(D638,단가!B:D,3,0)</f>
        <v>#N/A</v>
      </c>
      <c r="H638" s="48" t="e">
        <f t="shared" si="35"/>
        <v>#N/A</v>
      </c>
      <c r="I638" s="48" t="e">
        <f t="shared" si="36"/>
        <v>#N/A</v>
      </c>
      <c r="J638" s="49" t="e">
        <f t="shared" si="34"/>
        <v>#N/A</v>
      </c>
      <c r="K638" s="53"/>
    </row>
    <row r="639" spans="1:11" ht="19" customHeight="1">
      <c r="A639" s="47"/>
      <c r="B639" s="47"/>
      <c r="C639" s="47"/>
      <c r="D639" s="47"/>
      <c r="E639" s="47"/>
      <c r="F639" s="48"/>
      <c r="G639" s="48" t="e">
        <f>VLOOKUP(D639,단가!B:D,3,0)</f>
        <v>#N/A</v>
      </c>
      <c r="H639" s="48" t="e">
        <f t="shared" si="35"/>
        <v>#N/A</v>
      </c>
      <c r="I639" s="48" t="e">
        <f t="shared" si="36"/>
        <v>#N/A</v>
      </c>
      <c r="J639" s="49" t="e">
        <f t="shared" si="34"/>
        <v>#N/A</v>
      </c>
      <c r="K639" s="53"/>
    </row>
    <row r="640" spans="1:11" ht="19" customHeight="1">
      <c r="A640" s="47"/>
      <c r="B640" s="47"/>
      <c r="C640" s="47"/>
      <c r="D640" s="47"/>
      <c r="E640" s="47"/>
      <c r="F640" s="48"/>
      <c r="G640" s="48" t="e">
        <f>VLOOKUP(D640,단가!B:D,3,0)</f>
        <v>#N/A</v>
      </c>
      <c r="H640" s="48" t="e">
        <f t="shared" si="35"/>
        <v>#N/A</v>
      </c>
      <c r="I640" s="48" t="e">
        <f t="shared" si="36"/>
        <v>#N/A</v>
      </c>
      <c r="J640" s="49" t="e">
        <f t="shared" si="34"/>
        <v>#N/A</v>
      </c>
      <c r="K640" s="53"/>
    </row>
    <row r="641" spans="1:11" ht="19" customHeight="1">
      <c r="A641" s="47"/>
      <c r="B641" s="47"/>
      <c r="C641" s="47"/>
      <c r="D641" s="47"/>
      <c r="E641" s="47"/>
      <c r="F641" s="48"/>
      <c r="G641" s="48" t="e">
        <f>VLOOKUP(D641,단가!B:D,3,0)</f>
        <v>#N/A</v>
      </c>
      <c r="H641" s="48" t="e">
        <f t="shared" si="35"/>
        <v>#N/A</v>
      </c>
      <c r="I641" s="48" t="e">
        <f t="shared" si="36"/>
        <v>#N/A</v>
      </c>
      <c r="J641" s="49" t="e">
        <f t="shared" si="34"/>
        <v>#N/A</v>
      </c>
      <c r="K641" s="53"/>
    </row>
    <row r="642" spans="1:11" ht="19" customHeight="1">
      <c r="A642" s="47"/>
      <c r="B642" s="47"/>
      <c r="C642" s="47"/>
      <c r="D642" s="47"/>
      <c r="E642" s="47"/>
      <c r="F642" s="48"/>
      <c r="G642" s="48" t="e">
        <f>VLOOKUP(D642,단가!B:D,3,0)</f>
        <v>#N/A</v>
      </c>
      <c r="H642" s="48" t="e">
        <f t="shared" si="35"/>
        <v>#N/A</v>
      </c>
      <c r="I642" s="48" t="e">
        <f t="shared" si="36"/>
        <v>#N/A</v>
      </c>
      <c r="J642" s="49" t="e">
        <f t="shared" si="34"/>
        <v>#N/A</v>
      </c>
      <c r="K642" s="53"/>
    </row>
    <row r="643" spans="1:11" ht="19" customHeight="1">
      <c r="A643" s="47"/>
      <c r="B643" s="47"/>
      <c r="C643" s="47"/>
      <c r="D643" s="47"/>
      <c r="E643" s="47"/>
      <c r="F643" s="48"/>
      <c r="G643" s="48" t="e">
        <f>VLOOKUP(D643,단가!B:D,3,0)</f>
        <v>#N/A</v>
      </c>
      <c r="H643" s="48" t="e">
        <f t="shared" si="35"/>
        <v>#N/A</v>
      </c>
      <c r="I643" s="48" t="e">
        <f t="shared" si="36"/>
        <v>#N/A</v>
      </c>
      <c r="J643" s="49" t="e">
        <f t="shared" si="34"/>
        <v>#N/A</v>
      </c>
      <c r="K643" s="53"/>
    </row>
    <row r="644" spans="1:11" ht="19" customHeight="1">
      <c r="A644" s="47"/>
      <c r="B644" s="47"/>
      <c r="C644" s="47"/>
      <c r="D644" s="47"/>
      <c r="E644" s="47"/>
      <c r="F644" s="48"/>
      <c r="G644" s="48" t="e">
        <f>VLOOKUP(D644,단가!B:D,3,0)</f>
        <v>#N/A</v>
      </c>
      <c r="H644" s="48" t="e">
        <f t="shared" si="35"/>
        <v>#N/A</v>
      </c>
      <c r="I644" s="48" t="e">
        <f t="shared" si="36"/>
        <v>#N/A</v>
      </c>
      <c r="J644" s="49" t="e">
        <f t="shared" si="34"/>
        <v>#N/A</v>
      </c>
      <c r="K644" s="53"/>
    </row>
    <row r="645" spans="1:11" ht="19" customHeight="1">
      <c r="A645" s="47"/>
      <c r="B645" s="47"/>
      <c r="C645" s="47"/>
      <c r="D645" s="47"/>
      <c r="E645" s="47"/>
      <c r="F645" s="48"/>
      <c r="G645" s="48" t="e">
        <f>VLOOKUP(D645,단가!B:D,3,0)</f>
        <v>#N/A</v>
      </c>
      <c r="H645" s="48" t="e">
        <f t="shared" si="35"/>
        <v>#N/A</v>
      </c>
      <c r="I645" s="48" t="e">
        <f t="shared" si="36"/>
        <v>#N/A</v>
      </c>
      <c r="J645" s="49" t="e">
        <f t="shared" si="34"/>
        <v>#N/A</v>
      </c>
      <c r="K645" s="53"/>
    </row>
    <row r="646" spans="1:11" ht="19" customHeight="1">
      <c r="A646" s="47"/>
      <c r="B646" s="47"/>
      <c r="C646" s="47"/>
      <c r="D646" s="47"/>
      <c r="E646" s="47"/>
      <c r="F646" s="48"/>
      <c r="G646" s="48" t="e">
        <f>VLOOKUP(D646,단가!B:D,3,0)</f>
        <v>#N/A</v>
      </c>
      <c r="H646" s="48" t="e">
        <f t="shared" si="35"/>
        <v>#N/A</v>
      </c>
      <c r="I646" s="48" t="e">
        <f t="shared" si="36"/>
        <v>#N/A</v>
      </c>
      <c r="J646" s="49" t="e">
        <f t="shared" si="34"/>
        <v>#N/A</v>
      </c>
      <c r="K646" s="53"/>
    </row>
    <row r="647" spans="1:11" ht="19" customHeight="1">
      <c r="A647" s="47"/>
      <c r="B647" s="47"/>
      <c r="C647" s="47"/>
      <c r="D647" s="47"/>
      <c r="E647" s="47"/>
      <c r="F647" s="48"/>
      <c r="G647" s="48" t="e">
        <f>VLOOKUP(D647,단가!B:D,3,0)</f>
        <v>#N/A</v>
      </c>
      <c r="H647" s="48" t="e">
        <f t="shared" si="35"/>
        <v>#N/A</v>
      </c>
      <c r="I647" s="48" t="e">
        <f t="shared" si="36"/>
        <v>#N/A</v>
      </c>
      <c r="J647" s="49" t="e">
        <f t="shared" si="34"/>
        <v>#N/A</v>
      </c>
      <c r="K647" s="53"/>
    </row>
    <row r="648" spans="1:11" ht="19" customHeight="1">
      <c r="A648" s="47"/>
      <c r="B648" s="47"/>
      <c r="C648" s="47"/>
      <c r="D648" s="47"/>
      <c r="E648" s="47"/>
      <c r="F648" s="48"/>
      <c r="G648" s="48" t="e">
        <f>VLOOKUP(D648,단가!B:D,3,0)</f>
        <v>#N/A</v>
      </c>
      <c r="H648" s="48" t="e">
        <f t="shared" si="35"/>
        <v>#N/A</v>
      </c>
      <c r="I648" s="48" t="e">
        <f t="shared" si="36"/>
        <v>#N/A</v>
      </c>
      <c r="J648" s="49" t="e">
        <f t="shared" si="34"/>
        <v>#N/A</v>
      </c>
      <c r="K648" s="53"/>
    </row>
    <row r="649" spans="1:11" ht="19" customHeight="1">
      <c r="A649" s="47"/>
      <c r="B649" s="47"/>
      <c r="C649" s="47"/>
      <c r="D649" s="47"/>
      <c r="E649" s="47"/>
      <c r="F649" s="48"/>
      <c r="G649" s="48" t="e">
        <f>VLOOKUP(D649,단가!B:D,3,0)</f>
        <v>#N/A</v>
      </c>
      <c r="H649" s="48" t="e">
        <f t="shared" si="35"/>
        <v>#N/A</v>
      </c>
      <c r="I649" s="48" t="e">
        <f t="shared" si="36"/>
        <v>#N/A</v>
      </c>
      <c r="J649" s="49" t="e">
        <f t="shared" si="34"/>
        <v>#N/A</v>
      </c>
      <c r="K649" s="53"/>
    </row>
    <row r="650" spans="1:11" ht="19" customHeight="1">
      <c r="A650" s="47"/>
      <c r="B650" s="47"/>
      <c r="C650" s="47"/>
      <c r="D650" s="47"/>
      <c r="E650" s="47"/>
      <c r="F650" s="48"/>
      <c r="G650" s="48" t="e">
        <f>VLOOKUP(D650,단가!B:D,3,0)</f>
        <v>#N/A</v>
      </c>
      <c r="H650" s="48" t="e">
        <f t="shared" si="35"/>
        <v>#N/A</v>
      </c>
      <c r="I650" s="48" t="e">
        <f t="shared" si="36"/>
        <v>#N/A</v>
      </c>
      <c r="J650" s="49" t="e">
        <f t="shared" si="34"/>
        <v>#N/A</v>
      </c>
      <c r="K650" s="53"/>
    </row>
    <row r="651" spans="1:11" ht="19" customHeight="1">
      <c r="A651" s="47"/>
      <c r="B651" s="47"/>
      <c r="C651" s="47"/>
      <c r="D651" s="47"/>
      <c r="E651" s="47"/>
      <c r="F651" s="48"/>
      <c r="G651" s="48" t="e">
        <f>VLOOKUP(D651,단가!B:D,3,0)</f>
        <v>#N/A</v>
      </c>
      <c r="H651" s="48" t="e">
        <f t="shared" si="35"/>
        <v>#N/A</v>
      </c>
      <c r="I651" s="48" t="e">
        <f t="shared" si="36"/>
        <v>#N/A</v>
      </c>
      <c r="J651" s="49" t="e">
        <f t="shared" si="34"/>
        <v>#N/A</v>
      </c>
      <c r="K651" s="53"/>
    </row>
    <row r="652" spans="1:11" ht="19" customHeight="1">
      <c r="A652" s="47"/>
      <c r="B652" s="47"/>
      <c r="C652" s="47"/>
      <c r="D652" s="47"/>
      <c r="E652" s="47"/>
      <c r="F652" s="48"/>
      <c r="G652" s="48" t="e">
        <f>VLOOKUP(D652,단가!B:D,3,0)</f>
        <v>#N/A</v>
      </c>
      <c r="H652" s="48" t="e">
        <f t="shared" si="35"/>
        <v>#N/A</v>
      </c>
      <c r="I652" s="48" t="e">
        <f t="shared" si="36"/>
        <v>#N/A</v>
      </c>
      <c r="J652" s="49" t="e">
        <f t="shared" si="34"/>
        <v>#N/A</v>
      </c>
      <c r="K652" s="53"/>
    </row>
    <row r="653" spans="1:11" ht="19" customHeight="1">
      <c r="A653" s="47"/>
      <c r="B653" s="47"/>
      <c r="C653" s="47"/>
      <c r="D653" s="47"/>
      <c r="E653" s="47"/>
      <c r="F653" s="48"/>
      <c r="G653" s="48" t="e">
        <f>VLOOKUP(D653,단가!B:D,3,0)</f>
        <v>#N/A</v>
      </c>
      <c r="H653" s="48" t="e">
        <f t="shared" si="35"/>
        <v>#N/A</v>
      </c>
      <c r="I653" s="48" t="e">
        <f t="shared" si="36"/>
        <v>#N/A</v>
      </c>
      <c r="J653" s="49" t="e">
        <f t="shared" si="34"/>
        <v>#N/A</v>
      </c>
      <c r="K653" s="53"/>
    </row>
    <row r="654" spans="1:11" ht="19" customHeight="1">
      <c r="A654" s="47"/>
      <c r="B654" s="47"/>
      <c r="C654" s="47"/>
      <c r="D654" s="47"/>
      <c r="E654" s="47"/>
      <c r="F654" s="48"/>
      <c r="G654" s="48" t="e">
        <f>VLOOKUP(D654,단가!B:D,3,0)</f>
        <v>#N/A</v>
      </c>
      <c r="H654" s="48" t="e">
        <f t="shared" si="35"/>
        <v>#N/A</v>
      </c>
      <c r="I654" s="48" t="e">
        <f t="shared" si="36"/>
        <v>#N/A</v>
      </c>
      <c r="J654" s="49" t="e">
        <f t="shared" si="34"/>
        <v>#N/A</v>
      </c>
      <c r="K654" s="53"/>
    </row>
    <row r="655" spans="1:11" ht="19" customHeight="1">
      <c r="A655" s="47"/>
      <c r="B655" s="47"/>
      <c r="C655" s="47"/>
      <c r="D655" s="47"/>
      <c r="E655" s="47"/>
      <c r="F655" s="48"/>
      <c r="G655" s="48" t="e">
        <f>VLOOKUP(D655,단가!B:D,3,0)</f>
        <v>#N/A</v>
      </c>
      <c r="H655" s="48" t="e">
        <f t="shared" si="35"/>
        <v>#N/A</v>
      </c>
      <c r="I655" s="48" t="e">
        <f t="shared" si="36"/>
        <v>#N/A</v>
      </c>
      <c r="J655" s="49" t="e">
        <f t="shared" si="34"/>
        <v>#N/A</v>
      </c>
      <c r="K655" s="53"/>
    </row>
    <row r="656" spans="1:11" ht="19" customHeight="1">
      <c r="A656" s="47"/>
      <c r="B656" s="47"/>
      <c r="C656" s="47"/>
      <c r="D656" s="47"/>
      <c r="E656" s="47"/>
      <c r="F656" s="48"/>
      <c r="G656" s="48" t="e">
        <f>VLOOKUP(D656,단가!B:D,3,0)</f>
        <v>#N/A</v>
      </c>
      <c r="H656" s="48" t="e">
        <f t="shared" si="35"/>
        <v>#N/A</v>
      </c>
      <c r="I656" s="48" t="e">
        <f t="shared" si="36"/>
        <v>#N/A</v>
      </c>
      <c r="J656" s="49" t="e">
        <f t="shared" si="34"/>
        <v>#N/A</v>
      </c>
      <c r="K656" s="53"/>
    </row>
    <row r="657" spans="1:11" ht="19" customHeight="1">
      <c r="A657" s="47"/>
      <c r="B657" s="47"/>
      <c r="C657" s="47"/>
      <c r="D657" s="47"/>
      <c r="E657" s="47"/>
      <c r="F657" s="48"/>
      <c r="G657" s="48" t="e">
        <f>VLOOKUP(D657,단가!B:D,3,0)</f>
        <v>#N/A</v>
      </c>
      <c r="H657" s="48" t="e">
        <f t="shared" si="35"/>
        <v>#N/A</v>
      </c>
      <c r="I657" s="48" t="e">
        <f t="shared" si="36"/>
        <v>#N/A</v>
      </c>
      <c r="J657" s="49" t="e">
        <f t="shared" si="34"/>
        <v>#N/A</v>
      </c>
      <c r="K657" s="53"/>
    </row>
    <row r="658" spans="1:11" ht="19" customHeight="1">
      <c r="A658" s="47"/>
      <c r="B658" s="47"/>
      <c r="C658" s="47"/>
      <c r="D658" s="47"/>
      <c r="E658" s="47"/>
      <c r="F658" s="48"/>
      <c r="G658" s="48" t="e">
        <f>VLOOKUP(D658,단가!B:D,3,0)</f>
        <v>#N/A</v>
      </c>
      <c r="H658" s="48" t="e">
        <f t="shared" si="35"/>
        <v>#N/A</v>
      </c>
      <c r="I658" s="48" t="e">
        <f t="shared" si="36"/>
        <v>#N/A</v>
      </c>
      <c r="J658" s="49" t="e">
        <f t="shared" si="34"/>
        <v>#N/A</v>
      </c>
      <c r="K658" s="53"/>
    </row>
    <row r="659" spans="1:11" ht="19" customHeight="1">
      <c r="A659" s="47"/>
      <c r="B659" s="47"/>
      <c r="C659" s="47"/>
      <c r="D659" s="47"/>
      <c r="E659" s="47"/>
      <c r="F659" s="48"/>
      <c r="G659" s="48" t="e">
        <f>VLOOKUP(D659,단가!B:D,3,0)</f>
        <v>#N/A</v>
      </c>
      <c r="H659" s="48" t="e">
        <f t="shared" si="35"/>
        <v>#N/A</v>
      </c>
      <c r="I659" s="48" t="e">
        <f t="shared" si="36"/>
        <v>#N/A</v>
      </c>
      <c r="J659" s="49" t="e">
        <f t="shared" si="34"/>
        <v>#N/A</v>
      </c>
      <c r="K659" s="53"/>
    </row>
    <row r="660" spans="1:11" ht="19" customHeight="1">
      <c r="A660" s="47"/>
      <c r="B660" s="47"/>
      <c r="C660" s="47"/>
      <c r="D660" s="47"/>
      <c r="E660" s="47"/>
      <c r="F660" s="48"/>
      <c r="G660" s="48" t="e">
        <f>VLOOKUP(D660,단가!B:D,3,0)</f>
        <v>#N/A</v>
      </c>
      <c r="H660" s="48" t="e">
        <f t="shared" si="35"/>
        <v>#N/A</v>
      </c>
      <c r="I660" s="48" t="e">
        <f t="shared" si="36"/>
        <v>#N/A</v>
      </c>
      <c r="J660" s="49" t="e">
        <f t="shared" si="34"/>
        <v>#N/A</v>
      </c>
      <c r="K660" s="53"/>
    </row>
    <row r="661" spans="1:11" ht="19" customHeight="1">
      <c r="A661" s="47"/>
      <c r="B661" s="47"/>
      <c r="C661" s="47"/>
      <c r="D661" s="47"/>
      <c r="E661" s="47"/>
      <c r="F661" s="48"/>
      <c r="G661" s="48" t="e">
        <f>VLOOKUP(D661,단가!B:D,3,0)</f>
        <v>#N/A</v>
      </c>
      <c r="H661" s="48" t="e">
        <f t="shared" si="35"/>
        <v>#N/A</v>
      </c>
      <c r="I661" s="48" t="e">
        <f t="shared" si="36"/>
        <v>#N/A</v>
      </c>
      <c r="J661" s="49" t="e">
        <f t="shared" si="34"/>
        <v>#N/A</v>
      </c>
      <c r="K661" s="53"/>
    </row>
    <row r="662" spans="1:11" ht="19" customHeight="1">
      <c r="A662" s="47"/>
      <c r="B662" s="47"/>
      <c r="C662" s="47"/>
      <c r="D662" s="47"/>
      <c r="E662" s="47"/>
      <c r="F662" s="48"/>
      <c r="G662" s="48" t="e">
        <f>VLOOKUP(D662,단가!B:D,3,0)</f>
        <v>#N/A</v>
      </c>
      <c r="H662" s="48" t="e">
        <f t="shared" si="35"/>
        <v>#N/A</v>
      </c>
      <c r="I662" s="48" t="e">
        <f t="shared" si="36"/>
        <v>#N/A</v>
      </c>
      <c r="J662" s="49" t="e">
        <f t="shared" si="34"/>
        <v>#N/A</v>
      </c>
      <c r="K662" s="53"/>
    </row>
    <row r="663" spans="1:11" ht="19" customHeight="1">
      <c r="A663" s="47"/>
      <c r="B663" s="47"/>
      <c r="C663" s="47"/>
      <c r="D663" s="47"/>
      <c r="E663" s="47"/>
      <c r="F663" s="48"/>
      <c r="G663" s="48" t="e">
        <f>VLOOKUP(D663,단가!B:D,3,0)</f>
        <v>#N/A</v>
      </c>
      <c r="H663" s="48" t="e">
        <f t="shared" si="35"/>
        <v>#N/A</v>
      </c>
      <c r="I663" s="48" t="e">
        <f t="shared" si="36"/>
        <v>#N/A</v>
      </c>
      <c r="J663" s="49" t="e">
        <f t="shared" si="34"/>
        <v>#N/A</v>
      </c>
      <c r="K663" s="53"/>
    </row>
    <row r="664" spans="1:11" ht="19" customHeight="1">
      <c r="A664" s="47"/>
      <c r="B664" s="47"/>
      <c r="C664" s="47"/>
      <c r="D664" s="47"/>
      <c r="E664" s="47"/>
      <c r="F664" s="48"/>
      <c r="G664" s="48" t="e">
        <f>VLOOKUP(D664,단가!B:D,3,0)</f>
        <v>#N/A</v>
      </c>
      <c r="H664" s="48" t="e">
        <f t="shared" si="35"/>
        <v>#N/A</v>
      </c>
      <c r="I664" s="48" t="e">
        <f t="shared" si="36"/>
        <v>#N/A</v>
      </c>
      <c r="J664" s="49" t="e">
        <f t="shared" si="34"/>
        <v>#N/A</v>
      </c>
      <c r="K664" s="53"/>
    </row>
    <row r="665" spans="1:11" ht="19" customHeight="1">
      <c r="A665" s="47"/>
      <c r="B665" s="47"/>
      <c r="C665" s="47"/>
      <c r="D665" s="47"/>
      <c r="E665" s="47"/>
      <c r="F665" s="48"/>
      <c r="G665" s="48" t="e">
        <f>VLOOKUP(D665,단가!B:D,3,0)</f>
        <v>#N/A</v>
      </c>
      <c r="H665" s="48" t="e">
        <f t="shared" si="35"/>
        <v>#N/A</v>
      </c>
      <c r="I665" s="48" t="e">
        <f t="shared" si="36"/>
        <v>#N/A</v>
      </c>
      <c r="J665" s="49" t="e">
        <f t="shared" si="34"/>
        <v>#N/A</v>
      </c>
      <c r="K665" s="53"/>
    </row>
    <row r="666" spans="1:11" ht="19" customHeight="1">
      <c r="A666" s="47"/>
      <c r="B666" s="47"/>
      <c r="C666" s="47"/>
      <c r="D666" s="47"/>
      <c r="E666" s="47"/>
      <c r="F666" s="48"/>
      <c r="G666" s="48" t="e">
        <f>VLOOKUP(D666,단가!B:D,3,0)</f>
        <v>#N/A</v>
      </c>
      <c r="H666" s="48" t="e">
        <f t="shared" si="35"/>
        <v>#N/A</v>
      </c>
      <c r="I666" s="48" t="e">
        <f t="shared" si="36"/>
        <v>#N/A</v>
      </c>
      <c r="J666" s="49" t="e">
        <f t="shared" si="34"/>
        <v>#N/A</v>
      </c>
      <c r="K666" s="53"/>
    </row>
    <row r="667" spans="1:11" ht="19" customHeight="1">
      <c r="A667" s="47"/>
      <c r="B667" s="47"/>
      <c r="C667" s="47"/>
      <c r="D667" s="47"/>
      <c r="E667" s="47"/>
      <c r="F667" s="48"/>
      <c r="G667" s="48" t="e">
        <f>VLOOKUP(D667,단가!B:D,3,0)</f>
        <v>#N/A</v>
      </c>
      <c r="H667" s="48" t="e">
        <f t="shared" si="35"/>
        <v>#N/A</v>
      </c>
      <c r="I667" s="48" t="e">
        <f t="shared" si="36"/>
        <v>#N/A</v>
      </c>
      <c r="J667" s="49" t="e">
        <f t="shared" si="34"/>
        <v>#N/A</v>
      </c>
      <c r="K667" s="53"/>
    </row>
    <row r="668" spans="1:11" ht="19" customHeight="1">
      <c r="A668" s="47"/>
      <c r="B668" s="47"/>
      <c r="C668" s="47"/>
      <c r="D668" s="47"/>
      <c r="E668" s="47"/>
      <c r="F668" s="48"/>
      <c r="G668" s="48" t="e">
        <f>VLOOKUP(D668,단가!B:D,3,0)</f>
        <v>#N/A</v>
      </c>
      <c r="H668" s="48" t="e">
        <f t="shared" si="35"/>
        <v>#N/A</v>
      </c>
      <c r="I668" s="48" t="e">
        <f t="shared" si="36"/>
        <v>#N/A</v>
      </c>
      <c r="J668" s="49" t="e">
        <f t="shared" si="34"/>
        <v>#N/A</v>
      </c>
      <c r="K668" s="53"/>
    </row>
    <row r="669" spans="1:11" ht="19" customHeight="1">
      <c r="A669" s="47"/>
      <c r="B669" s="47"/>
      <c r="C669" s="47"/>
      <c r="D669" s="47"/>
      <c r="E669" s="47"/>
      <c r="F669" s="48"/>
      <c r="G669" s="48" t="e">
        <f>VLOOKUP(D669,단가!B:D,3,0)</f>
        <v>#N/A</v>
      </c>
      <c r="H669" s="48" t="e">
        <f t="shared" si="35"/>
        <v>#N/A</v>
      </c>
      <c r="I669" s="48" t="e">
        <f t="shared" si="36"/>
        <v>#N/A</v>
      </c>
      <c r="J669" s="49" t="e">
        <f t="shared" si="34"/>
        <v>#N/A</v>
      </c>
      <c r="K669" s="53"/>
    </row>
    <row r="670" spans="1:11" ht="19" customHeight="1">
      <c r="A670" s="47"/>
      <c r="B670" s="47"/>
      <c r="C670" s="47"/>
      <c r="D670" s="47"/>
      <c r="E670" s="47"/>
      <c r="F670" s="48"/>
      <c r="G670" s="48" t="e">
        <f>VLOOKUP(D670,단가!B:D,3,0)</f>
        <v>#N/A</v>
      </c>
      <c r="H670" s="48" t="e">
        <f t="shared" si="35"/>
        <v>#N/A</v>
      </c>
      <c r="I670" s="48" t="e">
        <f t="shared" si="36"/>
        <v>#N/A</v>
      </c>
      <c r="J670" s="49" t="e">
        <f t="shared" si="34"/>
        <v>#N/A</v>
      </c>
      <c r="K670" s="53"/>
    </row>
    <row r="671" spans="1:11" ht="19" customHeight="1">
      <c r="A671" s="47"/>
      <c r="B671" s="47"/>
      <c r="C671" s="47"/>
      <c r="D671" s="47"/>
      <c r="E671" s="47"/>
      <c r="F671" s="48"/>
      <c r="G671" s="48" t="e">
        <f>VLOOKUP(D671,단가!B:D,3,0)</f>
        <v>#N/A</v>
      </c>
      <c r="H671" s="48" t="e">
        <f t="shared" si="35"/>
        <v>#N/A</v>
      </c>
      <c r="I671" s="48" t="e">
        <f t="shared" si="36"/>
        <v>#N/A</v>
      </c>
      <c r="J671" s="49" t="e">
        <f t="shared" si="34"/>
        <v>#N/A</v>
      </c>
      <c r="K671" s="53"/>
    </row>
    <row r="672" spans="1:11" ht="19" customHeight="1">
      <c r="A672" s="47"/>
      <c r="B672" s="47"/>
      <c r="C672" s="47"/>
      <c r="D672" s="47"/>
      <c r="E672" s="47"/>
      <c r="F672" s="48"/>
      <c r="G672" s="48" t="e">
        <f>VLOOKUP(D672,단가!B:D,3,0)</f>
        <v>#N/A</v>
      </c>
      <c r="H672" s="48" t="e">
        <f t="shared" si="35"/>
        <v>#N/A</v>
      </c>
      <c r="I672" s="48" t="e">
        <f t="shared" si="36"/>
        <v>#N/A</v>
      </c>
      <c r="J672" s="49" t="e">
        <f t="shared" si="34"/>
        <v>#N/A</v>
      </c>
      <c r="K672" s="53"/>
    </row>
    <row r="673" spans="1:11" ht="19" customHeight="1">
      <c r="A673" s="47"/>
      <c r="B673" s="47"/>
      <c r="C673" s="47"/>
      <c r="D673" s="47"/>
      <c r="E673" s="47"/>
      <c r="F673" s="48"/>
      <c r="G673" s="48" t="e">
        <f>VLOOKUP(D673,단가!B:D,3,0)</f>
        <v>#N/A</v>
      </c>
      <c r="H673" s="48" t="e">
        <f t="shared" si="35"/>
        <v>#N/A</v>
      </c>
      <c r="I673" s="48" t="e">
        <f t="shared" si="36"/>
        <v>#N/A</v>
      </c>
      <c r="J673" s="49" t="e">
        <f t="shared" si="34"/>
        <v>#N/A</v>
      </c>
      <c r="K673" s="53"/>
    </row>
    <row r="674" spans="1:11" ht="19" customHeight="1">
      <c r="A674" s="47"/>
      <c r="B674" s="47"/>
      <c r="C674" s="47"/>
      <c r="D674" s="47"/>
      <c r="E674" s="47"/>
      <c r="F674" s="48"/>
      <c r="G674" s="48" t="e">
        <f>VLOOKUP(D674,단가!B:D,3,0)</f>
        <v>#N/A</v>
      </c>
      <c r="H674" s="48" t="e">
        <f t="shared" si="35"/>
        <v>#N/A</v>
      </c>
      <c r="I674" s="48" t="e">
        <f t="shared" si="36"/>
        <v>#N/A</v>
      </c>
      <c r="J674" s="49" t="e">
        <f t="shared" si="34"/>
        <v>#N/A</v>
      </c>
      <c r="K674" s="53"/>
    </row>
    <row r="675" spans="1:11" ht="19" customHeight="1">
      <c r="A675" s="47"/>
      <c r="B675" s="47"/>
      <c r="C675" s="47"/>
      <c r="D675" s="47"/>
      <c r="E675" s="47"/>
      <c r="F675" s="48"/>
      <c r="G675" s="48" t="e">
        <f>VLOOKUP(D675,단가!B:D,3,0)</f>
        <v>#N/A</v>
      </c>
      <c r="H675" s="48" t="e">
        <f t="shared" si="35"/>
        <v>#N/A</v>
      </c>
      <c r="I675" s="48" t="e">
        <f t="shared" si="36"/>
        <v>#N/A</v>
      </c>
      <c r="J675" s="49" t="e">
        <f t="shared" si="34"/>
        <v>#N/A</v>
      </c>
      <c r="K675" s="53"/>
    </row>
    <row r="676" spans="1:11" ht="19" customHeight="1">
      <c r="A676" s="47"/>
      <c r="B676" s="47"/>
      <c r="C676" s="47"/>
      <c r="D676" s="47"/>
      <c r="E676" s="47"/>
      <c r="F676" s="48"/>
      <c r="G676" s="48" t="e">
        <f>VLOOKUP(D676,단가!B:D,3,0)</f>
        <v>#N/A</v>
      </c>
      <c r="H676" s="48" t="e">
        <f t="shared" si="35"/>
        <v>#N/A</v>
      </c>
      <c r="I676" s="48" t="e">
        <f t="shared" si="36"/>
        <v>#N/A</v>
      </c>
      <c r="J676" s="49" t="e">
        <f t="shared" si="34"/>
        <v>#N/A</v>
      </c>
      <c r="K676" s="53"/>
    </row>
    <row r="677" spans="1:11" ht="19" customHeight="1">
      <c r="A677" s="47"/>
      <c r="B677" s="47"/>
      <c r="C677" s="47"/>
      <c r="D677" s="47"/>
      <c r="E677" s="47"/>
      <c r="F677" s="48"/>
      <c r="G677" s="48" t="e">
        <f>VLOOKUP(D677,단가!B:D,3,0)</f>
        <v>#N/A</v>
      </c>
      <c r="H677" s="48" t="e">
        <f t="shared" si="35"/>
        <v>#N/A</v>
      </c>
      <c r="I677" s="48" t="e">
        <f t="shared" si="36"/>
        <v>#N/A</v>
      </c>
      <c r="J677" s="49" t="e">
        <f t="shared" si="34"/>
        <v>#N/A</v>
      </c>
      <c r="K677" s="53"/>
    </row>
    <row r="678" spans="1:11" ht="19" customHeight="1">
      <c r="A678" s="47"/>
      <c r="B678" s="47"/>
      <c r="C678" s="47"/>
      <c r="D678" s="47"/>
      <c r="E678" s="47"/>
      <c r="F678" s="48"/>
      <c r="G678" s="48" t="e">
        <f>VLOOKUP(D678,단가!B:D,3,0)</f>
        <v>#N/A</v>
      </c>
      <c r="H678" s="48" t="e">
        <f t="shared" si="35"/>
        <v>#N/A</v>
      </c>
      <c r="I678" s="48" t="e">
        <f t="shared" si="36"/>
        <v>#N/A</v>
      </c>
      <c r="J678" s="49" t="e">
        <f t="shared" si="34"/>
        <v>#N/A</v>
      </c>
      <c r="K678" s="53"/>
    </row>
    <row r="679" spans="1:11" ht="19" customHeight="1">
      <c r="A679" s="47"/>
      <c r="B679" s="47"/>
      <c r="C679" s="47"/>
      <c r="D679" s="47"/>
      <c r="E679" s="47"/>
      <c r="F679" s="48"/>
      <c r="G679" s="48" t="e">
        <f>VLOOKUP(D679,단가!B:D,3,0)</f>
        <v>#N/A</v>
      </c>
      <c r="H679" s="48" t="e">
        <f t="shared" si="35"/>
        <v>#N/A</v>
      </c>
      <c r="I679" s="48" t="e">
        <f t="shared" si="36"/>
        <v>#N/A</v>
      </c>
      <c r="J679" s="49" t="e">
        <f t="shared" si="34"/>
        <v>#N/A</v>
      </c>
      <c r="K679" s="53"/>
    </row>
    <row r="680" spans="1:11" ht="19" customHeight="1">
      <c r="A680" s="47"/>
      <c r="B680" s="47"/>
      <c r="C680" s="47"/>
      <c r="D680" s="47"/>
      <c r="E680" s="47"/>
      <c r="F680" s="48"/>
      <c r="G680" s="48" t="e">
        <f>VLOOKUP(D680,단가!B:D,3,0)</f>
        <v>#N/A</v>
      </c>
      <c r="H680" s="48" t="e">
        <f t="shared" si="35"/>
        <v>#N/A</v>
      </c>
      <c r="I680" s="48" t="e">
        <f t="shared" si="36"/>
        <v>#N/A</v>
      </c>
      <c r="J680" s="49" t="e">
        <f t="shared" si="34"/>
        <v>#N/A</v>
      </c>
      <c r="K680" s="53"/>
    </row>
    <row r="681" spans="1:11" ht="19" customHeight="1">
      <c r="A681" s="47"/>
      <c r="B681" s="47"/>
      <c r="C681" s="47"/>
      <c r="D681" s="47"/>
      <c r="E681" s="47"/>
      <c r="F681" s="48"/>
      <c r="G681" s="48" t="e">
        <f>VLOOKUP(D681,단가!B:D,3,0)</f>
        <v>#N/A</v>
      </c>
      <c r="H681" s="48" t="e">
        <f t="shared" si="35"/>
        <v>#N/A</v>
      </c>
      <c r="I681" s="48" t="e">
        <f t="shared" si="36"/>
        <v>#N/A</v>
      </c>
      <c r="J681" s="49" t="e">
        <f t="shared" si="34"/>
        <v>#N/A</v>
      </c>
      <c r="K681" s="53"/>
    </row>
    <row r="682" spans="1:11" ht="19" customHeight="1">
      <c r="A682" s="47"/>
      <c r="B682" s="47"/>
      <c r="C682" s="47"/>
      <c r="D682" s="47"/>
      <c r="E682" s="47"/>
      <c r="F682" s="48"/>
      <c r="G682" s="48" t="e">
        <f>VLOOKUP(D682,단가!B:D,3,0)</f>
        <v>#N/A</v>
      </c>
      <c r="H682" s="48" t="e">
        <f t="shared" si="35"/>
        <v>#N/A</v>
      </c>
      <c r="I682" s="48" t="e">
        <f t="shared" si="36"/>
        <v>#N/A</v>
      </c>
      <c r="J682" s="49" t="e">
        <f t="shared" si="34"/>
        <v>#N/A</v>
      </c>
      <c r="K682" s="53"/>
    </row>
    <row r="683" spans="1:11" ht="19" customHeight="1">
      <c r="A683" s="47"/>
      <c r="B683" s="47"/>
      <c r="C683" s="47"/>
      <c r="D683" s="47"/>
      <c r="E683" s="47"/>
      <c r="F683" s="48"/>
      <c r="G683" s="48" t="e">
        <f>VLOOKUP(D683,단가!B:D,3,0)</f>
        <v>#N/A</v>
      </c>
      <c r="H683" s="48" t="e">
        <f t="shared" si="35"/>
        <v>#N/A</v>
      </c>
      <c r="I683" s="48" t="e">
        <f t="shared" si="36"/>
        <v>#N/A</v>
      </c>
      <c r="J683" s="49" t="e">
        <f t="shared" si="34"/>
        <v>#N/A</v>
      </c>
      <c r="K683" s="53"/>
    </row>
    <row r="684" spans="1:11" ht="19" customHeight="1">
      <c r="A684" s="47"/>
      <c r="B684" s="47"/>
      <c r="C684" s="47"/>
      <c r="D684" s="47"/>
      <c r="E684" s="47"/>
      <c r="F684" s="48"/>
      <c r="G684" s="48" t="e">
        <f>VLOOKUP(D684,단가!B:D,3,0)</f>
        <v>#N/A</v>
      </c>
      <c r="H684" s="48" t="e">
        <f t="shared" si="35"/>
        <v>#N/A</v>
      </c>
      <c r="I684" s="48" t="e">
        <f t="shared" si="36"/>
        <v>#N/A</v>
      </c>
      <c r="J684" s="49" t="e">
        <f t="shared" si="34"/>
        <v>#N/A</v>
      </c>
      <c r="K684" s="53"/>
    </row>
    <row r="685" spans="1:11" ht="19" customHeight="1">
      <c r="A685" s="47"/>
      <c r="B685" s="47"/>
      <c r="C685" s="47"/>
      <c r="D685" s="47"/>
      <c r="E685" s="47"/>
      <c r="F685" s="48"/>
      <c r="G685" s="48" t="e">
        <f>VLOOKUP(D685,단가!B:D,3,0)</f>
        <v>#N/A</v>
      </c>
      <c r="H685" s="48" t="e">
        <f t="shared" si="35"/>
        <v>#N/A</v>
      </c>
      <c r="I685" s="48" t="e">
        <f t="shared" si="36"/>
        <v>#N/A</v>
      </c>
      <c r="J685" s="49" t="e">
        <f t="shared" si="34"/>
        <v>#N/A</v>
      </c>
      <c r="K685" s="53"/>
    </row>
    <row r="686" spans="1:11" ht="19" customHeight="1">
      <c r="A686" s="47"/>
      <c r="B686" s="47"/>
      <c r="C686" s="47"/>
      <c r="D686" s="47"/>
      <c r="E686" s="47"/>
      <c r="F686" s="48"/>
      <c r="G686" s="48" t="e">
        <f>VLOOKUP(D686,단가!B:D,3,0)</f>
        <v>#N/A</v>
      </c>
      <c r="H686" s="48" t="e">
        <f t="shared" si="35"/>
        <v>#N/A</v>
      </c>
      <c r="I686" s="48" t="e">
        <f t="shared" si="36"/>
        <v>#N/A</v>
      </c>
      <c r="J686" s="49" t="e">
        <f t="shared" si="34"/>
        <v>#N/A</v>
      </c>
      <c r="K686" s="53"/>
    </row>
    <row r="687" spans="1:11" ht="19" customHeight="1">
      <c r="A687" s="47"/>
      <c r="B687" s="47"/>
      <c r="C687" s="47"/>
      <c r="D687" s="47"/>
      <c r="E687" s="47"/>
      <c r="F687" s="48"/>
      <c r="G687" s="48" t="e">
        <f>VLOOKUP(D687,단가!B:D,3,0)</f>
        <v>#N/A</v>
      </c>
      <c r="H687" s="48" t="e">
        <f t="shared" si="35"/>
        <v>#N/A</v>
      </c>
      <c r="I687" s="48" t="e">
        <f t="shared" si="36"/>
        <v>#N/A</v>
      </c>
      <c r="J687" s="49" t="e">
        <f t="shared" si="34"/>
        <v>#N/A</v>
      </c>
      <c r="K687" s="53"/>
    </row>
    <row r="688" spans="1:11" ht="19" customHeight="1">
      <c r="A688" s="47"/>
      <c r="B688" s="47"/>
      <c r="C688" s="47"/>
      <c r="D688" s="47"/>
      <c r="E688" s="47"/>
      <c r="F688" s="48"/>
      <c r="G688" s="48" t="e">
        <f>VLOOKUP(D688,단가!B:D,3,0)</f>
        <v>#N/A</v>
      </c>
      <c r="H688" s="48" t="e">
        <f t="shared" si="35"/>
        <v>#N/A</v>
      </c>
      <c r="I688" s="48" t="e">
        <f t="shared" si="36"/>
        <v>#N/A</v>
      </c>
      <c r="J688" s="49" t="e">
        <f t="shared" si="34"/>
        <v>#N/A</v>
      </c>
      <c r="K688" s="53"/>
    </row>
    <row r="689" spans="1:11" ht="19" customHeight="1">
      <c r="A689" s="47"/>
      <c r="B689" s="47"/>
      <c r="C689" s="47"/>
      <c r="D689" s="47"/>
      <c r="E689" s="47"/>
      <c r="F689" s="48"/>
      <c r="G689" s="48" t="e">
        <f>VLOOKUP(D689,단가!B:D,3,0)</f>
        <v>#N/A</v>
      </c>
      <c r="H689" s="48" t="e">
        <f t="shared" si="35"/>
        <v>#N/A</v>
      </c>
      <c r="I689" s="48" t="e">
        <f t="shared" si="36"/>
        <v>#N/A</v>
      </c>
      <c r="J689" s="49" t="e">
        <f t="shared" si="34"/>
        <v>#N/A</v>
      </c>
      <c r="K689" s="53"/>
    </row>
    <row r="690" spans="1:11" ht="19" customHeight="1">
      <c r="A690" s="47"/>
      <c r="B690" s="47"/>
      <c r="C690" s="47"/>
      <c r="D690" s="47"/>
      <c r="E690" s="47"/>
      <c r="F690" s="48"/>
      <c r="G690" s="48" t="e">
        <f>VLOOKUP(D690,단가!B:D,3,0)</f>
        <v>#N/A</v>
      </c>
      <c r="H690" s="48" t="e">
        <f t="shared" si="35"/>
        <v>#N/A</v>
      </c>
      <c r="I690" s="48" t="e">
        <f t="shared" si="36"/>
        <v>#N/A</v>
      </c>
      <c r="J690" s="49" t="e">
        <f t="shared" si="34"/>
        <v>#N/A</v>
      </c>
      <c r="K690" s="53"/>
    </row>
    <row r="691" spans="1:11" ht="19" customHeight="1">
      <c r="A691" s="47"/>
      <c r="B691" s="47"/>
      <c r="C691" s="47"/>
      <c r="D691" s="47"/>
      <c r="E691" s="47"/>
      <c r="F691" s="48"/>
      <c r="G691" s="48" t="e">
        <f>VLOOKUP(D691,단가!B:D,3,0)</f>
        <v>#N/A</v>
      </c>
      <c r="H691" s="48" t="e">
        <f t="shared" si="35"/>
        <v>#N/A</v>
      </c>
      <c r="I691" s="48" t="e">
        <f t="shared" si="36"/>
        <v>#N/A</v>
      </c>
      <c r="J691" s="49" t="e">
        <f t="shared" si="34"/>
        <v>#N/A</v>
      </c>
      <c r="K691" s="53"/>
    </row>
    <row r="692" spans="1:11" ht="19" customHeight="1">
      <c r="A692" s="47"/>
      <c r="B692" s="47"/>
      <c r="C692" s="47"/>
      <c r="D692" s="47"/>
      <c r="E692" s="47"/>
      <c r="F692" s="48"/>
      <c r="G692" s="48" t="e">
        <f>VLOOKUP(D692,단가!B:D,3,0)</f>
        <v>#N/A</v>
      </c>
      <c r="H692" s="48" t="e">
        <f t="shared" si="35"/>
        <v>#N/A</v>
      </c>
      <c r="I692" s="48" t="e">
        <f t="shared" si="36"/>
        <v>#N/A</v>
      </c>
      <c r="J692" s="49" t="e">
        <f t="shared" si="34"/>
        <v>#N/A</v>
      </c>
      <c r="K692" s="53"/>
    </row>
    <row r="693" spans="1:11" ht="19" customHeight="1">
      <c r="A693" s="47"/>
      <c r="B693" s="47"/>
      <c r="C693" s="47"/>
      <c r="D693" s="47"/>
      <c r="E693" s="47"/>
      <c r="F693" s="48"/>
      <c r="G693" s="48" t="e">
        <f>VLOOKUP(D693,단가!B:D,3,0)</f>
        <v>#N/A</v>
      </c>
      <c r="H693" s="48" t="e">
        <f t="shared" si="35"/>
        <v>#N/A</v>
      </c>
      <c r="I693" s="48" t="e">
        <f t="shared" si="36"/>
        <v>#N/A</v>
      </c>
      <c r="J693" s="49" t="e">
        <f t="shared" si="34"/>
        <v>#N/A</v>
      </c>
      <c r="K693" s="53"/>
    </row>
    <row r="694" spans="1:11" ht="19" customHeight="1">
      <c r="A694" s="47"/>
      <c r="B694" s="47"/>
      <c r="C694" s="47"/>
      <c r="D694" s="47"/>
      <c r="E694" s="47"/>
      <c r="F694" s="48"/>
      <c r="G694" s="48" t="e">
        <f>VLOOKUP(D694,단가!B:D,3,0)</f>
        <v>#N/A</v>
      </c>
      <c r="H694" s="48" t="e">
        <f t="shared" si="35"/>
        <v>#N/A</v>
      </c>
      <c r="I694" s="48" t="e">
        <f t="shared" si="36"/>
        <v>#N/A</v>
      </c>
      <c r="J694" s="49" t="e">
        <f t="shared" ref="J694:J748" si="37">H694+I694</f>
        <v>#N/A</v>
      </c>
      <c r="K694" s="53"/>
    </row>
    <row r="695" spans="1:11" ht="19" customHeight="1">
      <c r="A695" s="47"/>
      <c r="B695" s="47"/>
      <c r="C695" s="47"/>
      <c r="D695" s="47"/>
      <c r="E695" s="47"/>
      <c r="F695" s="48"/>
      <c r="G695" s="48" t="e">
        <f>VLOOKUP(D695,단가!B:D,3,0)</f>
        <v>#N/A</v>
      </c>
      <c r="H695" s="48" t="e">
        <f t="shared" ref="H695:H748" si="38">F695*G695</f>
        <v>#N/A</v>
      </c>
      <c r="I695" s="48" t="e">
        <f t="shared" ref="I695:I748" si="39">H695*0.1</f>
        <v>#N/A</v>
      </c>
      <c r="J695" s="49" t="e">
        <f t="shared" si="37"/>
        <v>#N/A</v>
      </c>
      <c r="K695" s="53"/>
    </row>
    <row r="696" spans="1:11" ht="19" customHeight="1">
      <c r="A696" s="47"/>
      <c r="B696" s="47"/>
      <c r="C696" s="47"/>
      <c r="D696" s="47"/>
      <c r="E696" s="47"/>
      <c r="F696" s="48"/>
      <c r="G696" s="48" t="e">
        <f>VLOOKUP(D696,단가!B:D,3,0)</f>
        <v>#N/A</v>
      </c>
      <c r="H696" s="48" t="e">
        <f t="shared" si="38"/>
        <v>#N/A</v>
      </c>
      <c r="I696" s="48" t="e">
        <f t="shared" si="39"/>
        <v>#N/A</v>
      </c>
      <c r="J696" s="49" t="e">
        <f t="shared" si="37"/>
        <v>#N/A</v>
      </c>
      <c r="K696" s="53"/>
    </row>
    <row r="697" spans="1:11" ht="19" customHeight="1">
      <c r="A697" s="47"/>
      <c r="B697" s="47"/>
      <c r="C697" s="47"/>
      <c r="D697" s="47"/>
      <c r="E697" s="47"/>
      <c r="F697" s="48"/>
      <c r="G697" s="48" t="e">
        <f>VLOOKUP(D697,단가!B:D,3,0)</f>
        <v>#N/A</v>
      </c>
      <c r="H697" s="48" t="e">
        <f t="shared" si="38"/>
        <v>#N/A</v>
      </c>
      <c r="I697" s="48" t="e">
        <f t="shared" si="39"/>
        <v>#N/A</v>
      </c>
      <c r="J697" s="49" t="e">
        <f t="shared" si="37"/>
        <v>#N/A</v>
      </c>
      <c r="K697" s="53"/>
    </row>
    <row r="698" spans="1:11" ht="19" customHeight="1">
      <c r="A698" s="47"/>
      <c r="B698" s="47"/>
      <c r="C698" s="47"/>
      <c r="D698" s="47"/>
      <c r="E698" s="47"/>
      <c r="F698" s="48"/>
      <c r="G698" s="48" t="e">
        <f>VLOOKUP(D698,단가!B:D,3,0)</f>
        <v>#N/A</v>
      </c>
      <c r="H698" s="48" t="e">
        <f t="shared" si="38"/>
        <v>#N/A</v>
      </c>
      <c r="I698" s="48" t="e">
        <f t="shared" si="39"/>
        <v>#N/A</v>
      </c>
      <c r="J698" s="49" t="e">
        <f t="shared" si="37"/>
        <v>#N/A</v>
      </c>
      <c r="K698" s="53"/>
    </row>
    <row r="699" spans="1:11" ht="19" customHeight="1">
      <c r="A699" s="47"/>
      <c r="B699" s="47"/>
      <c r="C699" s="47"/>
      <c r="D699" s="47"/>
      <c r="E699" s="47"/>
      <c r="F699" s="48"/>
      <c r="G699" s="48" t="e">
        <f>VLOOKUP(D699,단가!B:D,3,0)</f>
        <v>#N/A</v>
      </c>
      <c r="H699" s="48" t="e">
        <f t="shared" si="38"/>
        <v>#N/A</v>
      </c>
      <c r="I699" s="48" t="e">
        <f t="shared" si="39"/>
        <v>#N/A</v>
      </c>
      <c r="J699" s="49" t="e">
        <f t="shared" si="37"/>
        <v>#N/A</v>
      </c>
      <c r="K699" s="53"/>
    </row>
    <row r="700" spans="1:11" ht="19" customHeight="1">
      <c r="A700" s="47"/>
      <c r="B700" s="47"/>
      <c r="C700" s="47"/>
      <c r="D700" s="47"/>
      <c r="E700" s="47"/>
      <c r="F700" s="48"/>
      <c r="G700" s="48" t="e">
        <f>VLOOKUP(D700,단가!B:D,3,0)</f>
        <v>#N/A</v>
      </c>
      <c r="H700" s="48" t="e">
        <f t="shared" si="38"/>
        <v>#N/A</v>
      </c>
      <c r="I700" s="48" t="e">
        <f t="shared" si="39"/>
        <v>#N/A</v>
      </c>
      <c r="J700" s="49" t="e">
        <f t="shared" si="37"/>
        <v>#N/A</v>
      </c>
      <c r="K700" s="53"/>
    </row>
    <row r="701" spans="1:11" ht="19" customHeight="1">
      <c r="A701" s="47"/>
      <c r="B701" s="47"/>
      <c r="C701" s="47"/>
      <c r="D701" s="47"/>
      <c r="E701" s="47"/>
      <c r="F701" s="48"/>
      <c r="G701" s="48" t="e">
        <f>VLOOKUP(D701,단가!B:D,3,0)</f>
        <v>#N/A</v>
      </c>
      <c r="H701" s="48" t="e">
        <f t="shared" si="38"/>
        <v>#N/A</v>
      </c>
      <c r="I701" s="48" t="e">
        <f t="shared" si="39"/>
        <v>#N/A</v>
      </c>
      <c r="J701" s="49" t="e">
        <f t="shared" si="37"/>
        <v>#N/A</v>
      </c>
      <c r="K701" s="53"/>
    </row>
    <row r="702" spans="1:11" ht="19" customHeight="1">
      <c r="A702" s="47"/>
      <c r="B702" s="47"/>
      <c r="C702" s="47"/>
      <c r="D702" s="47"/>
      <c r="E702" s="47"/>
      <c r="F702" s="48"/>
      <c r="G702" s="48" t="e">
        <f>VLOOKUP(D702,단가!B:D,3,0)</f>
        <v>#N/A</v>
      </c>
      <c r="H702" s="48" t="e">
        <f t="shared" si="38"/>
        <v>#N/A</v>
      </c>
      <c r="I702" s="48" t="e">
        <f t="shared" si="39"/>
        <v>#N/A</v>
      </c>
      <c r="J702" s="49" t="e">
        <f t="shared" si="37"/>
        <v>#N/A</v>
      </c>
      <c r="K702" s="53"/>
    </row>
    <row r="703" spans="1:11" ht="19" customHeight="1">
      <c r="A703" s="47"/>
      <c r="B703" s="47"/>
      <c r="C703" s="47"/>
      <c r="D703" s="47"/>
      <c r="E703" s="47"/>
      <c r="F703" s="48"/>
      <c r="G703" s="48" t="e">
        <f>VLOOKUP(D703,단가!B:D,3,0)</f>
        <v>#N/A</v>
      </c>
      <c r="H703" s="48" t="e">
        <f t="shared" si="38"/>
        <v>#N/A</v>
      </c>
      <c r="I703" s="48" t="e">
        <f t="shared" si="39"/>
        <v>#N/A</v>
      </c>
      <c r="J703" s="49" t="e">
        <f t="shared" si="37"/>
        <v>#N/A</v>
      </c>
      <c r="K703" s="53"/>
    </row>
    <row r="704" spans="1:11" ht="19" customHeight="1">
      <c r="A704" s="47"/>
      <c r="B704" s="47"/>
      <c r="C704" s="47"/>
      <c r="D704" s="47"/>
      <c r="E704" s="47"/>
      <c r="F704" s="48"/>
      <c r="G704" s="48" t="e">
        <f>VLOOKUP(D704,단가!B:D,3,0)</f>
        <v>#N/A</v>
      </c>
      <c r="H704" s="48" t="e">
        <f t="shared" si="38"/>
        <v>#N/A</v>
      </c>
      <c r="I704" s="48" t="e">
        <f t="shared" si="39"/>
        <v>#N/A</v>
      </c>
      <c r="J704" s="49" t="e">
        <f t="shared" si="37"/>
        <v>#N/A</v>
      </c>
      <c r="K704" s="53"/>
    </row>
    <row r="705" spans="1:11" ht="19" customHeight="1">
      <c r="A705" s="47"/>
      <c r="B705" s="47"/>
      <c r="C705" s="47"/>
      <c r="D705" s="47"/>
      <c r="E705" s="47"/>
      <c r="F705" s="48"/>
      <c r="G705" s="48" t="e">
        <f>VLOOKUP(D705,단가!B:D,3,0)</f>
        <v>#N/A</v>
      </c>
      <c r="H705" s="48" t="e">
        <f t="shared" si="38"/>
        <v>#N/A</v>
      </c>
      <c r="I705" s="48" t="e">
        <f t="shared" si="39"/>
        <v>#N/A</v>
      </c>
      <c r="J705" s="49" t="e">
        <f t="shared" si="37"/>
        <v>#N/A</v>
      </c>
      <c r="K705" s="53"/>
    </row>
    <row r="706" spans="1:11" ht="19" customHeight="1">
      <c r="A706" s="47"/>
      <c r="B706" s="47"/>
      <c r="C706" s="47"/>
      <c r="D706" s="47"/>
      <c r="E706" s="47"/>
      <c r="F706" s="48"/>
      <c r="G706" s="48" t="e">
        <f>VLOOKUP(D706,단가!B:D,3,0)</f>
        <v>#N/A</v>
      </c>
      <c r="H706" s="48" t="e">
        <f t="shared" si="38"/>
        <v>#N/A</v>
      </c>
      <c r="I706" s="48" t="e">
        <f t="shared" si="39"/>
        <v>#N/A</v>
      </c>
      <c r="J706" s="49" t="e">
        <f t="shared" si="37"/>
        <v>#N/A</v>
      </c>
      <c r="K706" s="53"/>
    </row>
    <row r="707" spans="1:11" ht="19" customHeight="1">
      <c r="A707" s="47"/>
      <c r="B707" s="47"/>
      <c r="C707" s="47"/>
      <c r="D707" s="47"/>
      <c r="E707" s="47"/>
      <c r="F707" s="48"/>
      <c r="G707" s="48" t="e">
        <f>VLOOKUP(D707,단가!B:D,3,0)</f>
        <v>#N/A</v>
      </c>
      <c r="H707" s="48" t="e">
        <f t="shared" si="38"/>
        <v>#N/A</v>
      </c>
      <c r="I707" s="48" t="e">
        <f t="shared" si="39"/>
        <v>#N/A</v>
      </c>
      <c r="J707" s="49" t="e">
        <f t="shared" si="37"/>
        <v>#N/A</v>
      </c>
      <c r="K707" s="53"/>
    </row>
    <row r="708" spans="1:11" ht="19" customHeight="1">
      <c r="A708" s="47"/>
      <c r="B708" s="47"/>
      <c r="C708" s="47"/>
      <c r="D708" s="47"/>
      <c r="E708" s="47"/>
      <c r="F708" s="48"/>
      <c r="G708" s="48" t="e">
        <f>VLOOKUP(D708,단가!B:D,3,0)</f>
        <v>#N/A</v>
      </c>
      <c r="H708" s="48" t="e">
        <f t="shared" si="38"/>
        <v>#N/A</v>
      </c>
      <c r="I708" s="48" t="e">
        <f t="shared" si="39"/>
        <v>#N/A</v>
      </c>
      <c r="J708" s="49" t="e">
        <f t="shared" si="37"/>
        <v>#N/A</v>
      </c>
      <c r="K708" s="53"/>
    </row>
    <row r="709" spans="1:11" ht="19" customHeight="1">
      <c r="A709" s="47"/>
      <c r="B709" s="47"/>
      <c r="C709" s="47"/>
      <c r="D709" s="47"/>
      <c r="E709" s="47"/>
      <c r="F709" s="48"/>
      <c r="G709" s="48" t="e">
        <f>VLOOKUP(D709,단가!B:D,3,0)</f>
        <v>#N/A</v>
      </c>
      <c r="H709" s="48" t="e">
        <f t="shared" si="38"/>
        <v>#N/A</v>
      </c>
      <c r="I709" s="48" t="e">
        <f t="shared" si="39"/>
        <v>#N/A</v>
      </c>
      <c r="J709" s="49" t="e">
        <f t="shared" si="37"/>
        <v>#N/A</v>
      </c>
      <c r="K709" s="53"/>
    </row>
    <row r="710" spans="1:11" ht="19" customHeight="1">
      <c r="A710" s="47"/>
      <c r="B710" s="47"/>
      <c r="C710" s="47"/>
      <c r="D710" s="47"/>
      <c r="E710" s="47"/>
      <c r="F710" s="48"/>
      <c r="G710" s="48" t="e">
        <f>VLOOKUP(D710,단가!B:D,3,0)</f>
        <v>#N/A</v>
      </c>
      <c r="H710" s="48" t="e">
        <f t="shared" si="38"/>
        <v>#N/A</v>
      </c>
      <c r="I710" s="48" t="e">
        <f t="shared" si="39"/>
        <v>#N/A</v>
      </c>
      <c r="J710" s="49" t="e">
        <f t="shared" si="37"/>
        <v>#N/A</v>
      </c>
      <c r="K710" s="53"/>
    </row>
    <row r="711" spans="1:11" ht="19" customHeight="1">
      <c r="A711" s="47"/>
      <c r="B711" s="47"/>
      <c r="C711" s="47"/>
      <c r="D711" s="47"/>
      <c r="E711" s="47"/>
      <c r="F711" s="48"/>
      <c r="G711" s="48" t="e">
        <f>VLOOKUP(D711,단가!B:D,3,0)</f>
        <v>#N/A</v>
      </c>
      <c r="H711" s="48" t="e">
        <f t="shared" si="38"/>
        <v>#N/A</v>
      </c>
      <c r="I711" s="48" t="e">
        <f t="shared" si="39"/>
        <v>#N/A</v>
      </c>
      <c r="J711" s="49" t="e">
        <f t="shared" si="37"/>
        <v>#N/A</v>
      </c>
      <c r="K711" s="53"/>
    </row>
    <row r="712" spans="1:11" ht="19" customHeight="1">
      <c r="A712" s="47"/>
      <c r="B712" s="47"/>
      <c r="C712" s="47"/>
      <c r="D712" s="47"/>
      <c r="E712" s="47"/>
      <c r="F712" s="48"/>
      <c r="G712" s="48" t="e">
        <f>VLOOKUP(D712,단가!B:D,3,0)</f>
        <v>#N/A</v>
      </c>
      <c r="H712" s="48" t="e">
        <f t="shared" si="38"/>
        <v>#N/A</v>
      </c>
      <c r="I712" s="48" t="e">
        <f t="shared" si="39"/>
        <v>#N/A</v>
      </c>
      <c r="J712" s="49" t="e">
        <f t="shared" si="37"/>
        <v>#N/A</v>
      </c>
      <c r="K712" s="53"/>
    </row>
    <row r="713" spans="1:11" ht="19" customHeight="1">
      <c r="A713" s="47"/>
      <c r="B713" s="47"/>
      <c r="C713" s="47"/>
      <c r="D713" s="47"/>
      <c r="E713" s="47"/>
      <c r="F713" s="48"/>
      <c r="G713" s="48" t="e">
        <f>VLOOKUP(D713,단가!B:D,3,0)</f>
        <v>#N/A</v>
      </c>
      <c r="H713" s="48" t="e">
        <f t="shared" si="38"/>
        <v>#N/A</v>
      </c>
      <c r="I713" s="48" t="e">
        <f t="shared" si="39"/>
        <v>#N/A</v>
      </c>
      <c r="J713" s="49" t="e">
        <f t="shared" si="37"/>
        <v>#N/A</v>
      </c>
      <c r="K713" s="53"/>
    </row>
    <row r="714" spans="1:11" ht="19" customHeight="1">
      <c r="A714" s="47"/>
      <c r="B714" s="47"/>
      <c r="C714" s="47"/>
      <c r="D714" s="47"/>
      <c r="E714" s="47"/>
      <c r="F714" s="48"/>
      <c r="G714" s="48" t="e">
        <f>VLOOKUP(D714,단가!B:D,3,0)</f>
        <v>#N/A</v>
      </c>
      <c r="H714" s="48" t="e">
        <f t="shared" si="38"/>
        <v>#N/A</v>
      </c>
      <c r="I714" s="48" t="e">
        <f t="shared" si="39"/>
        <v>#N/A</v>
      </c>
      <c r="J714" s="49" t="e">
        <f t="shared" si="37"/>
        <v>#N/A</v>
      </c>
      <c r="K714" s="53"/>
    </row>
    <row r="715" spans="1:11" ht="19" customHeight="1">
      <c r="A715" s="47"/>
      <c r="B715" s="47"/>
      <c r="C715" s="47"/>
      <c r="D715" s="47"/>
      <c r="E715" s="47"/>
      <c r="F715" s="48"/>
      <c r="G715" s="48" t="e">
        <f>VLOOKUP(D715,단가!B:D,3,0)</f>
        <v>#N/A</v>
      </c>
      <c r="H715" s="48" t="e">
        <f t="shared" si="38"/>
        <v>#N/A</v>
      </c>
      <c r="I715" s="48" t="e">
        <f t="shared" si="39"/>
        <v>#N/A</v>
      </c>
      <c r="J715" s="49" t="e">
        <f t="shared" si="37"/>
        <v>#N/A</v>
      </c>
      <c r="K715" s="53"/>
    </row>
    <row r="716" spans="1:11" ht="19" customHeight="1">
      <c r="A716" s="47"/>
      <c r="B716" s="47"/>
      <c r="C716" s="47"/>
      <c r="D716" s="47"/>
      <c r="E716" s="47"/>
      <c r="F716" s="48"/>
      <c r="G716" s="48" t="e">
        <f>VLOOKUP(D716,단가!B:D,3,0)</f>
        <v>#N/A</v>
      </c>
      <c r="H716" s="48" t="e">
        <f t="shared" si="38"/>
        <v>#N/A</v>
      </c>
      <c r="I716" s="48" t="e">
        <f t="shared" si="39"/>
        <v>#N/A</v>
      </c>
      <c r="J716" s="49" t="e">
        <f t="shared" si="37"/>
        <v>#N/A</v>
      </c>
      <c r="K716" s="53"/>
    </row>
    <row r="717" spans="1:11" ht="19" customHeight="1">
      <c r="A717" s="47"/>
      <c r="B717" s="47"/>
      <c r="C717" s="47"/>
      <c r="D717" s="47"/>
      <c r="E717" s="47"/>
      <c r="F717" s="48"/>
      <c r="G717" s="48" t="e">
        <f>VLOOKUP(D717,단가!B:D,3,0)</f>
        <v>#N/A</v>
      </c>
      <c r="H717" s="48" t="e">
        <f t="shared" si="38"/>
        <v>#N/A</v>
      </c>
      <c r="I717" s="48" t="e">
        <f t="shared" si="39"/>
        <v>#N/A</v>
      </c>
      <c r="J717" s="49" t="e">
        <f t="shared" si="37"/>
        <v>#N/A</v>
      </c>
      <c r="K717" s="53"/>
    </row>
    <row r="718" spans="1:11" ht="19" customHeight="1">
      <c r="A718" s="47"/>
      <c r="B718" s="47"/>
      <c r="C718" s="47"/>
      <c r="D718" s="47"/>
      <c r="E718" s="47"/>
      <c r="F718" s="48"/>
      <c r="G718" s="48" t="e">
        <f>VLOOKUP(D718,단가!B:D,3,0)</f>
        <v>#N/A</v>
      </c>
      <c r="H718" s="48" t="e">
        <f t="shared" si="38"/>
        <v>#N/A</v>
      </c>
      <c r="I718" s="48" t="e">
        <f t="shared" si="39"/>
        <v>#N/A</v>
      </c>
      <c r="J718" s="49" t="e">
        <f t="shared" si="37"/>
        <v>#N/A</v>
      </c>
      <c r="K718" s="53"/>
    </row>
    <row r="719" spans="1:11" ht="19" customHeight="1">
      <c r="A719" s="47"/>
      <c r="B719" s="47"/>
      <c r="C719" s="47"/>
      <c r="D719" s="47"/>
      <c r="E719" s="47"/>
      <c r="F719" s="48"/>
      <c r="G719" s="48" t="e">
        <f>VLOOKUP(D719,단가!B:D,3,0)</f>
        <v>#N/A</v>
      </c>
      <c r="H719" s="48" t="e">
        <f t="shared" si="38"/>
        <v>#N/A</v>
      </c>
      <c r="I719" s="48" t="e">
        <f t="shared" si="39"/>
        <v>#N/A</v>
      </c>
      <c r="J719" s="49" t="e">
        <f t="shared" si="37"/>
        <v>#N/A</v>
      </c>
      <c r="K719" s="53"/>
    </row>
    <row r="720" spans="1:11" ht="19" customHeight="1">
      <c r="A720" s="47"/>
      <c r="B720" s="47"/>
      <c r="C720" s="47"/>
      <c r="D720" s="47"/>
      <c r="E720" s="47"/>
      <c r="F720" s="48"/>
      <c r="G720" s="48" t="e">
        <f>VLOOKUP(D720,단가!B:D,3,0)</f>
        <v>#N/A</v>
      </c>
      <c r="H720" s="48" t="e">
        <f t="shared" si="38"/>
        <v>#N/A</v>
      </c>
      <c r="I720" s="48" t="e">
        <f t="shared" si="39"/>
        <v>#N/A</v>
      </c>
      <c r="J720" s="49" t="e">
        <f t="shared" si="37"/>
        <v>#N/A</v>
      </c>
      <c r="K720" s="53"/>
    </row>
    <row r="721" spans="1:11" ht="19" customHeight="1">
      <c r="A721" s="47"/>
      <c r="B721" s="47"/>
      <c r="C721" s="47"/>
      <c r="D721" s="47"/>
      <c r="E721" s="47"/>
      <c r="F721" s="48"/>
      <c r="G721" s="48" t="e">
        <f>VLOOKUP(D721,단가!B:D,3,0)</f>
        <v>#N/A</v>
      </c>
      <c r="H721" s="48" t="e">
        <f t="shared" si="38"/>
        <v>#N/A</v>
      </c>
      <c r="I721" s="48" t="e">
        <f t="shared" si="39"/>
        <v>#N/A</v>
      </c>
      <c r="J721" s="49" t="e">
        <f t="shared" si="37"/>
        <v>#N/A</v>
      </c>
      <c r="K721" s="53"/>
    </row>
    <row r="722" spans="1:11" ht="19" customHeight="1">
      <c r="A722" s="47"/>
      <c r="B722" s="47"/>
      <c r="C722" s="47"/>
      <c r="D722" s="47"/>
      <c r="E722" s="47"/>
      <c r="F722" s="48"/>
      <c r="G722" s="48" t="e">
        <f>VLOOKUP(D722,단가!B:D,3,0)</f>
        <v>#N/A</v>
      </c>
      <c r="H722" s="48" t="e">
        <f t="shared" si="38"/>
        <v>#N/A</v>
      </c>
      <c r="I722" s="48" t="e">
        <f t="shared" si="39"/>
        <v>#N/A</v>
      </c>
      <c r="J722" s="49" t="e">
        <f t="shared" si="37"/>
        <v>#N/A</v>
      </c>
      <c r="K722" s="53"/>
    </row>
    <row r="723" spans="1:11" ht="19" customHeight="1">
      <c r="A723" s="47"/>
      <c r="B723" s="47"/>
      <c r="C723" s="47"/>
      <c r="D723" s="47"/>
      <c r="E723" s="47"/>
      <c r="F723" s="48"/>
      <c r="G723" s="48" t="e">
        <f>VLOOKUP(D723,단가!B:D,3,0)</f>
        <v>#N/A</v>
      </c>
      <c r="H723" s="48" t="e">
        <f t="shared" si="38"/>
        <v>#N/A</v>
      </c>
      <c r="I723" s="48" t="e">
        <f t="shared" si="39"/>
        <v>#N/A</v>
      </c>
      <c r="J723" s="49" t="e">
        <f t="shared" si="37"/>
        <v>#N/A</v>
      </c>
      <c r="K723" s="53"/>
    </row>
    <row r="724" spans="1:11" ht="19" customHeight="1">
      <c r="A724" s="47"/>
      <c r="B724" s="47"/>
      <c r="C724" s="47"/>
      <c r="D724" s="47"/>
      <c r="E724" s="47"/>
      <c r="F724" s="48"/>
      <c r="G724" s="48" t="e">
        <f>VLOOKUP(D724,단가!B:D,3,0)</f>
        <v>#N/A</v>
      </c>
      <c r="H724" s="48" t="e">
        <f t="shared" si="38"/>
        <v>#N/A</v>
      </c>
      <c r="I724" s="48" t="e">
        <f t="shared" si="39"/>
        <v>#N/A</v>
      </c>
      <c r="J724" s="49" t="e">
        <f t="shared" si="37"/>
        <v>#N/A</v>
      </c>
      <c r="K724" s="53"/>
    </row>
    <row r="725" spans="1:11" ht="19" customHeight="1">
      <c r="A725" s="47"/>
      <c r="B725" s="47"/>
      <c r="C725" s="47"/>
      <c r="D725" s="47"/>
      <c r="E725" s="47"/>
      <c r="F725" s="48"/>
      <c r="G725" s="48" t="e">
        <f>VLOOKUP(D725,단가!B:D,3,0)</f>
        <v>#N/A</v>
      </c>
      <c r="H725" s="48" t="e">
        <f t="shared" si="38"/>
        <v>#N/A</v>
      </c>
      <c r="I725" s="48" t="e">
        <f t="shared" si="39"/>
        <v>#N/A</v>
      </c>
      <c r="J725" s="49" t="e">
        <f t="shared" si="37"/>
        <v>#N/A</v>
      </c>
      <c r="K725" s="53"/>
    </row>
    <row r="726" spans="1:11" ht="19" customHeight="1">
      <c r="A726" s="47"/>
      <c r="B726" s="47"/>
      <c r="C726" s="47"/>
      <c r="D726" s="47"/>
      <c r="E726" s="47"/>
      <c r="F726" s="48"/>
      <c r="G726" s="48" t="e">
        <f>VLOOKUP(D726,단가!B:D,3,0)</f>
        <v>#N/A</v>
      </c>
      <c r="H726" s="48" t="e">
        <f t="shared" si="38"/>
        <v>#N/A</v>
      </c>
      <c r="I726" s="48" t="e">
        <f t="shared" si="39"/>
        <v>#N/A</v>
      </c>
      <c r="J726" s="49" t="e">
        <f t="shared" si="37"/>
        <v>#N/A</v>
      </c>
      <c r="K726" s="53"/>
    </row>
    <row r="727" spans="1:11" ht="19" customHeight="1">
      <c r="A727" s="47"/>
      <c r="B727" s="47"/>
      <c r="C727" s="47"/>
      <c r="D727" s="47"/>
      <c r="E727" s="47"/>
      <c r="F727" s="48"/>
      <c r="G727" s="48" t="e">
        <f>VLOOKUP(D727,단가!B:D,3,0)</f>
        <v>#N/A</v>
      </c>
      <c r="H727" s="48" t="e">
        <f t="shared" si="38"/>
        <v>#N/A</v>
      </c>
      <c r="I727" s="48" t="e">
        <f t="shared" si="39"/>
        <v>#N/A</v>
      </c>
      <c r="J727" s="49" t="e">
        <f t="shared" si="37"/>
        <v>#N/A</v>
      </c>
      <c r="K727" s="53"/>
    </row>
    <row r="728" spans="1:11" ht="19" customHeight="1">
      <c r="A728" s="47"/>
      <c r="B728" s="47"/>
      <c r="C728" s="47"/>
      <c r="D728" s="47"/>
      <c r="E728" s="47"/>
      <c r="F728" s="48"/>
      <c r="G728" s="48" t="e">
        <f>VLOOKUP(D728,단가!B:D,3,0)</f>
        <v>#N/A</v>
      </c>
      <c r="H728" s="48" t="e">
        <f t="shared" si="38"/>
        <v>#N/A</v>
      </c>
      <c r="I728" s="48" t="e">
        <f t="shared" si="39"/>
        <v>#N/A</v>
      </c>
      <c r="J728" s="49" t="e">
        <f t="shared" si="37"/>
        <v>#N/A</v>
      </c>
      <c r="K728" s="53"/>
    </row>
    <row r="729" spans="1:11" ht="19" customHeight="1">
      <c r="A729" s="47"/>
      <c r="B729" s="47"/>
      <c r="C729" s="47"/>
      <c r="D729" s="47"/>
      <c r="E729" s="47"/>
      <c r="F729" s="48"/>
      <c r="G729" s="48" t="e">
        <f>VLOOKUP(D729,단가!B:D,3,0)</f>
        <v>#N/A</v>
      </c>
      <c r="H729" s="48" t="e">
        <f t="shared" si="38"/>
        <v>#N/A</v>
      </c>
      <c r="I729" s="48" t="e">
        <f t="shared" si="39"/>
        <v>#N/A</v>
      </c>
      <c r="J729" s="49" t="e">
        <f t="shared" si="37"/>
        <v>#N/A</v>
      </c>
      <c r="K729" s="53"/>
    </row>
    <row r="730" spans="1:11" ht="19" customHeight="1">
      <c r="A730" s="47"/>
      <c r="B730" s="47"/>
      <c r="C730" s="47"/>
      <c r="D730" s="47"/>
      <c r="E730" s="47"/>
      <c r="F730" s="48"/>
      <c r="G730" s="48" t="e">
        <f>VLOOKUP(D730,단가!B:D,3,0)</f>
        <v>#N/A</v>
      </c>
      <c r="H730" s="48" t="e">
        <f t="shared" si="38"/>
        <v>#N/A</v>
      </c>
      <c r="I730" s="48" t="e">
        <f t="shared" si="39"/>
        <v>#N/A</v>
      </c>
      <c r="J730" s="49" t="e">
        <f t="shared" si="37"/>
        <v>#N/A</v>
      </c>
      <c r="K730" s="53"/>
    </row>
    <row r="731" spans="1:11" ht="19" customHeight="1">
      <c r="A731" s="47"/>
      <c r="B731" s="47"/>
      <c r="C731" s="47"/>
      <c r="D731" s="47"/>
      <c r="E731" s="47"/>
      <c r="F731" s="48"/>
      <c r="G731" s="48" t="e">
        <f>VLOOKUP(D731,단가!B:D,3,0)</f>
        <v>#N/A</v>
      </c>
      <c r="H731" s="48" t="e">
        <f t="shared" si="38"/>
        <v>#N/A</v>
      </c>
      <c r="I731" s="48" t="e">
        <f t="shared" si="39"/>
        <v>#N/A</v>
      </c>
      <c r="J731" s="49" t="e">
        <f t="shared" si="37"/>
        <v>#N/A</v>
      </c>
      <c r="K731" s="53"/>
    </row>
    <row r="732" spans="1:11" ht="19" customHeight="1">
      <c r="A732" s="47"/>
      <c r="B732" s="47"/>
      <c r="C732" s="47"/>
      <c r="D732" s="47"/>
      <c r="E732" s="47"/>
      <c r="F732" s="48"/>
      <c r="G732" s="48" t="e">
        <f>VLOOKUP(D732,단가!B:D,3,0)</f>
        <v>#N/A</v>
      </c>
      <c r="H732" s="48" t="e">
        <f t="shared" si="38"/>
        <v>#N/A</v>
      </c>
      <c r="I732" s="48" t="e">
        <f t="shared" si="39"/>
        <v>#N/A</v>
      </c>
      <c r="J732" s="49" t="e">
        <f t="shared" si="37"/>
        <v>#N/A</v>
      </c>
      <c r="K732" s="53"/>
    </row>
    <row r="733" spans="1:11" ht="19" customHeight="1">
      <c r="A733" s="47"/>
      <c r="B733" s="47"/>
      <c r="C733" s="47"/>
      <c r="D733" s="47"/>
      <c r="E733" s="47"/>
      <c r="F733" s="48"/>
      <c r="G733" s="48" t="e">
        <f>VLOOKUP(D733,단가!B:D,3,0)</f>
        <v>#N/A</v>
      </c>
      <c r="H733" s="48" t="e">
        <f t="shared" si="38"/>
        <v>#N/A</v>
      </c>
      <c r="I733" s="48" t="e">
        <f t="shared" si="39"/>
        <v>#N/A</v>
      </c>
      <c r="J733" s="49" t="e">
        <f t="shared" si="37"/>
        <v>#N/A</v>
      </c>
      <c r="K733" s="53"/>
    </row>
    <row r="734" spans="1:11" ht="19" customHeight="1">
      <c r="A734" s="47"/>
      <c r="B734" s="47"/>
      <c r="C734" s="47"/>
      <c r="D734" s="47"/>
      <c r="E734" s="47"/>
      <c r="F734" s="48"/>
      <c r="G734" s="48" t="e">
        <f>VLOOKUP(D734,단가!B:D,3,0)</f>
        <v>#N/A</v>
      </c>
      <c r="H734" s="48" t="e">
        <f t="shared" si="38"/>
        <v>#N/A</v>
      </c>
      <c r="I734" s="48" t="e">
        <f t="shared" si="39"/>
        <v>#N/A</v>
      </c>
      <c r="J734" s="49" t="e">
        <f t="shared" si="37"/>
        <v>#N/A</v>
      </c>
      <c r="K734" s="53"/>
    </row>
    <row r="735" spans="1:11" ht="19" customHeight="1">
      <c r="A735" s="47"/>
      <c r="B735" s="47"/>
      <c r="C735" s="47"/>
      <c r="D735" s="47"/>
      <c r="E735" s="47"/>
      <c r="F735" s="48"/>
      <c r="G735" s="48" t="e">
        <f>VLOOKUP(D735,단가!B:D,3,0)</f>
        <v>#N/A</v>
      </c>
      <c r="H735" s="48" t="e">
        <f t="shared" si="38"/>
        <v>#N/A</v>
      </c>
      <c r="I735" s="48" t="e">
        <f t="shared" si="39"/>
        <v>#N/A</v>
      </c>
      <c r="J735" s="49" t="e">
        <f t="shared" si="37"/>
        <v>#N/A</v>
      </c>
      <c r="K735" s="53"/>
    </row>
    <row r="736" spans="1:11" ht="19" customHeight="1">
      <c r="A736" s="47"/>
      <c r="B736" s="47"/>
      <c r="C736" s="47"/>
      <c r="D736" s="47"/>
      <c r="E736" s="47"/>
      <c r="F736" s="48"/>
      <c r="G736" s="48" t="e">
        <f>VLOOKUP(D736,단가!B:D,3,0)</f>
        <v>#N/A</v>
      </c>
      <c r="H736" s="48" t="e">
        <f t="shared" si="38"/>
        <v>#N/A</v>
      </c>
      <c r="I736" s="48" t="e">
        <f t="shared" si="39"/>
        <v>#N/A</v>
      </c>
      <c r="J736" s="49" t="e">
        <f t="shared" si="37"/>
        <v>#N/A</v>
      </c>
      <c r="K736" s="53"/>
    </row>
    <row r="737" spans="1:11" ht="19" customHeight="1">
      <c r="A737" s="47"/>
      <c r="B737" s="47"/>
      <c r="C737" s="47"/>
      <c r="D737" s="47"/>
      <c r="E737" s="47"/>
      <c r="F737" s="48"/>
      <c r="G737" s="48" t="e">
        <f>VLOOKUP(D737,단가!B:D,3,0)</f>
        <v>#N/A</v>
      </c>
      <c r="H737" s="48" t="e">
        <f t="shared" si="38"/>
        <v>#N/A</v>
      </c>
      <c r="I737" s="48" t="e">
        <f t="shared" si="39"/>
        <v>#N/A</v>
      </c>
      <c r="J737" s="49" t="e">
        <f t="shared" si="37"/>
        <v>#N/A</v>
      </c>
      <c r="K737" s="53"/>
    </row>
    <row r="738" spans="1:11" ht="19" customHeight="1">
      <c r="A738" s="47"/>
      <c r="B738" s="47"/>
      <c r="C738" s="47"/>
      <c r="D738" s="47"/>
      <c r="E738" s="47"/>
      <c r="F738" s="48"/>
      <c r="G738" s="48" t="e">
        <f>VLOOKUP(D738,단가!B:D,3,0)</f>
        <v>#N/A</v>
      </c>
      <c r="H738" s="48" t="e">
        <f t="shared" si="38"/>
        <v>#N/A</v>
      </c>
      <c r="I738" s="48" t="e">
        <f t="shared" si="39"/>
        <v>#N/A</v>
      </c>
      <c r="J738" s="49" t="e">
        <f t="shared" si="37"/>
        <v>#N/A</v>
      </c>
      <c r="K738" s="53"/>
    </row>
    <row r="739" spans="1:11" ht="19" customHeight="1">
      <c r="A739" s="47"/>
      <c r="B739" s="47"/>
      <c r="C739" s="47"/>
      <c r="D739" s="47"/>
      <c r="E739" s="47"/>
      <c r="F739" s="48"/>
      <c r="G739" s="48" t="e">
        <f>VLOOKUP(D739,단가!B:D,3,0)</f>
        <v>#N/A</v>
      </c>
      <c r="H739" s="48" t="e">
        <f t="shared" si="38"/>
        <v>#N/A</v>
      </c>
      <c r="I739" s="48" t="e">
        <f t="shared" si="39"/>
        <v>#N/A</v>
      </c>
      <c r="J739" s="49" t="e">
        <f t="shared" si="37"/>
        <v>#N/A</v>
      </c>
      <c r="K739" s="53"/>
    </row>
    <row r="740" spans="1:11" ht="19" customHeight="1">
      <c r="A740" s="47"/>
      <c r="B740" s="47"/>
      <c r="C740" s="47"/>
      <c r="D740" s="47"/>
      <c r="E740" s="47"/>
      <c r="F740" s="48"/>
      <c r="G740" s="48" t="e">
        <f>VLOOKUP(D740,단가!B:D,3,0)</f>
        <v>#N/A</v>
      </c>
      <c r="H740" s="48" t="e">
        <f t="shared" si="38"/>
        <v>#N/A</v>
      </c>
      <c r="I740" s="48" t="e">
        <f t="shared" si="39"/>
        <v>#N/A</v>
      </c>
      <c r="J740" s="49" t="e">
        <f t="shared" si="37"/>
        <v>#N/A</v>
      </c>
      <c r="K740" s="53"/>
    </row>
    <row r="741" spans="1:11" ht="19" customHeight="1">
      <c r="A741" s="47"/>
      <c r="B741" s="47"/>
      <c r="C741" s="47"/>
      <c r="D741" s="47"/>
      <c r="E741" s="47"/>
      <c r="F741" s="48"/>
      <c r="G741" s="48" t="e">
        <f>VLOOKUP(D741,단가!B:D,3,0)</f>
        <v>#N/A</v>
      </c>
      <c r="H741" s="48" t="e">
        <f t="shared" si="38"/>
        <v>#N/A</v>
      </c>
      <c r="I741" s="48" t="e">
        <f t="shared" si="39"/>
        <v>#N/A</v>
      </c>
      <c r="J741" s="49" t="e">
        <f t="shared" si="37"/>
        <v>#N/A</v>
      </c>
      <c r="K741" s="53"/>
    </row>
    <row r="742" spans="1:11" ht="19" customHeight="1">
      <c r="A742" s="47"/>
      <c r="B742" s="47"/>
      <c r="C742" s="47"/>
      <c r="D742" s="47"/>
      <c r="E742" s="47"/>
      <c r="F742" s="48"/>
      <c r="G742" s="48" t="e">
        <f>VLOOKUP(D742,단가!B:D,3,0)</f>
        <v>#N/A</v>
      </c>
      <c r="H742" s="48" t="e">
        <f t="shared" si="38"/>
        <v>#N/A</v>
      </c>
      <c r="I742" s="48" t="e">
        <f t="shared" si="39"/>
        <v>#N/A</v>
      </c>
      <c r="J742" s="49" t="e">
        <f t="shared" si="37"/>
        <v>#N/A</v>
      </c>
      <c r="K742" s="53"/>
    </row>
    <row r="743" spans="1:11" ht="19" customHeight="1">
      <c r="A743" s="47"/>
      <c r="B743" s="47"/>
      <c r="C743" s="47"/>
      <c r="D743" s="47"/>
      <c r="E743" s="47"/>
      <c r="F743" s="48"/>
      <c r="G743" s="48" t="e">
        <f>VLOOKUP(D743,단가!B:D,3,0)</f>
        <v>#N/A</v>
      </c>
      <c r="H743" s="48" t="e">
        <f t="shared" si="38"/>
        <v>#N/A</v>
      </c>
      <c r="I743" s="48" t="e">
        <f t="shared" si="39"/>
        <v>#N/A</v>
      </c>
      <c r="J743" s="49" t="e">
        <f t="shared" si="37"/>
        <v>#N/A</v>
      </c>
      <c r="K743" s="53"/>
    </row>
    <row r="744" spans="1:11" ht="19" customHeight="1">
      <c r="A744" s="47"/>
      <c r="B744" s="47"/>
      <c r="C744" s="47"/>
      <c r="D744" s="47"/>
      <c r="E744" s="47"/>
      <c r="F744" s="48"/>
      <c r="G744" s="48" t="e">
        <f>VLOOKUP(D744,단가!B:D,3,0)</f>
        <v>#N/A</v>
      </c>
      <c r="H744" s="48" t="e">
        <f t="shared" si="38"/>
        <v>#N/A</v>
      </c>
      <c r="I744" s="48" t="e">
        <f t="shared" si="39"/>
        <v>#N/A</v>
      </c>
      <c r="J744" s="49" t="e">
        <f t="shared" si="37"/>
        <v>#N/A</v>
      </c>
      <c r="K744" s="53"/>
    </row>
    <row r="745" spans="1:11" ht="19" customHeight="1">
      <c r="A745" s="47"/>
      <c r="B745" s="47"/>
      <c r="C745" s="47"/>
      <c r="D745" s="47"/>
      <c r="E745" s="47"/>
      <c r="F745" s="48"/>
      <c r="G745" s="48" t="e">
        <f>VLOOKUP(D745,단가!B:D,3,0)</f>
        <v>#N/A</v>
      </c>
      <c r="H745" s="48" t="e">
        <f t="shared" si="38"/>
        <v>#N/A</v>
      </c>
      <c r="I745" s="48" t="e">
        <f t="shared" si="39"/>
        <v>#N/A</v>
      </c>
      <c r="J745" s="49" t="e">
        <f t="shared" si="37"/>
        <v>#N/A</v>
      </c>
      <c r="K745" s="53"/>
    </row>
    <row r="746" spans="1:11" ht="19" customHeight="1">
      <c r="A746" s="47"/>
      <c r="B746" s="47"/>
      <c r="C746" s="47"/>
      <c r="D746" s="47"/>
      <c r="E746" s="47"/>
      <c r="F746" s="48"/>
      <c r="G746" s="48" t="e">
        <f>VLOOKUP(D746,단가!B:D,3,0)</f>
        <v>#N/A</v>
      </c>
      <c r="H746" s="48" t="e">
        <f t="shared" si="38"/>
        <v>#N/A</v>
      </c>
      <c r="I746" s="48" t="e">
        <f t="shared" si="39"/>
        <v>#N/A</v>
      </c>
      <c r="J746" s="49" t="e">
        <f t="shared" si="37"/>
        <v>#N/A</v>
      </c>
      <c r="K746" s="53"/>
    </row>
    <row r="747" spans="1:11" ht="19" customHeight="1">
      <c r="A747" s="47"/>
      <c r="B747" s="47"/>
      <c r="C747" s="47"/>
      <c r="D747" s="47"/>
      <c r="E747" s="47"/>
      <c r="F747" s="48"/>
      <c r="G747" s="48" t="e">
        <f>VLOOKUP(D747,단가!B:D,3,0)</f>
        <v>#N/A</v>
      </c>
      <c r="H747" s="48" t="e">
        <f t="shared" si="38"/>
        <v>#N/A</v>
      </c>
      <c r="I747" s="48" t="e">
        <f t="shared" si="39"/>
        <v>#N/A</v>
      </c>
      <c r="J747" s="49" t="e">
        <f t="shared" si="37"/>
        <v>#N/A</v>
      </c>
    </row>
    <row r="748" spans="1:11" ht="19" customHeight="1">
      <c r="A748" s="47"/>
      <c r="B748" s="47"/>
      <c r="C748" s="47"/>
      <c r="D748" s="47"/>
      <c r="E748" s="47"/>
      <c r="F748" s="48"/>
      <c r="G748" s="48" t="e">
        <f>VLOOKUP(D748,단가!B:D,3,0)</f>
        <v>#N/A</v>
      </c>
      <c r="H748" s="48" t="e">
        <f t="shared" si="38"/>
        <v>#N/A</v>
      </c>
      <c r="I748" s="48" t="e">
        <f t="shared" si="39"/>
        <v>#N/A</v>
      </c>
      <c r="J748" s="49" t="e">
        <f t="shared" si="37"/>
        <v>#N/A</v>
      </c>
    </row>
    <row r="761" spans="1:13" ht="19" customHeight="1">
      <c r="K761" s="59"/>
      <c r="L761" s="26"/>
      <c r="M761" s="26"/>
    </row>
    <row r="762" spans="1:13" ht="19" customHeight="1">
      <c r="K762" s="26"/>
      <c r="L762" s="26"/>
      <c r="M762" s="26"/>
    </row>
    <row r="763" spans="1:13" ht="19" customHeight="1">
      <c r="A763" s="55"/>
      <c r="D763" s="6"/>
      <c r="F763" s="58"/>
      <c r="G763" s="58"/>
      <c r="H763" s="58"/>
      <c r="I763" s="58"/>
      <c r="J763" s="59"/>
    </row>
    <row r="764" spans="1:13" ht="19" customHeight="1">
      <c r="D764" s="6"/>
    </row>
    <row r="766" spans="1:13" ht="19" customHeight="1">
      <c r="J766" s="27"/>
    </row>
  </sheetData>
  <autoFilter ref="A1:K760" xr:uid="{68ACAFF5-0E8E-4B13-AF03-11156C8879FA}"/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89B2-6FF0-4F6C-AC77-0512C6CBA8C1}">
  <sheetPr>
    <tabColor theme="3"/>
  </sheetPr>
  <dimension ref="A1:N837"/>
  <sheetViews>
    <sheetView topLeftCell="A759" zoomScale="85" zoomScaleNormal="85" workbookViewId="0">
      <selection activeCell="C777" sqref="C777"/>
    </sheetView>
  </sheetViews>
  <sheetFormatPr baseColWidth="10" defaultColWidth="8.6640625" defaultRowHeight="19" customHeight="1"/>
  <cols>
    <col min="1" max="2" width="5.6640625" style="47" customWidth="1"/>
    <col min="3" max="3" width="28.33203125" style="47" customWidth="1"/>
    <col min="4" max="4" width="24.83203125" style="47" customWidth="1"/>
    <col min="5" max="5" width="8.6640625" style="47"/>
    <col min="6" max="7" width="8.6640625" style="48"/>
    <col min="8" max="8" width="12.83203125" style="48" customWidth="1"/>
    <col min="9" max="9" width="8.6640625" style="48"/>
    <col min="10" max="10" width="9.1640625" style="47" bestFit="1" customWidth="1"/>
    <col min="11" max="11" width="8.6640625" style="47"/>
    <col min="12" max="12" width="11.33203125" style="53" bestFit="1" customWidth="1"/>
    <col min="13" max="16384" width="8.6640625" style="53"/>
  </cols>
  <sheetData>
    <row r="1" spans="1:12" ht="19" customHeight="1">
      <c r="A1" s="71" t="s">
        <v>1</v>
      </c>
      <c r="B1" s="71" t="s">
        <v>5</v>
      </c>
      <c r="C1" s="71" t="s">
        <v>20</v>
      </c>
      <c r="D1" s="71" t="s">
        <v>21</v>
      </c>
      <c r="E1" s="71" t="s">
        <v>3</v>
      </c>
      <c r="F1" s="72" t="s">
        <v>2</v>
      </c>
      <c r="G1" s="72" t="s">
        <v>0</v>
      </c>
      <c r="H1" s="72" t="s">
        <v>4</v>
      </c>
      <c r="I1" s="72" t="s">
        <v>120</v>
      </c>
      <c r="J1" s="72" t="s">
        <v>121</v>
      </c>
      <c r="K1" s="72" t="s">
        <v>135</v>
      </c>
      <c r="L1" s="54" t="e">
        <f>SUBTOTAL(9,J:J)</f>
        <v>#N/A</v>
      </c>
    </row>
    <row r="2" spans="1:12" ht="19" customHeight="1">
      <c r="A2" s="66" t="s">
        <v>516</v>
      </c>
      <c r="C2" s="47" t="s">
        <v>217</v>
      </c>
      <c r="D2" s="47" t="s">
        <v>146</v>
      </c>
      <c r="E2" s="47" t="s">
        <v>60</v>
      </c>
      <c r="F2" s="48">
        <v>5</v>
      </c>
      <c r="G2" s="48">
        <f>VLOOKUP(D2,단가!B:D,3,0)</f>
        <v>10500</v>
      </c>
      <c r="H2" s="48">
        <f>F2*G2</f>
        <v>52500</v>
      </c>
      <c r="I2" s="48">
        <f>H2*0.1</f>
        <v>5250</v>
      </c>
      <c r="J2" s="49">
        <f t="shared" ref="J2:J65" si="0">H2+I2</f>
        <v>57750</v>
      </c>
    </row>
    <row r="3" spans="1:12" ht="19" customHeight="1">
      <c r="A3" s="66" t="s">
        <v>516</v>
      </c>
      <c r="C3" s="47" t="s">
        <v>217</v>
      </c>
      <c r="D3" s="47" t="s">
        <v>147</v>
      </c>
      <c r="E3" s="47" t="s">
        <v>60</v>
      </c>
      <c r="F3" s="48">
        <v>5</v>
      </c>
      <c r="G3" s="48">
        <f>VLOOKUP(D3,단가!B:D,3,0)</f>
        <v>10500</v>
      </c>
      <c r="H3" s="48">
        <f t="shared" ref="H3:H66" si="1">F3*G3</f>
        <v>52500</v>
      </c>
      <c r="I3" s="48">
        <f t="shared" ref="I3:I66" si="2">H3*0.1</f>
        <v>5250</v>
      </c>
      <c r="J3" s="49">
        <f t="shared" si="0"/>
        <v>57750</v>
      </c>
    </row>
    <row r="4" spans="1:12" ht="19" customHeight="1">
      <c r="A4" s="66" t="s">
        <v>515</v>
      </c>
      <c r="C4" s="47" t="s">
        <v>217</v>
      </c>
      <c r="D4" s="47" t="s">
        <v>148</v>
      </c>
      <c r="E4" s="47" t="s">
        <v>60</v>
      </c>
      <c r="F4" s="48">
        <v>5</v>
      </c>
      <c r="G4" s="48">
        <f>VLOOKUP(D4,단가!B:D,3,0)</f>
        <v>10500</v>
      </c>
      <c r="H4" s="48">
        <f t="shared" si="1"/>
        <v>52500</v>
      </c>
      <c r="I4" s="48">
        <f t="shared" si="2"/>
        <v>5250</v>
      </c>
      <c r="J4" s="49">
        <f t="shared" si="0"/>
        <v>57750</v>
      </c>
    </row>
    <row r="5" spans="1:12" ht="19" customHeight="1">
      <c r="A5" s="66" t="s">
        <v>515</v>
      </c>
      <c r="C5" s="47" t="s">
        <v>217</v>
      </c>
      <c r="D5" s="47" t="s">
        <v>149</v>
      </c>
      <c r="E5" s="47" t="s">
        <v>60</v>
      </c>
      <c r="F5" s="48">
        <v>5</v>
      </c>
      <c r="G5" s="48">
        <f>VLOOKUP(D5,단가!B:D,3,0)</f>
        <v>10500</v>
      </c>
      <c r="H5" s="48">
        <f t="shared" si="1"/>
        <v>52500</v>
      </c>
      <c r="I5" s="48">
        <f t="shared" si="2"/>
        <v>5250</v>
      </c>
      <c r="J5" s="49">
        <f t="shared" si="0"/>
        <v>57750</v>
      </c>
    </row>
    <row r="6" spans="1:12" ht="19" customHeight="1">
      <c r="A6" s="66" t="s">
        <v>515</v>
      </c>
      <c r="C6" s="47" t="s">
        <v>217</v>
      </c>
      <c r="D6" s="47" t="s">
        <v>150</v>
      </c>
      <c r="E6" s="47" t="s">
        <v>60</v>
      </c>
      <c r="F6" s="48">
        <v>5</v>
      </c>
      <c r="G6" s="48">
        <f>VLOOKUP(D6,단가!B:D,3,0)</f>
        <v>10500</v>
      </c>
      <c r="H6" s="48">
        <f t="shared" si="1"/>
        <v>52500</v>
      </c>
      <c r="I6" s="48">
        <f t="shared" si="2"/>
        <v>5250</v>
      </c>
      <c r="J6" s="49">
        <f t="shared" si="0"/>
        <v>57750</v>
      </c>
    </row>
    <row r="7" spans="1:12" ht="19" customHeight="1">
      <c r="A7" s="66" t="s">
        <v>515</v>
      </c>
      <c r="C7" s="47" t="s">
        <v>217</v>
      </c>
      <c r="D7" s="47" t="s">
        <v>151</v>
      </c>
      <c r="E7" s="47" t="s">
        <v>60</v>
      </c>
      <c r="F7" s="48">
        <v>5</v>
      </c>
      <c r="G7" s="48">
        <f>VLOOKUP(D7,단가!B:D,3,0)</f>
        <v>10500</v>
      </c>
      <c r="H7" s="48">
        <f t="shared" si="1"/>
        <v>52500</v>
      </c>
      <c r="I7" s="48">
        <f t="shared" si="2"/>
        <v>5250</v>
      </c>
      <c r="J7" s="49">
        <f t="shared" si="0"/>
        <v>57750</v>
      </c>
    </row>
    <row r="8" spans="1:12" ht="19" customHeight="1">
      <c r="A8" s="66" t="s">
        <v>515</v>
      </c>
      <c r="C8" s="47" t="s">
        <v>217</v>
      </c>
      <c r="D8" s="47" t="s">
        <v>152</v>
      </c>
      <c r="E8" s="47" t="s">
        <v>60</v>
      </c>
      <c r="F8" s="48">
        <v>5</v>
      </c>
      <c r="G8" s="48">
        <f>VLOOKUP(D8,단가!B:D,3,0)</f>
        <v>10500</v>
      </c>
      <c r="H8" s="48">
        <f t="shared" si="1"/>
        <v>52500</v>
      </c>
      <c r="I8" s="48">
        <f t="shared" si="2"/>
        <v>5250</v>
      </c>
      <c r="J8" s="49">
        <f t="shared" si="0"/>
        <v>57750</v>
      </c>
    </row>
    <row r="9" spans="1:12" ht="19" customHeight="1">
      <c r="A9" s="66" t="s">
        <v>515</v>
      </c>
      <c r="C9" s="47" t="s">
        <v>217</v>
      </c>
      <c r="D9" s="47" t="s">
        <v>153</v>
      </c>
      <c r="E9" s="47" t="s">
        <v>60</v>
      </c>
      <c r="F9" s="48">
        <v>5</v>
      </c>
      <c r="G9" s="48">
        <f>VLOOKUP(D9,단가!B:D,3,0)</f>
        <v>10500</v>
      </c>
      <c r="H9" s="48">
        <f t="shared" si="1"/>
        <v>52500</v>
      </c>
      <c r="I9" s="48">
        <f t="shared" si="2"/>
        <v>5250</v>
      </c>
      <c r="J9" s="49">
        <f t="shared" si="0"/>
        <v>57750</v>
      </c>
      <c r="K9" s="49"/>
    </row>
    <row r="10" spans="1:12" ht="19" customHeight="1">
      <c r="A10" s="66" t="s">
        <v>515</v>
      </c>
      <c r="C10" s="47" t="s">
        <v>217</v>
      </c>
      <c r="D10" s="47" t="s">
        <v>154</v>
      </c>
      <c r="E10" s="47" t="s">
        <v>60</v>
      </c>
      <c r="F10" s="48">
        <v>5</v>
      </c>
      <c r="G10" s="48">
        <f>VLOOKUP(D10,단가!B:D,3,0)</f>
        <v>10500</v>
      </c>
      <c r="H10" s="48">
        <f t="shared" si="1"/>
        <v>52500</v>
      </c>
      <c r="I10" s="48">
        <f t="shared" si="2"/>
        <v>5250</v>
      </c>
      <c r="J10" s="49">
        <f t="shared" si="0"/>
        <v>57750</v>
      </c>
    </row>
    <row r="11" spans="1:12" ht="19" customHeight="1">
      <c r="A11" s="66" t="s">
        <v>516</v>
      </c>
      <c r="C11" s="47" t="s">
        <v>217</v>
      </c>
      <c r="D11" s="47" t="s">
        <v>61</v>
      </c>
      <c r="E11" s="47" t="s">
        <v>57</v>
      </c>
      <c r="F11" s="48">
        <v>4</v>
      </c>
      <c r="G11" s="48">
        <f>VLOOKUP(D11,단가!B:D,3,0)</f>
        <v>20000</v>
      </c>
      <c r="H11" s="48">
        <f t="shared" si="1"/>
        <v>80000</v>
      </c>
      <c r="I11" s="48">
        <f t="shared" si="2"/>
        <v>8000</v>
      </c>
      <c r="J11" s="49">
        <f t="shared" si="0"/>
        <v>88000</v>
      </c>
    </row>
    <row r="12" spans="1:12" ht="19" customHeight="1">
      <c r="A12" s="66" t="s">
        <v>516</v>
      </c>
      <c r="C12" s="47" t="s">
        <v>355</v>
      </c>
      <c r="D12" s="47" t="s">
        <v>61</v>
      </c>
      <c r="E12" s="47" t="s">
        <v>57</v>
      </c>
      <c r="F12" s="48">
        <v>3</v>
      </c>
      <c r="G12" s="48">
        <f>VLOOKUP(D12,단가!B:D,3,0)</f>
        <v>20000</v>
      </c>
      <c r="H12" s="48">
        <f t="shared" si="1"/>
        <v>60000</v>
      </c>
      <c r="I12" s="48">
        <f t="shared" si="2"/>
        <v>6000</v>
      </c>
      <c r="J12" s="49">
        <f t="shared" si="0"/>
        <v>66000</v>
      </c>
    </row>
    <row r="13" spans="1:12" ht="19" customHeight="1">
      <c r="A13" s="66" t="s">
        <v>517</v>
      </c>
      <c r="C13" s="47" t="s">
        <v>518</v>
      </c>
      <c r="D13" s="47" t="s">
        <v>61</v>
      </c>
      <c r="E13" s="47" t="s">
        <v>57</v>
      </c>
      <c r="F13" s="48">
        <v>10</v>
      </c>
      <c r="G13" s="48">
        <f>VLOOKUP(D13,단가!B:D,3,0)</f>
        <v>20000</v>
      </c>
      <c r="H13" s="48">
        <f t="shared" si="1"/>
        <v>200000</v>
      </c>
      <c r="I13" s="48">
        <f t="shared" si="2"/>
        <v>20000</v>
      </c>
      <c r="J13" s="49">
        <f t="shared" si="0"/>
        <v>220000</v>
      </c>
    </row>
    <row r="14" spans="1:12" ht="19" customHeight="1">
      <c r="A14" s="66" t="s">
        <v>519</v>
      </c>
      <c r="C14" s="47" t="s">
        <v>520</v>
      </c>
      <c r="D14" s="47" t="s">
        <v>152</v>
      </c>
      <c r="E14" s="47" t="s">
        <v>521</v>
      </c>
      <c r="F14" s="48">
        <v>5</v>
      </c>
      <c r="G14" s="48">
        <f>VLOOKUP(D14,단가!B:D,3,0)</f>
        <v>10500</v>
      </c>
      <c r="H14" s="48">
        <f t="shared" si="1"/>
        <v>52500</v>
      </c>
      <c r="I14" s="48">
        <f t="shared" si="2"/>
        <v>5250</v>
      </c>
      <c r="J14" s="49">
        <f t="shared" si="0"/>
        <v>57750</v>
      </c>
    </row>
    <row r="15" spans="1:12" ht="19" customHeight="1">
      <c r="A15" s="66" t="s">
        <v>519</v>
      </c>
      <c r="C15" s="47" t="s">
        <v>520</v>
      </c>
      <c r="D15" s="47" t="s">
        <v>146</v>
      </c>
      <c r="E15" s="47" t="s">
        <v>521</v>
      </c>
      <c r="F15" s="48">
        <v>5</v>
      </c>
      <c r="G15" s="48">
        <f>VLOOKUP(D15,단가!B:D,3,0)</f>
        <v>10500</v>
      </c>
      <c r="H15" s="48">
        <f t="shared" si="1"/>
        <v>52500</v>
      </c>
      <c r="I15" s="48">
        <f t="shared" si="2"/>
        <v>5250</v>
      </c>
      <c r="J15" s="49">
        <f t="shared" si="0"/>
        <v>57750</v>
      </c>
    </row>
    <row r="16" spans="1:12" ht="19" customHeight="1">
      <c r="A16" s="66" t="s">
        <v>519</v>
      </c>
      <c r="C16" s="47" t="s">
        <v>520</v>
      </c>
      <c r="D16" s="47" t="s">
        <v>147</v>
      </c>
      <c r="E16" s="47" t="s">
        <v>521</v>
      </c>
      <c r="F16" s="48">
        <v>5</v>
      </c>
      <c r="G16" s="48">
        <f>VLOOKUP(D16,단가!B:D,3,0)</f>
        <v>10500</v>
      </c>
      <c r="H16" s="48">
        <f t="shared" si="1"/>
        <v>52500</v>
      </c>
      <c r="I16" s="48">
        <f t="shared" si="2"/>
        <v>5250</v>
      </c>
      <c r="J16" s="49">
        <f t="shared" si="0"/>
        <v>57750</v>
      </c>
    </row>
    <row r="17" spans="1:10" ht="19" customHeight="1">
      <c r="A17" s="66" t="s">
        <v>519</v>
      </c>
      <c r="C17" s="47" t="s">
        <v>520</v>
      </c>
      <c r="D17" s="47" t="s">
        <v>148</v>
      </c>
      <c r="E17" s="47" t="s">
        <v>521</v>
      </c>
      <c r="F17" s="48">
        <v>5</v>
      </c>
      <c r="G17" s="48">
        <f>VLOOKUP(D17,단가!B:D,3,0)</f>
        <v>10500</v>
      </c>
      <c r="H17" s="48">
        <f t="shared" si="1"/>
        <v>52500</v>
      </c>
      <c r="I17" s="48">
        <f t="shared" si="2"/>
        <v>5250</v>
      </c>
      <c r="J17" s="49">
        <f t="shared" si="0"/>
        <v>57750</v>
      </c>
    </row>
    <row r="18" spans="1:10" ht="19" customHeight="1">
      <c r="A18" s="66" t="s">
        <v>519</v>
      </c>
      <c r="C18" s="47" t="s">
        <v>520</v>
      </c>
      <c r="D18" s="47" t="s">
        <v>150</v>
      </c>
      <c r="E18" s="47" t="s">
        <v>521</v>
      </c>
      <c r="F18" s="48">
        <v>5</v>
      </c>
      <c r="G18" s="48">
        <f>VLOOKUP(D18,단가!B:D,3,0)</f>
        <v>10500</v>
      </c>
      <c r="H18" s="48">
        <f t="shared" si="1"/>
        <v>52500</v>
      </c>
      <c r="I18" s="48">
        <f t="shared" si="2"/>
        <v>5250</v>
      </c>
      <c r="J18" s="49">
        <f t="shared" si="0"/>
        <v>57750</v>
      </c>
    </row>
    <row r="19" spans="1:10" ht="19" customHeight="1">
      <c r="A19" s="66" t="s">
        <v>519</v>
      </c>
      <c r="C19" s="47" t="s">
        <v>522</v>
      </c>
      <c r="D19" s="47" t="s">
        <v>523</v>
      </c>
      <c r="E19" s="47" t="s">
        <v>524</v>
      </c>
      <c r="F19" s="48">
        <v>1</v>
      </c>
      <c r="G19" s="48">
        <f>VLOOKUP(D19,단가!B:D,3,0)</f>
        <v>22000</v>
      </c>
      <c r="H19" s="48">
        <f t="shared" si="1"/>
        <v>22000</v>
      </c>
      <c r="I19" s="48">
        <f t="shared" si="2"/>
        <v>2200</v>
      </c>
      <c r="J19" s="49">
        <f t="shared" si="0"/>
        <v>24200</v>
      </c>
    </row>
    <row r="20" spans="1:10" ht="19" customHeight="1">
      <c r="A20" s="66" t="s">
        <v>519</v>
      </c>
      <c r="C20" s="47" t="s">
        <v>525</v>
      </c>
      <c r="D20" s="47" t="s">
        <v>526</v>
      </c>
      <c r="E20" s="47" t="s">
        <v>57</v>
      </c>
      <c r="F20" s="48">
        <v>10</v>
      </c>
      <c r="G20" s="48">
        <f>VLOOKUP(D20,단가!B:D,3,0)</f>
        <v>20000</v>
      </c>
      <c r="H20" s="48">
        <f t="shared" si="1"/>
        <v>200000</v>
      </c>
      <c r="I20" s="48">
        <f t="shared" si="2"/>
        <v>20000</v>
      </c>
      <c r="J20" s="49">
        <f t="shared" si="0"/>
        <v>220000</v>
      </c>
    </row>
    <row r="21" spans="1:10" ht="19" customHeight="1">
      <c r="A21" s="66" t="s">
        <v>531</v>
      </c>
      <c r="C21" s="47" t="s">
        <v>217</v>
      </c>
      <c r="D21" s="47" t="s">
        <v>61</v>
      </c>
      <c r="E21" s="47" t="s">
        <v>57</v>
      </c>
      <c r="F21" s="48">
        <v>5</v>
      </c>
      <c r="G21" s="48">
        <f>VLOOKUP(D21,단가!B:D,3,0)</f>
        <v>20000</v>
      </c>
      <c r="H21" s="48">
        <f t="shared" si="1"/>
        <v>100000</v>
      </c>
      <c r="I21" s="48">
        <f t="shared" si="2"/>
        <v>10000</v>
      </c>
      <c r="J21" s="49">
        <f t="shared" si="0"/>
        <v>110000</v>
      </c>
    </row>
    <row r="22" spans="1:10" ht="19" customHeight="1">
      <c r="A22" s="66" t="s">
        <v>531</v>
      </c>
      <c r="C22" s="47" t="s">
        <v>217</v>
      </c>
      <c r="D22" s="47" t="s">
        <v>146</v>
      </c>
      <c r="E22" s="47" t="s">
        <v>60</v>
      </c>
      <c r="F22" s="48">
        <v>5</v>
      </c>
      <c r="G22" s="48">
        <f>VLOOKUP(D22,단가!B:D,3,0)</f>
        <v>10500</v>
      </c>
      <c r="H22" s="48">
        <f t="shared" si="1"/>
        <v>52500</v>
      </c>
      <c r="I22" s="48">
        <f t="shared" si="2"/>
        <v>5250</v>
      </c>
      <c r="J22" s="49">
        <f t="shared" si="0"/>
        <v>57750</v>
      </c>
    </row>
    <row r="23" spans="1:10" ht="19" customHeight="1">
      <c r="A23" s="66" t="s">
        <v>531</v>
      </c>
      <c r="C23" s="47" t="s">
        <v>217</v>
      </c>
      <c r="D23" s="47" t="s">
        <v>147</v>
      </c>
      <c r="E23" s="47" t="s">
        <v>60</v>
      </c>
      <c r="F23" s="48">
        <v>5</v>
      </c>
      <c r="G23" s="48">
        <f>VLOOKUP(D23,단가!B:D,3,0)</f>
        <v>10500</v>
      </c>
      <c r="H23" s="48">
        <f t="shared" si="1"/>
        <v>52500</v>
      </c>
      <c r="I23" s="48">
        <f t="shared" si="2"/>
        <v>5250</v>
      </c>
      <c r="J23" s="49">
        <f t="shared" si="0"/>
        <v>57750</v>
      </c>
    </row>
    <row r="24" spans="1:10" ht="19" customHeight="1">
      <c r="A24" s="66" t="s">
        <v>531</v>
      </c>
      <c r="C24" s="47" t="s">
        <v>217</v>
      </c>
      <c r="D24" s="47" t="s">
        <v>148</v>
      </c>
      <c r="E24" s="47" t="s">
        <v>60</v>
      </c>
      <c r="F24" s="48">
        <v>5</v>
      </c>
      <c r="G24" s="48">
        <f>VLOOKUP(D24,단가!B:D,3,0)</f>
        <v>10500</v>
      </c>
      <c r="H24" s="48">
        <f t="shared" si="1"/>
        <v>52500</v>
      </c>
      <c r="I24" s="48">
        <f t="shared" si="2"/>
        <v>5250</v>
      </c>
      <c r="J24" s="49">
        <f t="shared" si="0"/>
        <v>57750</v>
      </c>
    </row>
    <row r="25" spans="1:10" ht="19" customHeight="1">
      <c r="A25" s="66" t="s">
        <v>531</v>
      </c>
      <c r="C25" s="47" t="s">
        <v>217</v>
      </c>
      <c r="D25" s="47" t="s">
        <v>149</v>
      </c>
      <c r="E25" s="47" t="s">
        <v>60</v>
      </c>
      <c r="F25" s="48">
        <v>5</v>
      </c>
      <c r="G25" s="48">
        <f>VLOOKUP(D25,단가!B:D,3,0)</f>
        <v>10500</v>
      </c>
      <c r="H25" s="48">
        <f t="shared" si="1"/>
        <v>52500</v>
      </c>
      <c r="I25" s="48">
        <f t="shared" si="2"/>
        <v>5250</v>
      </c>
      <c r="J25" s="49">
        <f t="shared" si="0"/>
        <v>57750</v>
      </c>
    </row>
    <row r="26" spans="1:10" ht="19" customHeight="1">
      <c r="A26" s="66" t="s">
        <v>531</v>
      </c>
      <c r="C26" s="47" t="s">
        <v>217</v>
      </c>
      <c r="D26" s="47" t="s">
        <v>150</v>
      </c>
      <c r="E26" s="47" t="s">
        <v>60</v>
      </c>
      <c r="F26" s="48">
        <v>5</v>
      </c>
      <c r="G26" s="48">
        <f>VLOOKUP(D26,단가!B:D,3,0)</f>
        <v>10500</v>
      </c>
      <c r="H26" s="48">
        <f t="shared" si="1"/>
        <v>52500</v>
      </c>
      <c r="I26" s="48">
        <f t="shared" si="2"/>
        <v>5250</v>
      </c>
      <c r="J26" s="49">
        <f t="shared" si="0"/>
        <v>57750</v>
      </c>
    </row>
    <row r="27" spans="1:10" ht="19" customHeight="1">
      <c r="A27" s="66" t="s">
        <v>531</v>
      </c>
      <c r="C27" s="47" t="s">
        <v>217</v>
      </c>
      <c r="D27" s="47" t="s">
        <v>152</v>
      </c>
      <c r="E27" s="47" t="s">
        <v>60</v>
      </c>
      <c r="F27" s="48">
        <v>5</v>
      </c>
      <c r="G27" s="48">
        <f>VLOOKUP(D27,단가!B:D,3,0)</f>
        <v>10500</v>
      </c>
      <c r="H27" s="48">
        <f t="shared" si="1"/>
        <v>52500</v>
      </c>
      <c r="I27" s="48">
        <f t="shared" si="2"/>
        <v>5250</v>
      </c>
      <c r="J27" s="49">
        <f t="shared" si="0"/>
        <v>57750</v>
      </c>
    </row>
    <row r="28" spans="1:10" ht="19" customHeight="1">
      <c r="A28" s="66" t="s">
        <v>531</v>
      </c>
      <c r="C28" s="47" t="s">
        <v>217</v>
      </c>
      <c r="D28" s="47" t="s">
        <v>151</v>
      </c>
      <c r="E28" s="47" t="s">
        <v>60</v>
      </c>
      <c r="F28" s="48">
        <v>5</v>
      </c>
      <c r="G28" s="48">
        <f>VLOOKUP(D28,단가!B:D,3,0)</f>
        <v>10500</v>
      </c>
      <c r="H28" s="48">
        <f t="shared" si="1"/>
        <v>52500</v>
      </c>
      <c r="I28" s="48">
        <f t="shared" si="2"/>
        <v>5250</v>
      </c>
      <c r="J28" s="49">
        <f t="shared" si="0"/>
        <v>57750</v>
      </c>
    </row>
    <row r="29" spans="1:10" ht="19" customHeight="1">
      <c r="A29" s="66" t="s">
        <v>531</v>
      </c>
      <c r="C29" s="47" t="s">
        <v>217</v>
      </c>
      <c r="D29" s="47" t="s">
        <v>153</v>
      </c>
      <c r="E29" s="47" t="s">
        <v>60</v>
      </c>
      <c r="F29" s="48">
        <v>5</v>
      </c>
      <c r="G29" s="48">
        <f>VLOOKUP(D29,단가!B:D,3,0)</f>
        <v>10500</v>
      </c>
      <c r="H29" s="48">
        <f t="shared" si="1"/>
        <v>52500</v>
      </c>
      <c r="I29" s="48">
        <f t="shared" si="2"/>
        <v>5250</v>
      </c>
      <c r="J29" s="49">
        <f t="shared" si="0"/>
        <v>57750</v>
      </c>
    </row>
    <row r="30" spans="1:10" ht="19" customHeight="1">
      <c r="A30" s="66" t="s">
        <v>531</v>
      </c>
      <c r="C30" s="47" t="s">
        <v>217</v>
      </c>
      <c r="D30" s="47" t="s">
        <v>154</v>
      </c>
      <c r="E30" s="47" t="s">
        <v>60</v>
      </c>
      <c r="F30" s="48">
        <v>5</v>
      </c>
      <c r="G30" s="48">
        <f>VLOOKUP(D30,단가!B:D,3,0)</f>
        <v>10500</v>
      </c>
      <c r="H30" s="48">
        <f t="shared" si="1"/>
        <v>52500</v>
      </c>
      <c r="I30" s="48">
        <f t="shared" si="2"/>
        <v>5250</v>
      </c>
      <c r="J30" s="49">
        <f t="shared" si="0"/>
        <v>57750</v>
      </c>
    </row>
    <row r="31" spans="1:10" ht="19" customHeight="1">
      <c r="A31" s="66" t="s">
        <v>531</v>
      </c>
      <c r="C31" s="47" t="s">
        <v>217</v>
      </c>
      <c r="D31" s="47" t="s">
        <v>302</v>
      </c>
      <c r="E31" s="47" t="s">
        <v>57</v>
      </c>
      <c r="F31" s="48">
        <v>1</v>
      </c>
      <c r="G31" s="48">
        <f>VLOOKUP(D31,단가!B:D,3,0)</f>
        <v>22000</v>
      </c>
      <c r="H31" s="48">
        <f t="shared" si="1"/>
        <v>22000</v>
      </c>
      <c r="I31" s="48">
        <f t="shared" si="2"/>
        <v>2200</v>
      </c>
      <c r="J31" s="49">
        <f t="shared" si="0"/>
        <v>24200</v>
      </c>
    </row>
    <row r="32" spans="1:10" ht="19" customHeight="1">
      <c r="A32" s="62" t="s">
        <v>532</v>
      </c>
      <c r="C32" s="47" t="s">
        <v>533</v>
      </c>
      <c r="D32" s="47" t="s">
        <v>61</v>
      </c>
      <c r="E32" s="47" t="s">
        <v>57</v>
      </c>
      <c r="F32" s="48">
        <v>10</v>
      </c>
      <c r="G32" s="48">
        <f>VLOOKUP(D32,단가!B:D,3,0)</f>
        <v>20000</v>
      </c>
      <c r="H32" s="48">
        <f t="shared" si="1"/>
        <v>200000</v>
      </c>
      <c r="I32" s="48">
        <f t="shared" si="2"/>
        <v>20000</v>
      </c>
      <c r="J32" s="49">
        <f t="shared" si="0"/>
        <v>220000</v>
      </c>
    </row>
    <row r="33" spans="1:10" ht="19" customHeight="1">
      <c r="A33" s="62" t="s">
        <v>532</v>
      </c>
      <c r="C33" s="47" t="s">
        <v>533</v>
      </c>
      <c r="D33" s="47" t="s">
        <v>130</v>
      </c>
      <c r="E33" s="47" t="s">
        <v>131</v>
      </c>
      <c r="F33" s="48">
        <v>1</v>
      </c>
      <c r="G33" s="48">
        <f>VLOOKUP(D33,단가!B:D,3,0)</f>
        <v>8000</v>
      </c>
      <c r="H33" s="48">
        <f t="shared" si="1"/>
        <v>8000</v>
      </c>
      <c r="I33" s="48">
        <f t="shared" si="2"/>
        <v>800</v>
      </c>
      <c r="J33" s="49">
        <f t="shared" si="0"/>
        <v>8800</v>
      </c>
    </row>
    <row r="34" spans="1:10" ht="19" customHeight="1">
      <c r="A34" s="62" t="s">
        <v>534</v>
      </c>
      <c r="C34" s="47" t="s">
        <v>355</v>
      </c>
      <c r="D34" s="47" t="s">
        <v>61</v>
      </c>
      <c r="E34" s="47" t="s">
        <v>57</v>
      </c>
      <c r="F34" s="48">
        <v>3</v>
      </c>
      <c r="G34" s="48">
        <f>VLOOKUP(D34,단가!B:D,3,0)</f>
        <v>20000</v>
      </c>
      <c r="H34" s="48">
        <f t="shared" si="1"/>
        <v>60000</v>
      </c>
      <c r="I34" s="48">
        <f t="shared" si="2"/>
        <v>6000</v>
      </c>
      <c r="J34" s="49">
        <f t="shared" si="0"/>
        <v>66000</v>
      </c>
    </row>
    <row r="35" spans="1:10" ht="19" customHeight="1">
      <c r="A35" s="62" t="s">
        <v>535</v>
      </c>
      <c r="C35" s="47" t="s">
        <v>217</v>
      </c>
      <c r="D35" s="47" t="s">
        <v>61</v>
      </c>
      <c r="E35" s="47" t="s">
        <v>57</v>
      </c>
      <c r="F35" s="48">
        <v>5</v>
      </c>
      <c r="G35" s="48">
        <f>VLOOKUP(D35,단가!B:D,3,0)</f>
        <v>20000</v>
      </c>
      <c r="H35" s="48">
        <f t="shared" si="1"/>
        <v>100000</v>
      </c>
      <c r="I35" s="48">
        <f t="shared" si="2"/>
        <v>10000</v>
      </c>
      <c r="J35" s="49">
        <f t="shared" si="0"/>
        <v>110000</v>
      </c>
    </row>
    <row r="36" spans="1:10" ht="19" customHeight="1">
      <c r="A36" s="62" t="s">
        <v>535</v>
      </c>
      <c r="C36" s="47" t="s">
        <v>217</v>
      </c>
      <c r="D36" s="47" t="s">
        <v>302</v>
      </c>
      <c r="E36" s="47" t="s">
        <v>57</v>
      </c>
      <c r="F36" s="48">
        <v>2</v>
      </c>
      <c r="G36" s="48">
        <f>VLOOKUP(D36,단가!B:D,3,0)</f>
        <v>22000</v>
      </c>
      <c r="H36" s="48">
        <f t="shared" si="1"/>
        <v>44000</v>
      </c>
      <c r="I36" s="48">
        <f t="shared" si="2"/>
        <v>4400</v>
      </c>
      <c r="J36" s="49">
        <f t="shared" si="0"/>
        <v>48400</v>
      </c>
    </row>
    <row r="37" spans="1:10" ht="19" customHeight="1">
      <c r="A37" s="62" t="s">
        <v>536</v>
      </c>
      <c r="C37" s="47" t="s">
        <v>355</v>
      </c>
      <c r="D37" s="47" t="s">
        <v>61</v>
      </c>
      <c r="E37" s="47" t="s">
        <v>57</v>
      </c>
      <c r="F37" s="48">
        <v>3</v>
      </c>
      <c r="G37" s="48">
        <f>VLOOKUP(D37,단가!B:D,3,0)</f>
        <v>20000</v>
      </c>
      <c r="H37" s="48">
        <f t="shared" si="1"/>
        <v>60000</v>
      </c>
      <c r="I37" s="48">
        <f t="shared" si="2"/>
        <v>6000</v>
      </c>
      <c r="J37" s="49">
        <f t="shared" si="0"/>
        <v>66000</v>
      </c>
    </row>
    <row r="38" spans="1:10" ht="19" customHeight="1">
      <c r="A38" s="62" t="s">
        <v>537</v>
      </c>
      <c r="C38" s="47" t="s">
        <v>538</v>
      </c>
      <c r="D38" s="47" t="s">
        <v>61</v>
      </c>
      <c r="E38" s="47" t="s">
        <v>57</v>
      </c>
      <c r="F38" s="48">
        <v>10</v>
      </c>
      <c r="G38" s="48">
        <f>VLOOKUP(D38,단가!B:D,3,0)</f>
        <v>20000</v>
      </c>
      <c r="H38" s="48">
        <f t="shared" si="1"/>
        <v>200000</v>
      </c>
      <c r="I38" s="48">
        <f t="shared" si="2"/>
        <v>20000</v>
      </c>
      <c r="J38" s="49">
        <f t="shared" si="0"/>
        <v>220000</v>
      </c>
    </row>
    <row r="39" spans="1:10" ht="19" customHeight="1">
      <c r="A39" s="62" t="s">
        <v>539</v>
      </c>
      <c r="C39" s="47" t="s">
        <v>209</v>
      </c>
      <c r="D39" s="47" t="s">
        <v>61</v>
      </c>
      <c r="E39" s="47" t="s">
        <v>57</v>
      </c>
      <c r="F39" s="48">
        <v>3</v>
      </c>
      <c r="G39" s="48">
        <f>VLOOKUP(D39,단가!B:D,3,0)</f>
        <v>20000</v>
      </c>
      <c r="H39" s="48">
        <f t="shared" si="1"/>
        <v>60000</v>
      </c>
      <c r="I39" s="48">
        <f t="shared" si="2"/>
        <v>6000</v>
      </c>
      <c r="J39" s="49">
        <f t="shared" si="0"/>
        <v>66000</v>
      </c>
    </row>
    <row r="40" spans="1:10" ht="19" customHeight="1">
      <c r="A40" s="62" t="s">
        <v>539</v>
      </c>
      <c r="C40" s="47" t="s">
        <v>209</v>
      </c>
      <c r="D40" s="47" t="s">
        <v>302</v>
      </c>
      <c r="E40" s="47" t="s">
        <v>57</v>
      </c>
      <c r="F40" s="48">
        <v>1</v>
      </c>
      <c r="G40" s="48">
        <f>VLOOKUP(D40,단가!B:D,3,0)</f>
        <v>22000</v>
      </c>
      <c r="H40" s="48">
        <f t="shared" si="1"/>
        <v>22000</v>
      </c>
      <c r="I40" s="48">
        <f t="shared" si="2"/>
        <v>2200</v>
      </c>
      <c r="J40" s="49">
        <f t="shared" si="0"/>
        <v>24200</v>
      </c>
    </row>
    <row r="41" spans="1:10" ht="19" customHeight="1">
      <c r="A41" s="62" t="s">
        <v>539</v>
      </c>
      <c r="C41" s="47" t="s">
        <v>209</v>
      </c>
      <c r="D41" s="47" t="s">
        <v>149</v>
      </c>
      <c r="E41" s="47" t="s">
        <v>60</v>
      </c>
      <c r="F41" s="48">
        <v>1</v>
      </c>
      <c r="G41" s="48">
        <f>VLOOKUP(D41,단가!B:D,3,0)</f>
        <v>10500</v>
      </c>
      <c r="H41" s="48">
        <f t="shared" si="1"/>
        <v>10500</v>
      </c>
      <c r="I41" s="48">
        <f t="shared" si="2"/>
        <v>1050</v>
      </c>
      <c r="J41" s="49">
        <f t="shared" si="0"/>
        <v>11550</v>
      </c>
    </row>
    <row r="42" spans="1:10" ht="19" customHeight="1">
      <c r="A42" s="62" t="s">
        <v>539</v>
      </c>
      <c r="C42" s="47" t="s">
        <v>209</v>
      </c>
      <c r="D42" s="47" t="s">
        <v>151</v>
      </c>
      <c r="E42" s="47" t="s">
        <v>60</v>
      </c>
      <c r="F42" s="48">
        <v>1</v>
      </c>
      <c r="G42" s="48">
        <f>VLOOKUP(D42,단가!B:D,3,0)</f>
        <v>10500</v>
      </c>
      <c r="H42" s="48">
        <f t="shared" si="1"/>
        <v>10500</v>
      </c>
      <c r="I42" s="48">
        <f t="shared" si="2"/>
        <v>1050</v>
      </c>
      <c r="J42" s="49">
        <f t="shared" si="0"/>
        <v>11550</v>
      </c>
    </row>
    <row r="43" spans="1:10" ht="19" customHeight="1">
      <c r="A43" s="62" t="s">
        <v>540</v>
      </c>
      <c r="C43" s="47" t="s">
        <v>217</v>
      </c>
      <c r="D43" s="47" t="s">
        <v>61</v>
      </c>
      <c r="E43" s="47" t="s">
        <v>57</v>
      </c>
      <c r="F43" s="48">
        <v>3</v>
      </c>
      <c r="G43" s="48">
        <f>VLOOKUP(D43,단가!B:D,3,0)</f>
        <v>20000</v>
      </c>
      <c r="H43" s="48">
        <f t="shared" si="1"/>
        <v>60000</v>
      </c>
      <c r="I43" s="48">
        <f t="shared" si="2"/>
        <v>6000</v>
      </c>
      <c r="J43" s="49">
        <f t="shared" si="0"/>
        <v>66000</v>
      </c>
    </row>
    <row r="44" spans="1:10" ht="19" customHeight="1">
      <c r="A44" s="62" t="s">
        <v>540</v>
      </c>
      <c r="C44" s="47" t="s">
        <v>217</v>
      </c>
      <c r="D44" s="47" t="s">
        <v>152</v>
      </c>
      <c r="E44" s="47" t="s">
        <v>60</v>
      </c>
      <c r="F44" s="48">
        <v>5</v>
      </c>
      <c r="G44" s="48">
        <f>VLOOKUP(D44,단가!B:D,3,0)</f>
        <v>10500</v>
      </c>
      <c r="H44" s="48">
        <f t="shared" si="1"/>
        <v>52500</v>
      </c>
      <c r="I44" s="48">
        <f t="shared" si="2"/>
        <v>5250</v>
      </c>
      <c r="J44" s="49">
        <f t="shared" si="0"/>
        <v>57750</v>
      </c>
    </row>
    <row r="45" spans="1:10" ht="19" customHeight="1">
      <c r="A45" s="62" t="s">
        <v>540</v>
      </c>
      <c r="C45" s="47" t="s">
        <v>217</v>
      </c>
      <c r="D45" s="47" t="s">
        <v>146</v>
      </c>
      <c r="E45" s="47" t="s">
        <v>60</v>
      </c>
      <c r="F45" s="48">
        <v>5</v>
      </c>
      <c r="G45" s="48">
        <f>VLOOKUP(D45,단가!B:D,3,0)</f>
        <v>10500</v>
      </c>
      <c r="H45" s="48">
        <f t="shared" si="1"/>
        <v>52500</v>
      </c>
      <c r="I45" s="48">
        <f t="shared" si="2"/>
        <v>5250</v>
      </c>
      <c r="J45" s="49">
        <f t="shared" si="0"/>
        <v>57750</v>
      </c>
    </row>
    <row r="46" spans="1:10" ht="19" customHeight="1">
      <c r="A46" s="62" t="s">
        <v>540</v>
      </c>
      <c r="C46" s="47" t="s">
        <v>217</v>
      </c>
      <c r="D46" s="47" t="s">
        <v>147</v>
      </c>
      <c r="E46" s="47" t="s">
        <v>60</v>
      </c>
      <c r="F46" s="48">
        <v>5</v>
      </c>
      <c r="G46" s="48">
        <f>VLOOKUP(D46,단가!B:D,3,0)</f>
        <v>10500</v>
      </c>
      <c r="H46" s="48">
        <f t="shared" si="1"/>
        <v>52500</v>
      </c>
      <c r="I46" s="48">
        <f t="shared" si="2"/>
        <v>5250</v>
      </c>
      <c r="J46" s="49">
        <f t="shared" si="0"/>
        <v>57750</v>
      </c>
    </row>
    <row r="47" spans="1:10" ht="19" customHeight="1">
      <c r="A47" s="62" t="s">
        <v>540</v>
      </c>
      <c r="C47" s="47" t="s">
        <v>217</v>
      </c>
      <c r="D47" s="47" t="s">
        <v>151</v>
      </c>
      <c r="E47" s="47" t="s">
        <v>60</v>
      </c>
      <c r="F47" s="48">
        <v>5</v>
      </c>
      <c r="G47" s="48">
        <f>VLOOKUP(D47,단가!B:D,3,0)</f>
        <v>10500</v>
      </c>
      <c r="H47" s="48">
        <f t="shared" si="1"/>
        <v>52500</v>
      </c>
      <c r="I47" s="48">
        <f t="shared" si="2"/>
        <v>5250</v>
      </c>
      <c r="J47" s="49">
        <f t="shared" si="0"/>
        <v>57750</v>
      </c>
    </row>
    <row r="48" spans="1:10" ht="19" customHeight="1">
      <c r="A48" s="62" t="s">
        <v>540</v>
      </c>
      <c r="C48" s="47" t="s">
        <v>217</v>
      </c>
      <c r="D48" s="47" t="s">
        <v>148</v>
      </c>
      <c r="E48" s="47" t="s">
        <v>60</v>
      </c>
      <c r="F48" s="48">
        <v>5</v>
      </c>
      <c r="G48" s="48">
        <f>VLOOKUP(D48,단가!B:D,3,0)</f>
        <v>10500</v>
      </c>
      <c r="H48" s="48">
        <f t="shared" si="1"/>
        <v>52500</v>
      </c>
      <c r="I48" s="48">
        <f t="shared" si="2"/>
        <v>5250</v>
      </c>
      <c r="J48" s="49">
        <f t="shared" si="0"/>
        <v>57750</v>
      </c>
    </row>
    <row r="49" spans="1:10" ht="19" customHeight="1">
      <c r="A49" s="62" t="s">
        <v>540</v>
      </c>
      <c r="C49" s="47" t="s">
        <v>217</v>
      </c>
      <c r="D49" s="47" t="s">
        <v>150</v>
      </c>
      <c r="E49" s="47" t="s">
        <v>60</v>
      </c>
      <c r="F49" s="48">
        <v>5</v>
      </c>
      <c r="G49" s="48">
        <f>VLOOKUP(D49,단가!B:D,3,0)</f>
        <v>10500</v>
      </c>
      <c r="H49" s="48">
        <f t="shared" si="1"/>
        <v>52500</v>
      </c>
      <c r="I49" s="48">
        <f t="shared" si="2"/>
        <v>5250</v>
      </c>
      <c r="J49" s="49">
        <f t="shared" si="0"/>
        <v>57750</v>
      </c>
    </row>
    <row r="50" spans="1:10" ht="19" customHeight="1">
      <c r="A50" s="62" t="s">
        <v>540</v>
      </c>
      <c r="C50" s="47" t="s">
        <v>217</v>
      </c>
      <c r="D50" s="47" t="s">
        <v>149</v>
      </c>
      <c r="E50" s="47" t="s">
        <v>60</v>
      </c>
      <c r="F50" s="48">
        <v>5</v>
      </c>
      <c r="G50" s="48">
        <f>VLOOKUP(D50,단가!B:D,3,0)</f>
        <v>10500</v>
      </c>
      <c r="H50" s="48">
        <f t="shared" si="1"/>
        <v>52500</v>
      </c>
      <c r="I50" s="48">
        <f t="shared" si="2"/>
        <v>5250</v>
      </c>
      <c r="J50" s="49">
        <f t="shared" si="0"/>
        <v>57750</v>
      </c>
    </row>
    <row r="51" spans="1:10" ht="19" customHeight="1">
      <c r="A51" s="62" t="s">
        <v>540</v>
      </c>
      <c r="C51" s="47" t="s">
        <v>217</v>
      </c>
      <c r="D51" s="47" t="s">
        <v>153</v>
      </c>
      <c r="E51" s="47" t="s">
        <v>60</v>
      </c>
      <c r="F51" s="48">
        <v>5</v>
      </c>
      <c r="G51" s="48">
        <f>VLOOKUP(D51,단가!B:D,3,0)</f>
        <v>10500</v>
      </c>
      <c r="H51" s="48">
        <f t="shared" si="1"/>
        <v>52500</v>
      </c>
      <c r="I51" s="48">
        <f t="shared" si="2"/>
        <v>5250</v>
      </c>
      <c r="J51" s="49">
        <f t="shared" si="0"/>
        <v>57750</v>
      </c>
    </row>
    <row r="52" spans="1:10" ht="19" customHeight="1">
      <c r="A52" s="62" t="s">
        <v>540</v>
      </c>
      <c r="C52" s="47" t="s">
        <v>217</v>
      </c>
      <c r="D52" s="47" t="s">
        <v>154</v>
      </c>
      <c r="E52" s="47" t="s">
        <v>60</v>
      </c>
      <c r="F52" s="48">
        <v>5</v>
      </c>
      <c r="G52" s="48">
        <f>VLOOKUP(D52,단가!B:D,3,0)</f>
        <v>10500</v>
      </c>
      <c r="H52" s="48">
        <f t="shared" si="1"/>
        <v>52500</v>
      </c>
      <c r="I52" s="48">
        <f t="shared" si="2"/>
        <v>5250</v>
      </c>
      <c r="J52" s="49">
        <f t="shared" si="0"/>
        <v>57750</v>
      </c>
    </row>
    <row r="53" spans="1:10" ht="19" customHeight="1">
      <c r="A53" s="62" t="s">
        <v>540</v>
      </c>
      <c r="C53" s="47" t="s">
        <v>217</v>
      </c>
      <c r="D53" s="47" t="s">
        <v>541</v>
      </c>
      <c r="E53" s="47" t="s">
        <v>60</v>
      </c>
      <c r="F53" s="48">
        <v>5</v>
      </c>
      <c r="G53" s="48">
        <f>VLOOKUP(D53,단가!B:D,3,0)</f>
        <v>10500</v>
      </c>
      <c r="H53" s="48">
        <f t="shared" si="1"/>
        <v>52500</v>
      </c>
      <c r="I53" s="48">
        <f t="shared" si="2"/>
        <v>5250</v>
      </c>
      <c r="J53" s="49">
        <f t="shared" si="0"/>
        <v>57750</v>
      </c>
    </row>
    <row r="54" spans="1:10" ht="19" customHeight="1">
      <c r="A54" s="62" t="s">
        <v>542</v>
      </c>
      <c r="C54" s="47" t="s">
        <v>217</v>
      </c>
      <c r="D54" s="47" t="s">
        <v>61</v>
      </c>
      <c r="E54" s="47" t="s">
        <v>57</v>
      </c>
      <c r="F54" s="48">
        <v>2</v>
      </c>
      <c r="G54" s="48">
        <f>VLOOKUP(D54,단가!B:D,3,0)</f>
        <v>20000</v>
      </c>
      <c r="H54" s="48">
        <f t="shared" si="1"/>
        <v>40000</v>
      </c>
      <c r="I54" s="48">
        <f t="shared" si="2"/>
        <v>4000</v>
      </c>
      <c r="J54" s="49">
        <f t="shared" si="0"/>
        <v>44000</v>
      </c>
    </row>
    <row r="55" spans="1:10" ht="19" customHeight="1">
      <c r="A55" s="62" t="s">
        <v>544</v>
      </c>
      <c r="C55" s="47" t="s">
        <v>394</v>
      </c>
      <c r="D55" s="47" t="s">
        <v>405</v>
      </c>
      <c r="F55" s="48">
        <v>1</v>
      </c>
      <c r="G55" s="48">
        <f>VLOOKUP(D55,단가!B:D,3,0)</f>
        <v>30000</v>
      </c>
      <c r="H55" s="48">
        <f t="shared" si="1"/>
        <v>30000</v>
      </c>
      <c r="I55" s="48">
        <f t="shared" si="2"/>
        <v>3000</v>
      </c>
      <c r="J55" s="49">
        <f t="shared" si="0"/>
        <v>33000</v>
      </c>
    </row>
    <row r="56" spans="1:10" ht="19" customHeight="1">
      <c r="A56" s="62" t="s">
        <v>544</v>
      </c>
      <c r="C56" s="47" t="s">
        <v>483</v>
      </c>
      <c r="D56" s="47" t="s">
        <v>405</v>
      </c>
      <c r="F56" s="48">
        <v>1</v>
      </c>
      <c r="G56" s="48">
        <f>VLOOKUP(D56,단가!B:D,3,0)</f>
        <v>30000</v>
      </c>
      <c r="H56" s="48">
        <f t="shared" si="1"/>
        <v>30000</v>
      </c>
      <c r="I56" s="48">
        <f t="shared" si="2"/>
        <v>3000</v>
      </c>
      <c r="J56" s="49">
        <f t="shared" si="0"/>
        <v>33000</v>
      </c>
    </row>
    <row r="57" spans="1:10" ht="19" customHeight="1">
      <c r="A57" s="62" t="s">
        <v>543</v>
      </c>
      <c r="C57" s="47" t="s">
        <v>480</v>
      </c>
      <c r="D57" s="47" t="s">
        <v>405</v>
      </c>
      <c r="F57" s="48">
        <v>1</v>
      </c>
      <c r="G57" s="48">
        <f>VLOOKUP(D57,단가!B:D,3,0)</f>
        <v>30000</v>
      </c>
      <c r="H57" s="48">
        <f t="shared" si="1"/>
        <v>30000</v>
      </c>
      <c r="I57" s="48">
        <f t="shared" si="2"/>
        <v>3000</v>
      </c>
      <c r="J57" s="49">
        <f t="shared" si="0"/>
        <v>33000</v>
      </c>
    </row>
    <row r="58" spans="1:10" ht="19" customHeight="1">
      <c r="A58" s="62" t="s">
        <v>543</v>
      </c>
      <c r="C58" s="47" t="s">
        <v>467</v>
      </c>
      <c r="D58" s="47" t="s">
        <v>405</v>
      </c>
      <c r="F58" s="48">
        <v>1</v>
      </c>
      <c r="G58" s="48">
        <f>VLOOKUP(D58,단가!B:D,3,0)</f>
        <v>30000</v>
      </c>
      <c r="H58" s="48">
        <f t="shared" si="1"/>
        <v>30000</v>
      </c>
      <c r="I58" s="48">
        <f t="shared" si="2"/>
        <v>3000</v>
      </c>
      <c r="J58" s="49">
        <f t="shared" si="0"/>
        <v>33000</v>
      </c>
    </row>
    <row r="59" spans="1:10" ht="19" customHeight="1">
      <c r="A59" s="62" t="s">
        <v>543</v>
      </c>
      <c r="C59" s="47" t="s">
        <v>486</v>
      </c>
      <c r="D59" s="47" t="s">
        <v>405</v>
      </c>
      <c r="F59" s="48">
        <v>1</v>
      </c>
      <c r="G59" s="48">
        <f>VLOOKUP(D59,단가!B:D,3,0)</f>
        <v>30000</v>
      </c>
      <c r="H59" s="48">
        <f t="shared" si="1"/>
        <v>30000</v>
      </c>
      <c r="I59" s="48">
        <f t="shared" si="2"/>
        <v>3000</v>
      </c>
      <c r="J59" s="49">
        <f t="shared" si="0"/>
        <v>33000</v>
      </c>
    </row>
    <row r="60" spans="1:10" ht="19" customHeight="1">
      <c r="A60" s="62" t="s">
        <v>543</v>
      </c>
      <c r="C60" s="47" t="s">
        <v>316</v>
      </c>
      <c r="D60" s="47" t="s">
        <v>405</v>
      </c>
      <c r="F60" s="48">
        <v>1</v>
      </c>
      <c r="G60" s="48">
        <f>VLOOKUP(D60,단가!B:D,3,0)</f>
        <v>30000</v>
      </c>
      <c r="H60" s="48">
        <f t="shared" si="1"/>
        <v>30000</v>
      </c>
      <c r="I60" s="48">
        <f t="shared" si="2"/>
        <v>3000</v>
      </c>
      <c r="J60" s="49">
        <f t="shared" si="0"/>
        <v>33000</v>
      </c>
    </row>
    <row r="61" spans="1:10" ht="19" customHeight="1">
      <c r="A61" s="62" t="s">
        <v>543</v>
      </c>
      <c r="C61" s="47" t="s">
        <v>434</v>
      </c>
      <c r="D61" s="47" t="s">
        <v>405</v>
      </c>
      <c r="F61" s="48">
        <v>1</v>
      </c>
      <c r="G61" s="48">
        <f>VLOOKUP(D61,단가!B:D,3,0)</f>
        <v>30000</v>
      </c>
      <c r="H61" s="48">
        <f t="shared" si="1"/>
        <v>30000</v>
      </c>
      <c r="I61" s="48">
        <f t="shared" si="2"/>
        <v>3000</v>
      </c>
      <c r="J61" s="49">
        <f t="shared" si="0"/>
        <v>33000</v>
      </c>
    </row>
    <row r="62" spans="1:10" ht="19" customHeight="1">
      <c r="A62" s="62" t="s">
        <v>545</v>
      </c>
      <c r="C62" s="47" t="s">
        <v>209</v>
      </c>
      <c r="D62" s="47" t="s">
        <v>61</v>
      </c>
      <c r="E62" s="47" t="s">
        <v>57</v>
      </c>
      <c r="F62" s="48">
        <v>5</v>
      </c>
      <c r="G62" s="48">
        <f>VLOOKUP(D62,단가!B:D,3,0)</f>
        <v>20000</v>
      </c>
      <c r="H62" s="48">
        <f t="shared" si="1"/>
        <v>100000</v>
      </c>
      <c r="I62" s="48">
        <f t="shared" si="2"/>
        <v>10000</v>
      </c>
      <c r="J62" s="49">
        <f t="shared" si="0"/>
        <v>110000</v>
      </c>
    </row>
    <row r="63" spans="1:10" ht="19" customHeight="1">
      <c r="A63" s="62" t="s">
        <v>545</v>
      </c>
      <c r="C63" s="47" t="s">
        <v>209</v>
      </c>
      <c r="D63" s="47" t="s">
        <v>178</v>
      </c>
      <c r="E63" s="47" t="s">
        <v>60</v>
      </c>
      <c r="F63" s="48">
        <v>1</v>
      </c>
      <c r="G63" s="48">
        <f>VLOOKUP(D63,단가!B:D,3,0)</f>
        <v>10500</v>
      </c>
      <c r="H63" s="48">
        <f t="shared" si="1"/>
        <v>10500</v>
      </c>
      <c r="I63" s="48">
        <f t="shared" si="2"/>
        <v>1050</v>
      </c>
      <c r="J63" s="49">
        <f t="shared" si="0"/>
        <v>11550</v>
      </c>
    </row>
    <row r="64" spans="1:10" ht="19" customHeight="1">
      <c r="A64" s="62" t="s">
        <v>545</v>
      </c>
      <c r="C64" s="47" t="s">
        <v>209</v>
      </c>
      <c r="D64" s="47" t="s">
        <v>162</v>
      </c>
      <c r="E64" s="47" t="s">
        <v>92</v>
      </c>
      <c r="F64" s="48">
        <v>1</v>
      </c>
      <c r="G64" s="48">
        <f>VLOOKUP(D64,단가!B:D,3,0)</f>
        <v>10500</v>
      </c>
      <c r="H64" s="48">
        <f t="shared" si="1"/>
        <v>10500</v>
      </c>
      <c r="I64" s="48">
        <f t="shared" si="2"/>
        <v>1050</v>
      </c>
      <c r="J64" s="49">
        <f t="shared" si="0"/>
        <v>11550</v>
      </c>
    </row>
    <row r="65" spans="1:13" ht="19" customHeight="1">
      <c r="A65" s="62" t="s">
        <v>546</v>
      </c>
      <c r="C65" s="47" t="s">
        <v>547</v>
      </c>
      <c r="D65" s="47" t="s">
        <v>61</v>
      </c>
      <c r="E65" s="47" t="s">
        <v>57</v>
      </c>
      <c r="F65" s="48">
        <v>5</v>
      </c>
      <c r="G65" s="48">
        <f>VLOOKUP(D65,단가!B:D,3,0)</f>
        <v>20000</v>
      </c>
      <c r="H65" s="48">
        <f t="shared" si="1"/>
        <v>100000</v>
      </c>
      <c r="I65" s="48">
        <f t="shared" si="2"/>
        <v>10000</v>
      </c>
      <c r="J65" s="49">
        <f t="shared" si="0"/>
        <v>110000</v>
      </c>
    </row>
    <row r="66" spans="1:13" ht="19" customHeight="1">
      <c r="A66" s="62" t="s">
        <v>546</v>
      </c>
      <c r="C66" s="47" t="s">
        <v>547</v>
      </c>
      <c r="D66" s="47" t="s">
        <v>548</v>
      </c>
      <c r="E66" s="47" t="s">
        <v>57</v>
      </c>
      <c r="F66" s="48">
        <v>5</v>
      </c>
      <c r="G66" s="48">
        <f>VLOOKUP(D66,단가!B:D,3,0)</f>
        <v>22000</v>
      </c>
      <c r="H66" s="48">
        <f t="shared" si="1"/>
        <v>110000</v>
      </c>
      <c r="I66" s="48">
        <f t="shared" si="2"/>
        <v>11000</v>
      </c>
      <c r="J66" s="49">
        <f t="shared" ref="J66:J142" si="3">H66+I66</f>
        <v>121000</v>
      </c>
    </row>
    <row r="67" spans="1:13" ht="19" customHeight="1">
      <c r="A67" s="62" t="s">
        <v>546</v>
      </c>
      <c r="C67" s="47" t="s">
        <v>549</v>
      </c>
      <c r="D67" s="47" t="s">
        <v>548</v>
      </c>
      <c r="E67" s="47" t="s">
        <v>57</v>
      </c>
      <c r="F67" s="48">
        <v>10</v>
      </c>
      <c r="G67" s="48">
        <f>VLOOKUP(D67,단가!B:D,3,0)</f>
        <v>22000</v>
      </c>
      <c r="H67" s="48">
        <f t="shared" ref="H67:H143" si="4">F67*G67</f>
        <v>220000</v>
      </c>
      <c r="I67" s="48">
        <f t="shared" ref="I67:I143" si="5">H67*0.1</f>
        <v>22000</v>
      </c>
      <c r="J67" s="49">
        <f t="shared" si="3"/>
        <v>242000</v>
      </c>
    </row>
    <row r="68" spans="1:13" ht="19" customHeight="1">
      <c r="A68" s="62" t="s">
        <v>550</v>
      </c>
      <c r="C68" s="47" t="s">
        <v>217</v>
      </c>
      <c r="D68" s="47" t="s">
        <v>551</v>
      </c>
      <c r="E68" s="47" t="s">
        <v>57</v>
      </c>
      <c r="F68" s="48">
        <v>5</v>
      </c>
      <c r="G68" s="48">
        <f>VLOOKUP(D68,단가!B:D,3,0)</f>
        <v>20000</v>
      </c>
      <c r="H68" s="48">
        <f t="shared" si="4"/>
        <v>100000</v>
      </c>
      <c r="I68" s="48">
        <f t="shared" si="5"/>
        <v>10000</v>
      </c>
      <c r="J68" s="49">
        <f t="shared" si="3"/>
        <v>110000</v>
      </c>
    </row>
    <row r="69" spans="1:13" ht="19" customHeight="1">
      <c r="A69" s="62" t="s">
        <v>550</v>
      </c>
      <c r="C69" s="47" t="s">
        <v>217</v>
      </c>
      <c r="D69" s="47" t="s">
        <v>146</v>
      </c>
      <c r="E69" s="47" t="s">
        <v>60</v>
      </c>
      <c r="F69" s="48">
        <v>2</v>
      </c>
      <c r="G69" s="48">
        <f>VLOOKUP(D69,단가!B:D,3,0)</f>
        <v>10500</v>
      </c>
      <c r="H69" s="48">
        <f t="shared" si="4"/>
        <v>21000</v>
      </c>
      <c r="I69" s="48">
        <f t="shared" si="5"/>
        <v>2100</v>
      </c>
      <c r="J69" s="49">
        <f t="shared" si="3"/>
        <v>23100</v>
      </c>
    </row>
    <row r="70" spans="1:13" ht="19" customHeight="1">
      <c r="A70" s="62" t="s">
        <v>552</v>
      </c>
      <c r="C70" s="47" t="s">
        <v>183</v>
      </c>
      <c r="D70" s="47" t="s">
        <v>130</v>
      </c>
      <c r="E70" s="47" t="s">
        <v>131</v>
      </c>
      <c r="F70" s="48">
        <v>2</v>
      </c>
      <c r="G70" s="48">
        <f>VLOOKUP(D70,단가!B:D,3,0)</f>
        <v>8000</v>
      </c>
      <c r="H70" s="48">
        <f t="shared" si="4"/>
        <v>16000</v>
      </c>
      <c r="I70" s="48">
        <f t="shared" si="5"/>
        <v>1600</v>
      </c>
      <c r="J70" s="49">
        <f t="shared" si="3"/>
        <v>17600</v>
      </c>
    </row>
    <row r="71" spans="1:13" ht="19" customHeight="1">
      <c r="A71" s="62" t="s">
        <v>552</v>
      </c>
      <c r="C71" s="47" t="s">
        <v>183</v>
      </c>
      <c r="D71" s="47" t="s">
        <v>553</v>
      </c>
      <c r="F71" s="48">
        <v>1</v>
      </c>
      <c r="G71" s="48">
        <f>VLOOKUP(D71,단가!B:D,3,0)</f>
        <v>3000</v>
      </c>
      <c r="H71" s="48">
        <f t="shared" si="4"/>
        <v>3000</v>
      </c>
      <c r="I71" s="48">
        <v>300</v>
      </c>
      <c r="J71" s="49">
        <f t="shared" si="3"/>
        <v>3300</v>
      </c>
    </row>
    <row r="72" spans="1:13" ht="19" customHeight="1">
      <c r="A72" s="62" t="s">
        <v>554</v>
      </c>
      <c r="C72" s="47" t="s">
        <v>394</v>
      </c>
      <c r="D72" s="47" t="s">
        <v>315</v>
      </c>
      <c r="E72" s="47" t="s">
        <v>57</v>
      </c>
      <c r="F72" s="48">
        <v>4</v>
      </c>
      <c r="G72" s="48">
        <f>VLOOKUP(D72,단가!B:D,3,0)</f>
        <v>32000</v>
      </c>
      <c r="H72" s="48">
        <f t="shared" si="4"/>
        <v>128000</v>
      </c>
      <c r="I72" s="48">
        <f t="shared" si="5"/>
        <v>12800</v>
      </c>
      <c r="J72" s="49">
        <f t="shared" si="3"/>
        <v>140800</v>
      </c>
    </row>
    <row r="73" spans="1:13" ht="19" customHeight="1">
      <c r="A73" s="62" t="s">
        <v>555</v>
      </c>
      <c r="C73" s="47" t="s">
        <v>217</v>
      </c>
      <c r="D73" s="47" t="s">
        <v>152</v>
      </c>
      <c r="E73" s="47" t="s">
        <v>60</v>
      </c>
      <c r="F73" s="48">
        <v>5</v>
      </c>
      <c r="G73" s="48">
        <f>VLOOKUP(D73,단가!B:D,3,0)</f>
        <v>10500</v>
      </c>
      <c r="H73" s="48">
        <f t="shared" si="4"/>
        <v>52500</v>
      </c>
      <c r="I73" s="48">
        <f t="shared" si="5"/>
        <v>5250</v>
      </c>
      <c r="J73" s="49">
        <f t="shared" si="3"/>
        <v>57750</v>
      </c>
    </row>
    <row r="74" spans="1:13" ht="19" customHeight="1">
      <c r="A74" s="62" t="s">
        <v>555</v>
      </c>
      <c r="C74" s="47" t="s">
        <v>217</v>
      </c>
      <c r="D74" s="47" t="s">
        <v>146</v>
      </c>
      <c r="E74" s="47" t="s">
        <v>60</v>
      </c>
      <c r="F74" s="48">
        <v>5</v>
      </c>
      <c r="G74" s="48">
        <f>VLOOKUP(D74,단가!B:D,3,0)</f>
        <v>10500</v>
      </c>
      <c r="H74" s="48">
        <f t="shared" si="4"/>
        <v>52500</v>
      </c>
      <c r="I74" s="48">
        <f t="shared" si="5"/>
        <v>5250</v>
      </c>
      <c r="J74" s="49">
        <f t="shared" si="3"/>
        <v>57750</v>
      </c>
    </row>
    <row r="75" spans="1:13" ht="19" customHeight="1">
      <c r="A75" s="62" t="s">
        <v>555</v>
      </c>
      <c r="C75" s="47" t="s">
        <v>217</v>
      </c>
      <c r="D75" s="47" t="s">
        <v>151</v>
      </c>
      <c r="E75" s="47" t="s">
        <v>60</v>
      </c>
      <c r="F75" s="48">
        <v>5</v>
      </c>
      <c r="G75" s="48">
        <f>VLOOKUP(D75,단가!B:D,3,0)</f>
        <v>10500</v>
      </c>
      <c r="H75" s="48">
        <f t="shared" si="4"/>
        <v>52500</v>
      </c>
      <c r="I75" s="48">
        <f t="shared" si="5"/>
        <v>5250</v>
      </c>
      <c r="J75" s="49">
        <f t="shared" si="3"/>
        <v>57750</v>
      </c>
      <c r="L75" s="56"/>
    </row>
    <row r="76" spans="1:13" ht="19" customHeight="1">
      <c r="A76" s="62" t="s">
        <v>555</v>
      </c>
      <c r="C76" s="47" t="s">
        <v>217</v>
      </c>
      <c r="D76" s="47" t="s">
        <v>147</v>
      </c>
      <c r="E76" s="47" t="s">
        <v>60</v>
      </c>
      <c r="F76" s="48">
        <v>5</v>
      </c>
      <c r="G76" s="48">
        <f>VLOOKUP(D76,단가!B:D,3,0)</f>
        <v>10500</v>
      </c>
      <c r="H76" s="48">
        <f t="shared" si="4"/>
        <v>52500</v>
      </c>
      <c r="I76" s="48">
        <f t="shared" si="5"/>
        <v>5250</v>
      </c>
      <c r="J76" s="49">
        <f t="shared" si="3"/>
        <v>57750</v>
      </c>
      <c r="L76" s="56"/>
    </row>
    <row r="77" spans="1:13" ht="19" customHeight="1">
      <c r="A77" s="62" t="s">
        <v>555</v>
      </c>
      <c r="C77" s="47" t="s">
        <v>217</v>
      </c>
      <c r="D77" s="47" t="s">
        <v>148</v>
      </c>
      <c r="E77" s="47" t="s">
        <v>60</v>
      </c>
      <c r="F77" s="48">
        <v>5</v>
      </c>
      <c r="G77" s="48">
        <f>VLOOKUP(D77,단가!B:D,3,0)</f>
        <v>10500</v>
      </c>
      <c r="H77" s="48">
        <f t="shared" si="4"/>
        <v>52500</v>
      </c>
      <c r="I77" s="48">
        <f t="shared" si="5"/>
        <v>5250</v>
      </c>
      <c r="J77" s="49">
        <f t="shared" si="3"/>
        <v>57750</v>
      </c>
    </row>
    <row r="78" spans="1:13" ht="19" customHeight="1">
      <c r="A78" s="62" t="s">
        <v>555</v>
      </c>
      <c r="C78" s="47" t="s">
        <v>217</v>
      </c>
      <c r="D78" s="47" t="s">
        <v>150</v>
      </c>
      <c r="E78" s="47" t="s">
        <v>60</v>
      </c>
      <c r="F78" s="48">
        <v>5</v>
      </c>
      <c r="G78" s="48">
        <f>VLOOKUP(D78,단가!B:D,3,0)</f>
        <v>10500</v>
      </c>
      <c r="H78" s="48">
        <f t="shared" si="4"/>
        <v>52500</v>
      </c>
      <c r="I78" s="48">
        <f t="shared" si="5"/>
        <v>5250</v>
      </c>
      <c r="J78" s="49">
        <f t="shared" si="3"/>
        <v>57750</v>
      </c>
      <c r="L78" s="56"/>
    </row>
    <row r="79" spans="1:13" ht="19" customHeight="1">
      <c r="A79" s="62" t="s">
        <v>555</v>
      </c>
      <c r="C79" s="47" t="s">
        <v>217</v>
      </c>
      <c r="D79" s="47" t="s">
        <v>149</v>
      </c>
      <c r="E79" s="47" t="s">
        <v>60</v>
      </c>
      <c r="F79" s="48">
        <v>5</v>
      </c>
      <c r="G79" s="48">
        <f>VLOOKUP(D79,단가!B:D,3,0)</f>
        <v>10500</v>
      </c>
      <c r="H79" s="48">
        <f t="shared" si="4"/>
        <v>52500</v>
      </c>
      <c r="I79" s="48">
        <f t="shared" si="5"/>
        <v>5250</v>
      </c>
      <c r="J79" s="49">
        <f t="shared" si="3"/>
        <v>57750</v>
      </c>
      <c r="L79" s="56"/>
      <c r="M79" s="56"/>
    </row>
    <row r="80" spans="1:13" ht="19" customHeight="1">
      <c r="A80" s="62" t="s">
        <v>555</v>
      </c>
      <c r="C80" s="47" t="s">
        <v>217</v>
      </c>
      <c r="D80" s="47" t="s">
        <v>154</v>
      </c>
      <c r="E80" s="47" t="s">
        <v>60</v>
      </c>
      <c r="F80" s="48">
        <v>5</v>
      </c>
      <c r="G80" s="48">
        <f>VLOOKUP(D80,단가!B:D,3,0)</f>
        <v>10500</v>
      </c>
      <c r="H80" s="48">
        <f t="shared" si="4"/>
        <v>52500</v>
      </c>
      <c r="I80" s="48">
        <f t="shared" si="5"/>
        <v>5250</v>
      </c>
      <c r="J80" s="49">
        <f t="shared" si="3"/>
        <v>57750</v>
      </c>
    </row>
    <row r="81" spans="1:12" ht="19" customHeight="1">
      <c r="A81" s="62" t="s">
        <v>555</v>
      </c>
      <c r="C81" s="47" t="s">
        <v>217</v>
      </c>
      <c r="D81" s="47" t="s">
        <v>153</v>
      </c>
      <c r="E81" s="47" t="s">
        <v>60</v>
      </c>
      <c r="F81" s="48">
        <v>5</v>
      </c>
      <c r="G81" s="48">
        <f>VLOOKUP(D81,단가!B:D,3,0)</f>
        <v>10500</v>
      </c>
      <c r="H81" s="48">
        <f t="shared" si="4"/>
        <v>52500</v>
      </c>
      <c r="I81" s="48">
        <f t="shared" si="5"/>
        <v>5250</v>
      </c>
      <c r="J81" s="49">
        <f t="shared" si="3"/>
        <v>57750</v>
      </c>
    </row>
    <row r="82" spans="1:12" ht="19" customHeight="1">
      <c r="A82" s="62" t="s">
        <v>554</v>
      </c>
      <c r="C82" s="47" t="s">
        <v>217</v>
      </c>
      <c r="D82" s="47" t="s">
        <v>61</v>
      </c>
      <c r="E82" s="47" t="s">
        <v>57</v>
      </c>
      <c r="F82" s="48">
        <v>1</v>
      </c>
      <c r="G82" s="48">
        <f>VLOOKUP(D82,단가!B:D,3,0)</f>
        <v>20000</v>
      </c>
      <c r="H82" s="48">
        <f t="shared" si="4"/>
        <v>20000</v>
      </c>
      <c r="I82" s="48">
        <f t="shared" si="5"/>
        <v>2000</v>
      </c>
      <c r="J82" s="49">
        <f t="shared" si="3"/>
        <v>22000</v>
      </c>
      <c r="L82" s="56"/>
    </row>
    <row r="83" spans="1:12" ht="19" customHeight="1">
      <c r="A83" s="62" t="s">
        <v>554</v>
      </c>
      <c r="C83" s="47" t="s">
        <v>217</v>
      </c>
      <c r="D83" s="47" t="s">
        <v>561</v>
      </c>
      <c r="E83" s="47" t="s">
        <v>57</v>
      </c>
      <c r="F83" s="48">
        <v>5</v>
      </c>
      <c r="G83" s="48">
        <f>VLOOKUP(D83,단가!B:D,3,0)</f>
        <v>22000</v>
      </c>
      <c r="H83" s="48">
        <f t="shared" si="4"/>
        <v>110000</v>
      </c>
      <c r="I83" s="48">
        <f t="shared" si="5"/>
        <v>11000</v>
      </c>
      <c r="J83" s="49">
        <f t="shared" si="3"/>
        <v>121000</v>
      </c>
    </row>
    <row r="84" spans="1:12" ht="19" customHeight="1">
      <c r="A84" s="62" t="s">
        <v>560</v>
      </c>
      <c r="C84" s="47" t="s">
        <v>556</v>
      </c>
      <c r="D84" s="47" t="s">
        <v>61</v>
      </c>
      <c r="E84" s="47" t="s">
        <v>57</v>
      </c>
      <c r="F84" s="48">
        <v>20</v>
      </c>
      <c r="G84" s="48">
        <f>VLOOKUP(D84,단가!B:D,3,0)</f>
        <v>20000</v>
      </c>
      <c r="H84" s="48">
        <f t="shared" si="4"/>
        <v>400000</v>
      </c>
      <c r="I84" s="48">
        <f t="shared" si="5"/>
        <v>40000</v>
      </c>
      <c r="J84" s="49">
        <f t="shared" si="3"/>
        <v>440000</v>
      </c>
    </row>
    <row r="85" spans="1:12" ht="19" customHeight="1">
      <c r="A85" s="62" t="s">
        <v>560</v>
      </c>
      <c r="C85" s="47" t="s">
        <v>556</v>
      </c>
      <c r="D85" s="47" t="s">
        <v>130</v>
      </c>
      <c r="E85" s="47" t="s">
        <v>131</v>
      </c>
      <c r="F85" s="48">
        <v>5</v>
      </c>
      <c r="G85" s="48">
        <f>VLOOKUP(D85,단가!B:D,3,0)</f>
        <v>8000</v>
      </c>
      <c r="H85" s="48">
        <f t="shared" si="4"/>
        <v>40000</v>
      </c>
      <c r="I85" s="48">
        <f t="shared" si="5"/>
        <v>4000</v>
      </c>
      <c r="J85" s="49">
        <f t="shared" si="3"/>
        <v>44000</v>
      </c>
    </row>
    <row r="86" spans="1:12" ht="19" customHeight="1">
      <c r="A86" s="62" t="s">
        <v>560</v>
      </c>
      <c r="C86" s="47" t="s">
        <v>556</v>
      </c>
      <c r="D86" s="47" t="s">
        <v>129</v>
      </c>
      <c r="E86" s="47" t="s">
        <v>131</v>
      </c>
      <c r="F86" s="48">
        <v>5</v>
      </c>
      <c r="G86" s="48">
        <f>VLOOKUP(D86,단가!B:D,3,0)</f>
        <v>6000</v>
      </c>
      <c r="H86" s="48">
        <f t="shared" si="4"/>
        <v>30000</v>
      </c>
      <c r="I86" s="48">
        <f t="shared" si="5"/>
        <v>3000</v>
      </c>
      <c r="J86" s="49">
        <f t="shared" si="3"/>
        <v>33000</v>
      </c>
    </row>
    <row r="87" spans="1:12" ht="19" customHeight="1">
      <c r="A87" s="62" t="s">
        <v>560</v>
      </c>
      <c r="C87" s="47" t="s">
        <v>217</v>
      </c>
      <c r="D87" s="47" t="s">
        <v>61</v>
      </c>
      <c r="E87" s="47" t="s">
        <v>57</v>
      </c>
      <c r="F87" s="48">
        <v>5</v>
      </c>
      <c r="G87" s="48">
        <f>VLOOKUP(D87,단가!B:D,3,0)</f>
        <v>20000</v>
      </c>
      <c r="H87" s="48">
        <f t="shared" si="4"/>
        <v>100000</v>
      </c>
      <c r="I87" s="48">
        <f t="shared" si="5"/>
        <v>10000</v>
      </c>
      <c r="J87" s="49">
        <f t="shared" si="3"/>
        <v>110000</v>
      </c>
    </row>
    <row r="88" spans="1:12" ht="19" customHeight="1">
      <c r="A88" s="62" t="s">
        <v>560</v>
      </c>
      <c r="C88" s="47" t="s">
        <v>217</v>
      </c>
      <c r="D88" s="47" t="s">
        <v>146</v>
      </c>
      <c r="E88" s="47" t="s">
        <v>60</v>
      </c>
      <c r="F88" s="48">
        <v>15</v>
      </c>
      <c r="G88" s="48">
        <f>VLOOKUP(D88,단가!B:D,3,0)</f>
        <v>10500</v>
      </c>
      <c r="H88" s="48">
        <f t="shared" si="4"/>
        <v>157500</v>
      </c>
      <c r="I88" s="48">
        <f t="shared" si="5"/>
        <v>15750</v>
      </c>
      <c r="J88" s="49">
        <f t="shared" si="3"/>
        <v>173250</v>
      </c>
    </row>
    <row r="89" spans="1:12" ht="19" customHeight="1">
      <c r="A89" s="62" t="s">
        <v>560</v>
      </c>
      <c r="C89" s="47" t="s">
        <v>217</v>
      </c>
      <c r="D89" s="47" t="s">
        <v>152</v>
      </c>
      <c r="E89" s="47" t="s">
        <v>60</v>
      </c>
      <c r="F89" s="48">
        <v>5</v>
      </c>
      <c r="G89" s="48">
        <f>VLOOKUP(D89,단가!B:D,3,0)</f>
        <v>10500</v>
      </c>
      <c r="H89" s="48">
        <f t="shared" si="4"/>
        <v>52500</v>
      </c>
      <c r="I89" s="48">
        <f t="shared" si="5"/>
        <v>5250</v>
      </c>
      <c r="J89" s="49">
        <f t="shared" si="3"/>
        <v>57750</v>
      </c>
    </row>
    <row r="90" spans="1:12" ht="19" customHeight="1">
      <c r="A90" s="62" t="s">
        <v>560</v>
      </c>
      <c r="C90" s="47" t="s">
        <v>217</v>
      </c>
      <c r="D90" s="47" t="s">
        <v>153</v>
      </c>
      <c r="E90" s="47" t="s">
        <v>60</v>
      </c>
      <c r="F90" s="48">
        <v>5</v>
      </c>
      <c r="G90" s="48">
        <f>VLOOKUP(D90,단가!B:D,3,0)</f>
        <v>10500</v>
      </c>
      <c r="H90" s="48">
        <f t="shared" si="4"/>
        <v>52500</v>
      </c>
      <c r="I90" s="48">
        <f t="shared" si="5"/>
        <v>5250</v>
      </c>
      <c r="J90" s="49">
        <f t="shared" si="3"/>
        <v>57750</v>
      </c>
    </row>
    <row r="91" spans="1:12" ht="19" customHeight="1">
      <c r="A91" s="62" t="s">
        <v>560</v>
      </c>
      <c r="C91" s="47" t="s">
        <v>217</v>
      </c>
      <c r="D91" s="47" t="s">
        <v>149</v>
      </c>
      <c r="E91" s="47" t="s">
        <v>60</v>
      </c>
      <c r="F91" s="48">
        <v>5</v>
      </c>
      <c r="G91" s="48">
        <f>VLOOKUP(D91,단가!B:D,3,0)</f>
        <v>10500</v>
      </c>
      <c r="H91" s="48">
        <f t="shared" si="4"/>
        <v>52500</v>
      </c>
      <c r="I91" s="48">
        <f t="shared" si="5"/>
        <v>5250</v>
      </c>
      <c r="J91" s="49">
        <f t="shared" si="3"/>
        <v>57750</v>
      </c>
    </row>
    <row r="92" spans="1:12" ht="19" customHeight="1">
      <c r="A92" s="62" t="s">
        <v>562</v>
      </c>
      <c r="C92" s="47" t="s">
        <v>355</v>
      </c>
      <c r="D92" s="47" t="s">
        <v>61</v>
      </c>
      <c r="E92" s="47" t="s">
        <v>57</v>
      </c>
      <c r="F92" s="48">
        <v>3</v>
      </c>
      <c r="G92" s="48">
        <f>VLOOKUP(D92,단가!B:D,3,0)</f>
        <v>20000</v>
      </c>
      <c r="H92" s="48">
        <f t="shared" si="4"/>
        <v>60000</v>
      </c>
      <c r="I92" s="48">
        <f t="shared" si="5"/>
        <v>6000</v>
      </c>
      <c r="J92" s="49">
        <f t="shared" si="3"/>
        <v>66000</v>
      </c>
    </row>
    <row r="93" spans="1:12" ht="19" customHeight="1">
      <c r="A93" s="62" t="s">
        <v>564</v>
      </c>
      <c r="C93" s="47" t="s">
        <v>483</v>
      </c>
      <c r="D93" s="47" t="s">
        <v>315</v>
      </c>
      <c r="E93" s="47" t="s">
        <v>57</v>
      </c>
      <c r="F93" s="48">
        <v>4</v>
      </c>
      <c r="G93" s="48">
        <f>VLOOKUP(D93,단가!B:D,3,0)</f>
        <v>32000</v>
      </c>
      <c r="H93" s="48">
        <f t="shared" si="4"/>
        <v>128000</v>
      </c>
      <c r="I93" s="48">
        <f t="shared" si="5"/>
        <v>12800</v>
      </c>
      <c r="J93" s="49">
        <f t="shared" si="3"/>
        <v>140800</v>
      </c>
    </row>
    <row r="94" spans="1:12" ht="19" customHeight="1">
      <c r="A94" s="62" t="s">
        <v>564</v>
      </c>
      <c r="C94" s="47" t="s">
        <v>483</v>
      </c>
      <c r="D94" s="47" t="s">
        <v>563</v>
      </c>
      <c r="E94" s="47" t="s">
        <v>565</v>
      </c>
      <c r="F94" s="48">
        <v>1</v>
      </c>
      <c r="G94" s="48">
        <v>3500</v>
      </c>
      <c r="H94" s="48">
        <f t="shared" si="4"/>
        <v>3500</v>
      </c>
      <c r="I94" s="48">
        <f t="shared" si="5"/>
        <v>350</v>
      </c>
      <c r="J94" s="49">
        <f t="shared" si="3"/>
        <v>3850</v>
      </c>
    </row>
    <row r="95" spans="1:12" ht="19" customHeight="1">
      <c r="A95" s="62" t="s">
        <v>564</v>
      </c>
      <c r="C95" s="47" t="s">
        <v>209</v>
      </c>
      <c r="D95" s="47" t="s">
        <v>61</v>
      </c>
      <c r="E95" s="47" t="s">
        <v>57</v>
      </c>
      <c r="F95" s="48">
        <v>5</v>
      </c>
      <c r="G95" s="48">
        <f>VLOOKUP(D95,단가!B:D,3,0)</f>
        <v>20000</v>
      </c>
      <c r="H95" s="48">
        <f t="shared" si="4"/>
        <v>100000</v>
      </c>
      <c r="I95" s="48">
        <f t="shared" si="5"/>
        <v>10000</v>
      </c>
      <c r="J95" s="49">
        <f t="shared" si="3"/>
        <v>110000</v>
      </c>
    </row>
    <row r="96" spans="1:12" ht="19" customHeight="1">
      <c r="A96" s="62" t="s">
        <v>564</v>
      </c>
      <c r="C96" s="47" t="s">
        <v>209</v>
      </c>
      <c r="D96" s="47" t="s">
        <v>146</v>
      </c>
      <c r="E96" s="47" t="s">
        <v>60</v>
      </c>
      <c r="F96" s="48">
        <v>1</v>
      </c>
      <c r="G96" s="48">
        <f>VLOOKUP(D96,단가!B:D,3,0)</f>
        <v>10500</v>
      </c>
      <c r="H96" s="48">
        <f t="shared" si="4"/>
        <v>10500</v>
      </c>
      <c r="I96" s="48">
        <f t="shared" si="5"/>
        <v>1050</v>
      </c>
      <c r="J96" s="49">
        <f t="shared" si="3"/>
        <v>11550</v>
      </c>
      <c r="L96" s="56"/>
    </row>
    <row r="97" spans="1:13" ht="19" customHeight="1">
      <c r="A97" s="62" t="s">
        <v>566</v>
      </c>
      <c r="C97" s="47" t="s">
        <v>126</v>
      </c>
      <c r="D97" s="47" t="s">
        <v>61</v>
      </c>
      <c r="E97" s="47" t="s">
        <v>57</v>
      </c>
      <c r="F97" s="48">
        <v>10</v>
      </c>
      <c r="G97" s="48">
        <f>VLOOKUP(D97,단가!B:D,3,0)</f>
        <v>20000</v>
      </c>
      <c r="H97" s="48">
        <f t="shared" si="4"/>
        <v>200000</v>
      </c>
      <c r="I97" s="48">
        <f t="shared" si="5"/>
        <v>20000</v>
      </c>
      <c r="J97" s="49">
        <f t="shared" si="3"/>
        <v>220000</v>
      </c>
    </row>
    <row r="98" spans="1:13" ht="19" customHeight="1">
      <c r="A98" s="62" t="s">
        <v>566</v>
      </c>
      <c r="C98" s="47" t="s">
        <v>126</v>
      </c>
      <c r="D98" s="47" t="s">
        <v>130</v>
      </c>
      <c r="E98" s="47" t="s">
        <v>131</v>
      </c>
      <c r="F98" s="48">
        <v>2</v>
      </c>
      <c r="G98" s="48">
        <f>VLOOKUP(D98,단가!B:D,3,0)</f>
        <v>8000</v>
      </c>
      <c r="H98" s="48">
        <f t="shared" si="4"/>
        <v>16000</v>
      </c>
      <c r="I98" s="48">
        <f t="shared" si="5"/>
        <v>1600</v>
      </c>
      <c r="J98" s="49">
        <f t="shared" si="3"/>
        <v>17600</v>
      </c>
      <c r="M98" s="56"/>
    </row>
    <row r="99" spans="1:13" ht="19" customHeight="1">
      <c r="A99" s="62" t="s">
        <v>566</v>
      </c>
      <c r="C99" s="47" t="s">
        <v>217</v>
      </c>
      <c r="D99" s="47" t="s">
        <v>61</v>
      </c>
      <c r="E99" s="47" t="s">
        <v>57</v>
      </c>
      <c r="F99" s="48">
        <v>5</v>
      </c>
      <c r="G99" s="48">
        <f>VLOOKUP(D99,단가!B:D,3,0)</f>
        <v>20000</v>
      </c>
      <c r="H99" s="48">
        <f t="shared" si="4"/>
        <v>100000</v>
      </c>
      <c r="I99" s="48">
        <f t="shared" si="5"/>
        <v>10000</v>
      </c>
      <c r="J99" s="49">
        <f t="shared" si="3"/>
        <v>110000</v>
      </c>
    </row>
    <row r="100" spans="1:13" ht="19" customHeight="1">
      <c r="A100" s="62" t="s">
        <v>566</v>
      </c>
      <c r="C100" s="47" t="s">
        <v>217</v>
      </c>
      <c r="D100" s="47" t="s">
        <v>146</v>
      </c>
      <c r="E100" s="47" t="s">
        <v>60</v>
      </c>
      <c r="F100" s="48">
        <v>5</v>
      </c>
      <c r="G100" s="48">
        <f>VLOOKUP(D100,단가!B:D,3,0)</f>
        <v>10500</v>
      </c>
      <c r="H100" s="48">
        <f t="shared" si="4"/>
        <v>52500</v>
      </c>
      <c r="I100" s="48">
        <f t="shared" si="5"/>
        <v>5250</v>
      </c>
      <c r="J100" s="49">
        <f t="shared" si="3"/>
        <v>57750</v>
      </c>
    </row>
    <row r="101" spans="1:13" ht="19" customHeight="1">
      <c r="A101" s="62" t="s">
        <v>566</v>
      </c>
      <c r="C101" s="47" t="s">
        <v>217</v>
      </c>
      <c r="D101" s="47" t="s">
        <v>151</v>
      </c>
      <c r="E101" s="47" t="s">
        <v>60</v>
      </c>
      <c r="F101" s="48">
        <v>5</v>
      </c>
      <c r="G101" s="48">
        <f>VLOOKUP(D101,단가!B:D,3,0)</f>
        <v>10500</v>
      </c>
      <c r="H101" s="48">
        <f t="shared" si="4"/>
        <v>52500</v>
      </c>
      <c r="I101" s="48">
        <f t="shared" si="5"/>
        <v>5250</v>
      </c>
      <c r="J101" s="49">
        <f t="shared" si="3"/>
        <v>57750</v>
      </c>
    </row>
    <row r="102" spans="1:13" ht="19" customHeight="1">
      <c r="A102" s="62" t="s">
        <v>566</v>
      </c>
      <c r="C102" s="47" t="s">
        <v>217</v>
      </c>
      <c r="D102" s="47" t="s">
        <v>147</v>
      </c>
      <c r="E102" s="47" t="s">
        <v>60</v>
      </c>
      <c r="F102" s="48">
        <v>5</v>
      </c>
      <c r="G102" s="48">
        <f>VLOOKUP(D102,단가!B:D,3,0)</f>
        <v>10500</v>
      </c>
      <c r="H102" s="48">
        <f t="shared" si="4"/>
        <v>52500</v>
      </c>
      <c r="I102" s="48">
        <f t="shared" si="5"/>
        <v>5250</v>
      </c>
      <c r="J102" s="49">
        <f t="shared" si="3"/>
        <v>57750</v>
      </c>
    </row>
    <row r="103" spans="1:13" ht="19" customHeight="1">
      <c r="A103" s="62" t="s">
        <v>566</v>
      </c>
      <c r="C103" s="47" t="s">
        <v>217</v>
      </c>
      <c r="D103" s="47" t="s">
        <v>148</v>
      </c>
      <c r="E103" s="47" t="s">
        <v>60</v>
      </c>
      <c r="F103" s="48">
        <v>5</v>
      </c>
      <c r="G103" s="48">
        <f>VLOOKUP(D103,단가!B:D,3,0)</f>
        <v>10500</v>
      </c>
      <c r="H103" s="48">
        <f t="shared" si="4"/>
        <v>52500</v>
      </c>
      <c r="I103" s="48">
        <f t="shared" si="5"/>
        <v>5250</v>
      </c>
      <c r="J103" s="49">
        <f t="shared" si="3"/>
        <v>57750</v>
      </c>
    </row>
    <row r="104" spans="1:13" ht="19" customHeight="1">
      <c r="A104" s="62" t="s">
        <v>566</v>
      </c>
      <c r="C104" s="47" t="s">
        <v>573</v>
      </c>
      <c r="D104" s="47" t="s">
        <v>61</v>
      </c>
      <c r="E104" s="47" t="s">
        <v>57</v>
      </c>
      <c r="F104" s="48">
        <v>1</v>
      </c>
      <c r="G104" s="48">
        <f>VLOOKUP(D104,단가!B:D,3,0)</f>
        <v>20000</v>
      </c>
      <c r="H104" s="48">
        <f t="shared" si="4"/>
        <v>20000</v>
      </c>
      <c r="I104" s="48">
        <f t="shared" si="5"/>
        <v>2000</v>
      </c>
      <c r="J104" s="49">
        <f t="shared" si="3"/>
        <v>22000</v>
      </c>
    </row>
    <row r="105" spans="1:13" ht="19" customHeight="1">
      <c r="A105" s="62" t="s">
        <v>574</v>
      </c>
      <c r="C105" s="47" t="s">
        <v>209</v>
      </c>
      <c r="D105" s="47" t="s">
        <v>61</v>
      </c>
      <c r="E105" s="47" t="s">
        <v>57</v>
      </c>
      <c r="F105" s="48">
        <v>3</v>
      </c>
      <c r="G105" s="48">
        <f>VLOOKUP(D105,단가!B:D,3,0)</f>
        <v>20000</v>
      </c>
      <c r="H105" s="48">
        <f t="shared" si="4"/>
        <v>60000</v>
      </c>
      <c r="I105" s="48">
        <f t="shared" si="5"/>
        <v>6000</v>
      </c>
      <c r="J105" s="49">
        <f t="shared" si="3"/>
        <v>66000</v>
      </c>
      <c r="L105" s="56"/>
    </row>
    <row r="106" spans="1:13" ht="19" customHeight="1">
      <c r="A106" s="62" t="s">
        <v>574</v>
      </c>
      <c r="C106" s="47" t="s">
        <v>209</v>
      </c>
      <c r="D106" s="47" t="s">
        <v>575</v>
      </c>
      <c r="E106" s="47" t="s">
        <v>57</v>
      </c>
      <c r="F106" s="48">
        <v>1</v>
      </c>
      <c r="G106" s="48">
        <f>VLOOKUP(D106,단가!B:D,3,0)</f>
        <v>22000</v>
      </c>
      <c r="H106" s="48">
        <f t="shared" si="4"/>
        <v>22000</v>
      </c>
      <c r="I106" s="48">
        <f t="shared" si="5"/>
        <v>2200</v>
      </c>
      <c r="J106" s="49">
        <f t="shared" si="3"/>
        <v>24200</v>
      </c>
    </row>
    <row r="107" spans="1:13" ht="19" customHeight="1">
      <c r="A107" s="62" t="s">
        <v>576</v>
      </c>
      <c r="C107" s="47" t="s">
        <v>217</v>
      </c>
      <c r="D107" s="47" t="s">
        <v>152</v>
      </c>
      <c r="E107" s="47" t="s">
        <v>60</v>
      </c>
      <c r="F107" s="48">
        <v>10</v>
      </c>
      <c r="G107" s="48">
        <f>VLOOKUP(D107,단가!B:D,3,0)</f>
        <v>10500</v>
      </c>
      <c r="H107" s="48">
        <f t="shared" si="4"/>
        <v>105000</v>
      </c>
      <c r="I107" s="48">
        <f t="shared" si="5"/>
        <v>10500</v>
      </c>
      <c r="J107" s="49">
        <f t="shared" si="3"/>
        <v>115500</v>
      </c>
    </row>
    <row r="108" spans="1:13" ht="19" customHeight="1">
      <c r="A108" s="62" t="s">
        <v>576</v>
      </c>
      <c r="C108" s="47" t="s">
        <v>217</v>
      </c>
      <c r="D108" s="47" t="s">
        <v>153</v>
      </c>
      <c r="E108" s="47" t="s">
        <v>60</v>
      </c>
      <c r="F108" s="48">
        <v>5</v>
      </c>
      <c r="G108" s="48">
        <f>VLOOKUP(D108,단가!B:D,3,0)</f>
        <v>10500</v>
      </c>
      <c r="H108" s="48">
        <f t="shared" si="4"/>
        <v>52500</v>
      </c>
      <c r="I108" s="48">
        <f t="shared" si="5"/>
        <v>5250</v>
      </c>
      <c r="J108" s="49">
        <f t="shared" si="3"/>
        <v>57750</v>
      </c>
    </row>
    <row r="109" spans="1:13" ht="19" customHeight="1">
      <c r="A109" s="62" t="s">
        <v>576</v>
      </c>
      <c r="C109" s="47" t="s">
        <v>217</v>
      </c>
      <c r="D109" s="47" t="s">
        <v>154</v>
      </c>
      <c r="E109" s="47" t="s">
        <v>60</v>
      </c>
      <c r="F109" s="48">
        <v>5</v>
      </c>
      <c r="G109" s="48">
        <f>VLOOKUP(D109,단가!B:D,3,0)</f>
        <v>10500</v>
      </c>
      <c r="H109" s="48">
        <f t="shared" si="4"/>
        <v>52500</v>
      </c>
      <c r="I109" s="48">
        <f t="shared" si="5"/>
        <v>5250</v>
      </c>
      <c r="J109" s="49">
        <f t="shared" si="3"/>
        <v>57750</v>
      </c>
    </row>
    <row r="110" spans="1:13" ht="19" customHeight="1">
      <c r="A110" s="62" t="s">
        <v>576</v>
      </c>
      <c r="C110" s="47" t="s">
        <v>217</v>
      </c>
      <c r="D110" s="47" t="s">
        <v>149</v>
      </c>
      <c r="E110" s="47" t="s">
        <v>60</v>
      </c>
      <c r="F110" s="48">
        <v>5</v>
      </c>
      <c r="G110" s="48">
        <f>VLOOKUP(D110,단가!B:D,3,0)</f>
        <v>10500</v>
      </c>
      <c r="H110" s="48">
        <f t="shared" si="4"/>
        <v>52500</v>
      </c>
      <c r="I110" s="48">
        <f t="shared" si="5"/>
        <v>5250</v>
      </c>
      <c r="J110" s="49">
        <f t="shared" si="3"/>
        <v>57750</v>
      </c>
    </row>
    <row r="111" spans="1:13" ht="19" customHeight="1">
      <c r="A111" s="62" t="s">
        <v>576</v>
      </c>
      <c r="C111" s="47" t="s">
        <v>217</v>
      </c>
      <c r="D111" s="47" t="s">
        <v>150</v>
      </c>
      <c r="E111" s="47" t="s">
        <v>60</v>
      </c>
      <c r="F111" s="48">
        <v>5</v>
      </c>
      <c r="G111" s="48">
        <f>VLOOKUP(D111,단가!B:D,3,0)</f>
        <v>10500</v>
      </c>
      <c r="H111" s="48">
        <f t="shared" si="4"/>
        <v>52500</v>
      </c>
      <c r="I111" s="48">
        <f t="shared" si="5"/>
        <v>5250</v>
      </c>
      <c r="J111" s="49">
        <f t="shared" si="3"/>
        <v>57750</v>
      </c>
      <c r="L111" s="56"/>
    </row>
    <row r="112" spans="1:13" ht="19" customHeight="1">
      <c r="A112" s="62" t="s">
        <v>577</v>
      </c>
      <c r="C112" s="47" t="s">
        <v>578</v>
      </c>
      <c r="D112" s="47" t="s">
        <v>61</v>
      </c>
      <c r="E112" s="47" t="s">
        <v>57</v>
      </c>
      <c r="F112" s="48">
        <v>10</v>
      </c>
      <c r="G112" s="48">
        <f>VLOOKUP(D112,단가!B:D,3,0)</f>
        <v>20000</v>
      </c>
      <c r="H112" s="48">
        <f t="shared" si="4"/>
        <v>200000</v>
      </c>
      <c r="I112" s="48">
        <f t="shared" si="5"/>
        <v>20000</v>
      </c>
      <c r="J112" s="49">
        <f t="shared" si="3"/>
        <v>220000</v>
      </c>
      <c r="L112" s="56"/>
    </row>
    <row r="113" spans="1:10" ht="19" customHeight="1">
      <c r="A113" s="62" t="s">
        <v>579</v>
      </c>
      <c r="C113" s="47" t="s">
        <v>556</v>
      </c>
      <c r="D113" s="47" t="s">
        <v>61</v>
      </c>
      <c r="E113" s="47" t="s">
        <v>57</v>
      </c>
      <c r="F113" s="48">
        <v>10</v>
      </c>
      <c r="G113" s="48">
        <f>VLOOKUP(D113,단가!B:D,3,0)</f>
        <v>20000</v>
      </c>
      <c r="H113" s="48">
        <f t="shared" si="4"/>
        <v>200000</v>
      </c>
      <c r="I113" s="48">
        <f t="shared" si="5"/>
        <v>20000</v>
      </c>
      <c r="J113" s="49">
        <f t="shared" si="3"/>
        <v>220000</v>
      </c>
    </row>
    <row r="114" spans="1:10" ht="19" customHeight="1">
      <c r="A114" s="62" t="s">
        <v>579</v>
      </c>
      <c r="C114" s="47" t="s">
        <v>217</v>
      </c>
      <c r="D114" s="47" t="s">
        <v>61</v>
      </c>
      <c r="E114" s="47" t="s">
        <v>57</v>
      </c>
      <c r="F114" s="48">
        <v>2</v>
      </c>
      <c r="G114" s="48">
        <f>VLOOKUP(D114,단가!B:D,3,0)</f>
        <v>20000</v>
      </c>
      <c r="H114" s="48">
        <f t="shared" si="4"/>
        <v>40000</v>
      </c>
      <c r="I114" s="48">
        <f t="shared" si="5"/>
        <v>4000</v>
      </c>
      <c r="J114" s="49">
        <f t="shared" si="3"/>
        <v>44000</v>
      </c>
    </row>
    <row r="115" spans="1:10" ht="19" customHeight="1">
      <c r="A115" s="62" t="s">
        <v>579</v>
      </c>
      <c r="C115" s="47" t="s">
        <v>217</v>
      </c>
      <c r="D115" s="47" t="s">
        <v>151</v>
      </c>
      <c r="E115" s="47" t="s">
        <v>60</v>
      </c>
      <c r="F115" s="48">
        <v>5</v>
      </c>
      <c r="G115" s="48">
        <f>VLOOKUP(D115,단가!B:D,3,0)</f>
        <v>10500</v>
      </c>
      <c r="H115" s="48">
        <f t="shared" si="4"/>
        <v>52500</v>
      </c>
      <c r="I115" s="48">
        <f t="shared" si="5"/>
        <v>5250</v>
      </c>
      <c r="J115" s="49">
        <f t="shared" si="3"/>
        <v>57750</v>
      </c>
    </row>
    <row r="116" spans="1:10" ht="19" customHeight="1">
      <c r="A116" s="62" t="s">
        <v>579</v>
      </c>
      <c r="C116" s="47" t="s">
        <v>217</v>
      </c>
      <c r="D116" s="47" t="s">
        <v>146</v>
      </c>
      <c r="E116" s="47" t="s">
        <v>60</v>
      </c>
      <c r="F116" s="48">
        <v>5</v>
      </c>
      <c r="G116" s="48">
        <f>VLOOKUP(D116,단가!B:D,3,0)</f>
        <v>10500</v>
      </c>
      <c r="H116" s="48">
        <f t="shared" si="4"/>
        <v>52500</v>
      </c>
      <c r="I116" s="48">
        <f t="shared" si="5"/>
        <v>5250</v>
      </c>
      <c r="J116" s="49">
        <f t="shared" si="3"/>
        <v>57750</v>
      </c>
    </row>
    <row r="117" spans="1:10" ht="19" customHeight="1">
      <c r="A117" s="62" t="s">
        <v>579</v>
      </c>
      <c r="C117" s="47" t="s">
        <v>217</v>
      </c>
      <c r="D117" s="47" t="s">
        <v>148</v>
      </c>
      <c r="E117" s="47" t="s">
        <v>60</v>
      </c>
      <c r="F117" s="48">
        <v>5</v>
      </c>
      <c r="G117" s="48">
        <f>VLOOKUP(D117,단가!B:D,3,0)</f>
        <v>10500</v>
      </c>
      <c r="H117" s="48">
        <f t="shared" si="4"/>
        <v>52500</v>
      </c>
      <c r="I117" s="48">
        <f t="shared" si="5"/>
        <v>5250</v>
      </c>
      <c r="J117" s="49">
        <f t="shared" si="3"/>
        <v>57750</v>
      </c>
    </row>
    <row r="118" spans="1:10" ht="19" customHeight="1">
      <c r="A118" s="62" t="s">
        <v>579</v>
      </c>
      <c r="C118" s="47" t="s">
        <v>316</v>
      </c>
      <c r="D118" s="47" t="s">
        <v>405</v>
      </c>
      <c r="F118" s="48">
        <v>1</v>
      </c>
      <c r="G118" s="48">
        <f>VLOOKUP(D118,단가!B:D,3,0)</f>
        <v>30000</v>
      </c>
      <c r="H118" s="48">
        <f t="shared" ref="H118:H127" si="6">F118*G118</f>
        <v>30000</v>
      </c>
      <c r="I118" s="48">
        <f t="shared" ref="I118:I127" si="7">H118*0.1</f>
        <v>3000</v>
      </c>
      <c r="J118" s="49">
        <f t="shared" ref="J118:J127" si="8">H118+I118</f>
        <v>33000</v>
      </c>
    </row>
    <row r="119" spans="1:10" ht="19" customHeight="1">
      <c r="A119" s="62" t="s">
        <v>583</v>
      </c>
      <c r="C119" s="47" t="s">
        <v>394</v>
      </c>
      <c r="D119" s="47" t="s">
        <v>405</v>
      </c>
      <c r="F119" s="48">
        <v>1</v>
      </c>
      <c r="G119" s="48">
        <f>VLOOKUP(D119,단가!B:D,3,0)</f>
        <v>30000</v>
      </c>
      <c r="H119" s="48">
        <f t="shared" si="6"/>
        <v>30000</v>
      </c>
      <c r="I119" s="48">
        <f t="shared" si="7"/>
        <v>3000</v>
      </c>
      <c r="J119" s="49">
        <f t="shared" si="8"/>
        <v>33000</v>
      </c>
    </row>
    <row r="120" spans="1:10" ht="19" customHeight="1">
      <c r="A120" s="62" t="s">
        <v>583</v>
      </c>
      <c r="C120" s="47" t="s">
        <v>434</v>
      </c>
      <c r="D120" s="47" t="s">
        <v>405</v>
      </c>
      <c r="F120" s="48">
        <v>1</v>
      </c>
      <c r="G120" s="48">
        <f>VLOOKUP(D120,단가!B:D,3,0)</f>
        <v>30000</v>
      </c>
      <c r="H120" s="48">
        <f t="shared" si="6"/>
        <v>30000</v>
      </c>
      <c r="I120" s="48">
        <f t="shared" si="7"/>
        <v>3000</v>
      </c>
      <c r="J120" s="49">
        <f t="shared" si="8"/>
        <v>33000</v>
      </c>
    </row>
    <row r="121" spans="1:10" ht="19" customHeight="1">
      <c r="A121" s="62" t="s">
        <v>583</v>
      </c>
      <c r="C121" s="47" t="s">
        <v>467</v>
      </c>
      <c r="D121" s="47" t="s">
        <v>405</v>
      </c>
      <c r="F121" s="48">
        <v>1</v>
      </c>
      <c r="G121" s="48">
        <f>VLOOKUP(D121,단가!B:D,3,0)</f>
        <v>30000</v>
      </c>
      <c r="H121" s="48">
        <f t="shared" si="6"/>
        <v>30000</v>
      </c>
      <c r="I121" s="48">
        <f t="shared" si="7"/>
        <v>3000</v>
      </c>
      <c r="J121" s="49">
        <f t="shared" si="8"/>
        <v>33000</v>
      </c>
    </row>
    <row r="122" spans="1:10" ht="19" customHeight="1">
      <c r="A122" s="62" t="s">
        <v>583</v>
      </c>
      <c r="C122" s="47" t="s">
        <v>480</v>
      </c>
      <c r="D122" s="47" t="s">
        <v>405</v>
      </c>
      <c r="F122" s="48">
        <v>1</v>
      </c>
      <c r="G122" s="48">
        <f>VLOOKUP(D122,단가!B:D,3,0)</f>
        <v>30000</v>
      </c>
      <c r="H122" s="48">
        <f t="shared" si="6"/>
        <v>30000</v>
      </c>
      <c r="I122" s="48">
        <f t="shared" si="7"/>
        <v>3000</v>
      </c>
      <c r="J122" s="49">
        <f t="shared" si="8"/>
        <v>33000</v>
      </c>
    </row>
    <row r="123" spans="1:10" ht="19" customHeight="1">
      <c r="A123" s="62" t="s">
        <v>583</v>
      </c>
      <c r="C123" s="47" t="s">
        <v>483</v>
      </c>
      <c r="D123" s="47" t="s">
        <v>405</v>
      </c>
      <c r="F123" s="48">
        <v>1</v>
      </c>
      <c r="G123" s="48">
        <f>VLOOKUP(D123,단가!B:D,3,0)</f>
        <v>30000</v>
      </c>
      <c r="H123" s="48">
        <f t="shared" si="6"/>
        <v>30000</v>
      </c>
      <c r="I123" s="48">
        <f t="shared" si="7"/>
        <v>3000</v>
      </c>
      <c r="J123" s="49">
        <f t="shared" si="8"/>
        <v>33000</v>
      </c>
    </row>
    <row r="124" spans="1:10" ht="19" customHeight="1">
      <c r="A124" s="62" t="s">
        <v>583</v>
      </c>
      <c r="C124" s="47" t="s">
        <v>486</v>
      </c>
      <c r="D124" s="47" t="s">
        <v>405</v>
      </c>
      <c r="F124" s="48">
        <v>1</v>
      </c>
      <c r="G124" s="48">
        <f>VLOOKUP(D124,단가!B:D,3,0)</f>
        <v>30000</v>
      </c>
      <c r="H124" s="48">
        <f t="shared" si="6"/>
        <v>30000</v>
      </c>
      <c r="I124" s="48">
        <f t="shared" si="7"/>
        <v>3000</v>
      </c>
      <c r="J124" s="49">
        <f t="shared" si="8"/>
        <v>33000</v>
      </c>
    </row>
    <row r="125" spans="1:10" ht="19" customHeight="1">
      <c r="A125" s="62" t="s">
        <v>583</v>
      </c>
      <c r="C125" s="47" t="s">
        <v>501</v>
      </c>
      <c r="D125" s="47" t="s">
        <v>405</v>
      </c>
      <c r="F125" s="48">
        <v>1</v>
      </c>
      <c r="G125" s="48">
        <f>VLOOKUP(D125,단가!B:D,3,0)</f>
        <v>30000</v>
      </c>
      <c r="H125" s="48">
        <f t="shared" si="6"/>
        <v>30000</v>
      </c>
      <c r="I125" s="48">
        <f t="shared" si="7"/>
        <v>3000</v>
      </c>
      <c r="J125" s="49">
        <f t="shared" si="8"/>
        <v>33000</v>
      </c>
    </row>
    <row r="126" spans="1:10" ht="19" customHeight="1">
      <c r="A126" s="62" t="s">
        <v>583</v>
      </c>
      <c r="C126" s="47" t="s">
        <v>505</v>
      </c>
      <c r="D126" s="47" t="s">
        <v>405</v>
      </c>
      <c r="F126" s="48">
        <v>1</v>
      </c>
      <c r="G126" s="48">
        <f>VLOOKUP(D126,단가!B:D,3,0)</f>
        <v>30000</v>
      </c>
      <c r="H126" s="48">
        <f t="shared" si="6"/>
        <v>30000</v>
      </c>
      <c r="I126" s="48">
        <f t="shared" si="7"/>
        <v>3000</v>
      </c>
      <c r="J126" s="49">
        <f t="shared" si="8"/>
        <v>33000</v>
      </c>
    </row>
    <row r="127" spans="1:10" ht="19" customHeight="1">
      <c r="A127" s="62" t="s">
        <v>583</v>
      </c>
      <c r="C127" s="47" t="s">
        <v>508</v>
      </c>
      <c r="D127" s="47" t="s">
        <v>405</v>
      </c>
      <c r="F127" s="48">
        <v>1</v>
      </c>
      <c r="G127" s="48">
        <f>VLOOKUP(D127,단가!B:D,3,0)</f>
        <v>30000</v>
      </c>
      <c r="H127" s="48">
        <f t="shared" si="6"/>
        <v>30000</v>
      </c>
      <c r="I127" s="48">
        <f t="shared" si="7"/>
        <v>3000</v>
      </c>
      <c r="J127" s="49">
        <f t="shared" si="8"/>
        <v>33000</v>
      </c>
    </row>
    <row r="128" spans="1:10" ht="19" customHeight="1">
      <c r="A128" s="62" t="s">
        <v>580</v>
      </c>
      <c r="C128" s="47" t="s">
        <v>581</v>
      </c>
      <c r="D128" s="47" t="s">
        <v>61</v>
      </c>
      <c r="E128" s="47" t="s">
        <v>57</v>
      </c>
      <c r="F128" s="48">
        <v>3</v>
      </c>
      <c r="G128" s="48">
        <f>VLOOKUP(D128,단가!B:D,3,0)</f>
        <v>20000</v>
      </c>
      <c r="H128" s="48">
        <f t="shared" si="4"/>
        <v>60000</v>
      </c>
      <c r="I128" s="48">
        <f t="shared" si="5"/>
        <v>6000</v>
      </c>
      <c r="J128" s="49">
        <f t="shared" si="3"/>
        <v>66000</v>
      </c>
    </row>
    <row r="129" spans="1:14" ht="19" customHeight="1">
      <c r="A129" s="62" t="s">
        <v>580</v>
      </c>
      <c r="C129" s="47" t="s">
        <v>217</v>
      </c>
      <c r="D129" s="47" t="s">
        <v>61</v>
      </c>
      <c r="E129" s="47" t="s">
        <v>57</v>
      </c>
      <c r="F129" s="48">
        <v>5</v>
      </c>
      <c r="G129" s="48">
        <f>VLOOKUP(D129,단가!B:D,3,0)</f>
        <v>20000</v>
      </c>
      <c r="H129" s="48">
        <f t="shared" si="4"/>
        <v>100000</v>
      </c>
      <c r="I129" s="48">
        <f t="shared" si="5"/>
        <v>10000</v>
      </c>
      <c r="J129" s="49">
        <f t="shared" si="3"/>
        <v>110000</v>
      </c>
    </row>
    <row r="130" spans="1:14" ht="19" customHeight="1">
      <c r="A130" s="62" t="s">
        <v>580</v>
      </c>
      <c r="C130" s="47" t="s">
        <v>217</v>
      </c>
      <c r="D130" s="47" t="s">
        <v>582</v>
      </c>
      <c r="E130" s="47" t="s">
        <v>57</v>
      </c>
      <c r="F130" s="48">
        <v>1</v>
      </c>
      <c r="G130" s="48">
        <f>VLOOKUP(D130,단가!B:D,3,0)</f>
        <v>22000</v>
      </c>
      <c r="H130" s="48">
        <f t="shared" si="4"/>
        <v>22000</v>
      </c>
      <c r="I130" s="48">
        <f t="shared" si="5"/>
        <v>2200</v>
      </c>
      <c r="J130" s="49">
        <f t="shared" si="3"/>
        <v>24200</v>
      </c>
    </row>
    <row r="131" spans="1:14" ht="19" customHeight="1">
      <c r="A131" s="62" t="s">
        <v>584</v>
      </c>
      <c r="C131" s="47" t="s">
        <v>247</v>
      </c>
      <c r="D131" s="47" t="s">
        <v>302</v>
      </c>
      <c r="E131" s="47" t="s">
        <v>57</v>
      </c>
      <c r="F131" s="48">
        <v>10</v>
      </c>
      <c r="G131" s="48">
        <f>VLOOKUP(D131,단가!B:D,3,0)</f>
        <v>22000</v>
      </c>
      <c r="H131" s="48">
        <f t="shared" si="4"/>
        <v>220000</v>
      </c>
      <c r="I131" s="48">
        <f t="shared" si="5"/>
        <v>22000</v>
      </c>
      <c r="J131" s="49">
        <f t="shared" si="3"/>
        <v>242000</v>
      </c>
    </row>
    <row r="132" spans="1:14" ht="19" customHeight="1">
      <c r="A132" s="62" t="s">
        <v>585</v>
      </c>
      <c r="C132" s="47" t="s">
        <v>217</v>
      </c>
      <c r="D132" s="47" t="s">
        <v>151</v>
      </c>
      <c r="E132" s="47" t="s">
        <v>60</v>
      </c>
      <c r="F132" s="48">
        <v>5</v>
      </c>
      <c r="G132" s="48">
        <f>VLOOKUP(D132,단가!B:D,3,0)</f>
        <v>10500</v>
      </c>
      <c r="H132" s="48">
        <f t="shared" si="4"/>
        <v>52500</v>
      </c>
      <c r="I132" s="48">
        <f t="shared" si="5"/>
        <v>5250</v>
      </c>
      <c r="J132" s="49">
        <f t="shared" si="3"/>
        <v>57750</v>
      </c>
    </row>
    <row r="133" spans="1:14" ht="19" customHeight="1">
      <c r="A133" s="62" t="s">
        <v>585</v>
      </c>
      <c r="C133" s="47" t="s">
        <v>217</v>
      </c>
      <c r="D133" s="47" t="s">
        <v>152</v>
      </c>
      <c r="E133" s="47" t="s">
        <v>60</v>
      </c>
      <c r="F133" s="48">
        <v>5</v>
      </c>
      <c r="G133" s="48">
        <f>VLOOKUP(D133,단가!B:D,3,0)</f>
        <v>10500</v>
      </c>
      <c r="H133" s="48">
        <f t="shared" si="4"/>
        <v>52500</v>
      </c>
      <c r="I133" s="48">
        <f t="shared" si="5"/>
        <v>5250</v>
      </c>
      <c r="J133" s="49">
        <f t="shared" si="3"/>
        <v>57750</v>
      </c>
    </row>
    <row r="134" spans="1:14" ht="19" customHeight="1">
      <c r="A134" s="62" t="s">
        <v>585</v>
      </c>
      <c r="C134" s="47" t="s">
        <v>217</v>
      </c>
      <c r="D134" s="47" t="s">
        <v>149</v>
      </c>
      <c r="E134" s="47" t="s">
        <v>60</v>
      </c>
      <c r="F134" s="48">
        <v>5</v>
      </c>
      <c r="G134" s="48">
        <f>VLOOKUP(D134,단가!B:D,3,0)</f>
        <v>10500</v>
      </c>
      <c r="H134" s="48">
        <f t="shared" si="4"/>
        <v>52500</v>
      </c>
      <c r="I134" s="48">
        <f t="shared" si="5"/>
        <v>5250</v>
      </c>
      <c r="J134" s="49">
        <f t="shared" si="3"/>
        <v>57750</v>
      </c>
      <c r="N134" s="56"/>
    </row>
    <row r="135" spans="1:14" ht="19" customHeight="1">
      <c r="A135" s="62" t="s">
        <v>585</v>
      </c>
      <c r="C135" s="47" t="s">
        <v>217</v>
      </c>
      <c r="D135" s="47" t="s">
        <v>148</v>
      </c>
      <c r="E135" s="47" t="s">
        <v>60</v>
      </c>
      <c r="F135" s="48">
        <v>5</v>
      </c>
      <c r="G135" s="48">
        <f>VLOOKUP(D135,단가!B:D,3,0)</f>
        <v>10500</v>
      </c>
      <c r="H135" s="48">
        <f t="shared" si="4"/>
        <v>52500</v>
      </c>
      <c r="I135" s="48">
        <f t="shared" si="5"/>
        <v>5250</v>
      </c>
      <c r="J135" s="49">
        <f t="shared" si="3"/>
        <v>57750</v>
      </c>
    </row>
    <row r="136" spans="1:14" ht="19" customHeight="1">
      <c r="A136" s="62" t="s">
        <v>585</v>
      </c>
      <c r="C136" s="47" t="s">
        <v>217</v>
      </c>
      <c r="D136" s="47" t="s">
        <v>147</v>
      </c>
      <c r="E136" s="47" t="s">
        <v>60</v>
      </c>
      <c r="F136" s="48">
        <v>5</v>
      </c>
      <c r="G136" s="48">
        <f>VLOOKUP(D136,단가!B:D,3,0)</f>
        <v>10500</v>
      </c>
      <c r="H136" s="48">
        <f t="shared" si="4"/>
        <v>52500</v>
      </c>
      <c r="I136" s="48">
        <f t="shared" si="5"/>
        <v>5250</v>
      </c>
      <c r="J136" s="49">
        <f t="shared" si="3"/>
        <v>57750</v>
      </c>
    </row>
    <row r="137" spans="1:14" ht="19" customHeight="1">
      <c r="A137" s="62" t="s">
        <v>585</v>
      </c>
      <c r="C137" s="47" t="s">
        <v>217</v>
      </c>
      <c r="D137" s="47" t="s">
        <v>61</v>
      </c>
      <c r="E137" s="47" t="s">
        <v>57</v>
      </c>
      <c r="F137" s="48">
        <v>2</v>
      </c>
      <c r="G137" s="48">
        <f>VLOOKUP(D137,단가!B:D,3,0)</f>
        <v>20000</v>
      </c>
      <c r="H137" s="48">
        <f t="shared" si="4"/>
        <v>40000</v>
      </c>
      <c r="I137" s="48">
        <f t="shared" si="5"/>
        <v>4000</v>
      </c>
      <c r="J137" s="49">
        <f t="shared" si="3"/>
        <v>44000</v>
      </c>
    </row>
    <row r="138" spans="1:14" ht="19" customHeight="1">
      <c r="A138" s="62" t="s">
        <v>586</v>
      </c>
      <c r="C138" s="47" t="s">
        <v>467</v>
      </c>
      <c r="D138" s="47" t="s">
        <v>315</v>
      </c>
      <c r="E138" s="47" t="s">
        <v>57</v>
      </c>
      <c r="F138" s="48">
        <v>2</v>
      </c>
      <c r="G138" s="48">
        <f>VLOOKUP(D138,단가!B:D,3,0)</f>
        <v>32000</v>
      </c>
      <c r="H138" s="48">
        <f t="shared" si="4"/>
        <v>64000</v>
      </c>
      <c r="I138" s="48">
        <f t="shared" si="5"/>
        <v>6400</v>
      </c>
      <c r="J138" s="49">
        <f t="shared" si="3"/>
        <v>70400</v>
      </c>
    </row>
    <row r="139" spans="1:14" ht="19" customHeight="1">
      <c r="A139" s="62" t="s">
        <v>586</v>
      </c>
      <c r="C139" s="47" t="s">
        <v>209</v>
      </c>
      <c r="D139" s="47" t="s">
        <v>61</v>
      </c>
      <c r="E139" s="47" t="s">
        <v>57</v>
      </c>
      <c r="F139" s="48">
        <v>5</v>
      </c>
      <c r="G139" s="48">
        <f>VLOOKUP(D139,단가!B:D,3,0)</f>
        <v>20000</v>
      </c>
      <c r="H139" s="48">
        <f t="shared" si="4"/>
        <v>100000</v>
      </c>
      <c r="I139" s="48">
        <f t="shared" si="5"/>
        <v>10000</v>
      </c>
      <c r="J139" s="49">
        <f t="shared" si="3"/>
        <v>110000</v>
      </c>
    </row>
    <row r="140" spans="1:14" ht="19" customHeight="1">
      <c r="A140" s="62" t="s">
        <v>586</v>
      </c>
      <c r="C140" s="47" t="s">
        <v>209</v>
      </c>
      <c r="D140" s="47" t="s">
        <v>151</v>
      </c>
      <c r="E140" s="47" t="s">
        <v>60</v>
      </c>
      <c r="F140" s="48">
        <v>1</v>
      </c>
      <c r="G140" s="48">
        <f>VLOOKUP(D140,단가!B:D,3,0)</f>
        <v>10500</v>
      </c>
      <c r="H140" s="48">
        <f t="shared" si="4"/>
        <v>10500</v>
      </c>
      <c r="I140" s="48">
        <f t="shared" si="5"/>
        <v>1050</v>
      </c>
      <c r="J140" s="49">
        <f t="shared" si="3"/>
        <v>11550</v>
      </c>
    </row>
    <row r="141" spans="1:14" ht="19" customHeight="1">
      <c r="A141" s="62" t="s">
        <v>586</v>
      </c>
      <c r="C141" s="47" t="s">
        <v>587</v>
      </c>
      <c r="D141" s="47" t="s">
        <v>129</v>
      </c>
      <c r="E141" s="47" t="s">
        <v>131</v>
      </c>
      <c r="F141" s="48">
        <v>5</v>
      </c>
      <c r="G141" s="48">
        <f>VLOOKUP(D141,단가!B:D,3,0)</f>
        <v>6000</v>
      </c>
      <c r="H141" s="48">
        <f t="shared" si="4"/>
        <v>30000</v>
      </c>
      <c r="I141" s="48">
        <f t="shared" si="5"/>
        <v>3000</v>
      </c>
      <c r="J141" s="49">
        <f t="shared" si="3"/>
        <v>33000</v>
      </c>
    </row>
    <row r="142" spans="1:14" ht="19" customHeight="1">
      <c r="A142" s="62" t="s">
        <v>588</v>
      </c>
      <c r="C142" s="47" t="s">
        <v>567</v>
      </c>
      <c r="D142" s="47" t="s">
        <v>61</v>
      </c>
      <c r="E142" s="47" t="s">
        <v>57</v>
      </c>
      <c r="F142" s="48">
        <v>1</v>
      </c>
      <c r="G142" s="48">
        <f>VLOOKUP(D142,단가!B:D,3,0)</f>
        <v>20000</v>
      </c>
      <c r="H142" s="48">
        <f t="shared" si="4"/>
        <v>20000</v>
      </c>
      <c r="I142" s="48">
        <f t="shared" si="5"/>
        <v>2000</v>
      </c>
      <c r="J142" s="49">
        <f t="shared" si="3"/>
        <v>22000</v>
      </c>
    </row>
    <row r="143" spans="1:14" ht="19" customHeight="1">
      <c r="A143" s="62" t="s">
        <v>589</v>
      </c>
      <c r="C143" s="47" t="s">
        <v>217</v>
      </c>
      <c r="D143" s="67" t="s">
        <v>302</v>
      </c>
      <c r="E143" s="47" t="s">
        <v>60</v>
      </c>
      <c r="F143" s="48">
        <v>1</v>
      </c>
      <c r="G143" s="48">
        <f>VLOOKUP(D143,단가!B:D,3,0)</f>
        <v>22000</v>
      </c>
      <c r="H143" s="48">
        <f t="shared" si="4"/>
        <v>22000</v>
      </c>
      <c r="I143" s="48">
        <f t="shared" si="5"/>
        <v>2200</v>
      </c>
      <c r="J143" s="49">
        <f t="shared" ref="J143:J216" si="9">H143+I143</f>
        <v>24200</v>
      </c>
    </row>
    <row r="144" spans="1:14" ht="19" customHeight="1">
      <c r="A144" s="62" t="s">
        <v>589</v>
      </c>
      <c r="C144" s="47" t="s">
        <v>217</v>
      </c>
      <c r="D144" s="47" t="s">
        <v>154</v>
      </c>
      <c r="E144" s="47" t="s">
        <v>60</v>
      </c>
      <c r="F144" s="48">
        <v>5</v>
      </c>
      <c r="G144" s="48">
        <f>VLOOKUP(D144,단가!B:D,3,0)</f>
        <v>10500</v>
      </c>
      <c r="H144" s="48">
        <f t="shared" ref="H144:H217" si="10">F144*G144</f>
        <v>52500</v>
      </c>
      <c r="I144" s="48">
        <f t="shared" ref="I144:I217" si="11">H144*0.1</f>
        <v>5250</v>
      </c>
      <c r="J144" s="49">
        <f t="shared" si="9"/>
        <v>57750</v>
      </c>
    </row>
    <row r="145" spans="1:12" ht="19" customHeight="1">
      <c r="A145" s="62" t="s">
        <v>589</v>
      </c>
      <c r="C145" s="47" t="s">
        <v>217</v>
      </c>
      <c r="D145" s="47" t="s">
        <v>153</v>
      </c>
      <c r="E145" s="47" t="s">
        <v>590</v>
      </c>
      <c r="F145" s="48">
        <v>5</v>
      </c>
      <c r="G145" s="48">
        <f>VLOOKUP(D145,단가!B:D,3,0)</f>
        <v>10500</v>
      </c>
      <c r="H145" s="48">
        <f t="shared" si="10"/>
        <v>52500</v>
      </c>
      <c r="I145" s="48">
        <f t="shared" si="11"/>
        <v>5250</v>
      </c>
      <c r="J145" s="49">
        <f t="shared" si="9"/>
        <v>57750</v>
      </c>
    </row>
    <row r="146" spans="1:12" ht="19" customHeight="1">
      <c r="A146" s="62" t="s">
        <v>589</v>
      </c>
      <c r="C146" s="47" t="s">
        <v>217</v>
      </c>
      <c r="D146" s="47" t="s">
        <v>150</v>
      </c>
      <c r="E146" s="47" t="s">
        <v>590</v>
      </c>
      <c r="F146" s="48">
        <v>5</v>
      </c>
      <c r="G146" s="48">
        <f>VLOOKUP(D146,단가!B:D,3,0)</f>
        <v>10500</v>
      </c>
      <c r="H146" s="48">
        <f t="shared" si="10"/>
        <v>52500</v>
      </c>
      <c r="I146" s="48">
        <f t="shared" si="11"/>
        <v>5250</v>
      </c>
      <c r="J146" s="49">
        <f t="shared" si="9"/>
        <v>57750</v>
      </c>
    </row>
    <row r="147" spans="1:12" ht="19" customHeight="1">
      <c r="A147" s="62" t="s">
        <v>589</v>
      </c>
      <c r="C147" s="47" t="s">
        <v>217</v>
      </c>
      <c r="D147" s="47" t="s">
        <v>149</v>
      </c>
      <c r="E147" s="47" t="s">
        <v>590</v>
      </c>
      <c r="F147" s="48">
        <v>5</v>
      </c>
      <c r="G147" s="48">
        <f>VLOOKUP(D147,단가!B:D,3,0)</f>
        <v>10500</v>
      </c>
      <c r="H147" s="48">
        <f t="shared" si="10"/>
        <v>52500</v>
      </c>
      <c r="I147" s="48">
        <f t="shared" si="11"/>
        <v>5250</v>
      </c>
      <c r="J147" s="49">
        <f t="shared" si="9"/>
        <v>57750</v>
      </c>
      <c r="K147" s="48"/>
    </row>
    <row r="148" spans="1:12" ht="19" customHeight="1">
      <c r="A148" s="62" t="s">
        <v>589</v>
      </c>
      <c r="C148" s="47" t="s">
        <v>217</v>
      </c>
      <c r="D148" s="47" t="s">
        <v>148</v>
      </c>
      <c r="E148" s="47" t="s">
        <v>590</v>
      </c>
      <c r="F148" s="48">
        <v>5</v>
      </c>
      <c r="G148" s="48">
        <f>VLOOKUP(D148,단가!B:D,3,0)</f>
        <v>10500</v>
      </c>
      <c r="H148" s="48">
        <f t="shared" si="10"/>
        <v>52500</v>
      </c>
      <c r="I148" s="48">
        <f t="shared" si="11"/>
        <v>5250</v>
      </c>
      <c r="J148" s="49">
        <f t="shared" si="9"/>
        <v>57750</v>
      </c>
    </row>
    <row r="149" spans="1:12" ht="19" customHeight="1">
      <c r="A149" s="62" t="s">
        <v>592</v>
      </c>
      <c r="C149" s="47" t="s">
        <v>217</v>
      </c>
      <c r="D149" s="47" t="s">
        <v>61</v>
      </c>
      <c r="E149" s="47" t="s">
        <v>57</v>
      </c>
      <c r="F149" s="48">
        <v>5</v>
      </c>
      <c r="G149" s="48">
        <f>VLOOKUP(D149,단가!B:D,3,0)</f>
        <v>20000</v>
      </c>
      <c r="H149" s="48">
        <f t="shared" si="10"/>
        <v>100000</v>
      </c>
      <c r="I149" s="48">
        <f t="shared" si="11"/>
        <v>10000</v>
      </c>
      <c r="J149" s="49">
        <f t="shared" si="9"/>
        <v>110000</v>
      </c>
    </row>
    <row r="150" spans="1:12" ht="19" customHeight="1">
      <c r="A150" s="62" t="s">
        <v>591</v>
      </c>
      <c r="C150" s="47" t="s">
        <v>217</v>
      </c>
      <c r="D150" s="47" t="s">
        <v>151</v>
      </c>
      <c r="E150" s="47" t="s">
        <v>590</v>
      </c>
      <c r="F150" s="48">
        <v>5</v>
      </c>
      <c r="G150" s="48">
        <f>VLOOKUP(D150,단가!B:D,3,0)</f>
        <v>10500</v>
      </c>
      <c r="H150" s="48">
        <f t="shared" si="10"/>
        <v>52500</v>
      </c>
      <c r="I150" s="48">
        <f t="shared" si="11"/>
        <v>5250</v>
      </c>
      <c r="J150" s="49">
        <f t="shared" si="9"/>
        <v>57750</v>
      </c>
    </row>
    <row r="151" spans="1:12" ht="19" customHeight="1">
      <c r="A151" s="62" t="s">
        <v>591</v>
      </c>
      <c r="C151" s="47" t="s">
        <v>217</v>
      </c>
      <c r="D151" s="47" t="s">
        <v>146</v>
      </c>
      <c r="E151" s="47" t="s">
        <v>590</v>
      </c>
      <c r="F151" s="48">
        <v>10</v>
      </c>
      <c r="G151" s="48">
        <f>VLOOKUP(D151,단가!B:D,3,0)</f>
        <v>10500</v>
      </c>
      <c r="H151" s="48">
        <f t="shared" si="10"/>
        <v>105000</v>
      </c>
      <c r="I151" s="48">
        <f t="shared" si="11"/>
        <v>10500</v>
      </c>
      <c r="J151" s="49">
        <f t="shared" si="9"/>
        <v>115500</v>
      </c>
    </row>
    <row r="152" spans="1:12" ht="19" customHeight="1">
      <c r="A152" s="62" t="s">
        <v>591</v>
      </c>
      <c r="C152" s="47" t="s">
        <v>217</v>
      </c>
      <c r="D152" s="47" t="s">
        <v>152</v>
      </c>
      <c r="E152" s="47" t="s">
        <v>590</v>
      </c>
      <c r="F152" s="48">
        <v>5</v>
      </c>
      <c r="G152" s="48">
        <f>VLOOKUP(D152,단가!B:D,3,0)</f>
        <v>10500</v>
      </c>
      <c r="H152" s="48">
        <f t="shared" si="10"/>
        <v>52500</v>
      </c>
      <c r="I152" s="48">
        <f t="shared" si="11"/>
        <v>5250</v>
      </c>
      <c r="J152" s="49">
        <f t="shared" si="9"/>
        <v>57750</v>
      </c>
    </row>
    <row r="153" spans="1:12" ht="19" customHeight="1">
      <c r="A153" s="62" t="s">
        <v>591</v>
      </c>
      <c r="C153" s="47" t="s">
        <v>217</v>
      </c>
      <c r="D153" s="47" t="s">
        <v>148</v>
      </c>
      <c r="E153" s="47" t="s">
        <v>590</v>
      </c>
      <c r="F153" s="48">
        <v>5</v>
      </c>
      <c r="G153" s="48">
        <f>VLOOKUP(D153,단가!B:D,3,0)</f>
        <v>10500</v>
      </c>
      <c r="H153" s="48">
        <f t="shared" si="10"/>
        <v>52500</v>
      </c>
      <c r="I153" s="48">
        <f t="shared" si="11"/>
        <v>5250</v>
      </c>
      <c r="J153" s="49">
        <f t="shared" si="9"/>
        <v>57750</v>
      </c>
    </row>
    <row r="154" spans="1:12" ht="19" customHeight="1">
      <c r="A154" s="62" t="s">
        <v>591</v>
      </c>
      <c r="C154" s="47" t="s">
        <v>217</v>
      </c>
      <c r="D154" s="47" t="s">
        <v>147</v>
      </c>
      <c r="E154" s="47" t="s">
        <v>590</v>
      </c>
      <c r="F154" s="48">
        <v>5</v>
      </c>
      <c r="G154" s="48">
        <f>VLOOKUP(D154,단가!B:D,3,0)</f>
        <v>10500</v>
      </c>
      <c r="H154" s="48">
        <f t="shared" si="10"/>
        <v>52500</v>
      </c>
      <c r="I154" s="48">
        <f t="shared" si="11"/>
        <v>5250</v>
      </c>
      <c r="J154" s="49">
        <f t="shared" si="9"/>
        <v>57750</v>
      </c>
      <c r="L154" s="56"/>
    </row>
    <row r="155" spans="1:12" ht="19" customHeight="1">
      <c r="A155" s="62" t="s">
        <v>593</v>
      </c>
      <c r="C155" s="47" t="s">
        <v>567</v>
      </c>
      <c r="D155" s="47" t="s">
        <v>61</v>
      </c>
      <c r="E155" s="47" t="s">
        <v>57</v>
      </c>
      <c r="F155" s="48">
        <v>2</v>
      </c>
      <c r="G155" s="48">
        <f>VLOOKUP(D155,단가!B:D,3,0)</f>
        <v>20000</v>
      </c>
      <c r="H155" s="48">
        <f t="shared" si="10"/>
        <v>40000</v>
      </c>
      <c r="I155" s="48">
        <f t="shared" si="11"/>
        <v>4000</v>
      </c>
      <c r="J155" s="49">
        <f t="shared" si="9"/>
        <v>44000</v>
      </c>
    </row>
    <row r="156" spans="1:12" ht="19" customHeight="1">
      <c r="A156" s="62" t="s">
        <v>594</v>
      </c>
      <c r="C156" s="47" t="s">
        <v>127</v>
      </c>
      <c r="D156" s="47" t="s">
        <v>61</v>
      </c>
      <c r="E156" s="47" t="s">
        <v>57</v>
      </c>
      <c r="F156" s="48">
        <v>10</v>
      </c>
      <c r="G156" s="48">
        <f>VLOOKUP(D156,단가!B:D,3,0)</f>
        <v>20000</v>
      </c>
      <c r="H156" s="48">
        <f t="shared" si="10"/>
        <v>200000</v>
      </c>
      <c r="I156" s="48">
        <f t="shared" si="11"/>
        <v>20000</v>
      </c>
      <c r="J156" s="49">
        <f t="shared" si="9"/>
        <v>220000</v>
      </c>
    </row>
    <row r="157" spans="1:12" ht="19" customHeight="1">
      <c r="A157" s="62" t="s">
        <v>594</v>
      </c>
      <c r="C157" s="47" t="s">
        <v>183</v>
      </c>
      <c r="D157" s="47" t="s">
        <v>61</v>
      </c>
      <c r="E157" s="47" t="s">
        <v>57</v>
      </c>
      <c r="F157" s="48">
        <v>10</v>
      </c>
      <c r="G157" s="48">
        <f>VLOOKUP(D157,단가!B:D,3,0)</f>
        <v>20000</v>
      </c>
      <c r="H157" s="48">
        <f t="shared" si="10"/>
        <v>200000</v>
      </c>
      <c r="I157" s="48">
        <f t="shared" si="11"/>
        <v>20000</v>
      </c>
      <c r="J157" s="49">
        <f t="shared" si="9"/>
        <v>220000</v>
      </c>
    </row>
    <row r="158" spans="1:12" ht="19" customHeight="1">
      <c r="A158" s="62" t="s">
        <v>594</v>
      </c>
      <c r="C158" s="47" t="s">
        <v>183</v>
      </c>
      <c r="D158" s="47" t="s">
        <v>129</v>
      </c>
      <c r="E158" s="47" t="s">
        <v>131</v>
      </c>
      <c r="F158" s="48">
        <v>1</v>
      </c>
      <c r="G158" s="48">
        <f>VLOOKUP(D158,단가!B:D,3,0)</f>
        <v>6000</v>
      </c>
      <c r="H158" s="48">
        <f t="shared" si="10"/>
        <v>6000</v>
      </c>
      <c r="I158" s="48">
        <f t="shared" si="11"/>
        <v>600</v>
      </c>
      <c r="J158" s="49">
        <f t="shared" si="9"/>
        <v>6600</v>
      </c>
      <c r="L158" s="56"/>
    </row>
    <row r="159" spans="1:12" ht="19" customHeight="1">
      <c r="A159" s="62" t="s">
        <v>594</v>
      </c>
      <c r="C159" s="47" t="s">
        <v>183</v>
      </c>
      <c r="D159" s="47" t="s">
        <v>130</v>
      </c>
      <c r="E159" s="47" t="s">
        <v>131</v>
      </c>
      <c r="F159" s="48">
        <v>1</v>
      </c>
      <c r="G159" s="48">
        <f>VLOOKUP(D159,단가!B:D,3,0)</f>
        <v>8000</v>
      </c>
      <c r="H159" s="48">
        <f t="shared" si="10"/>
        <v>8000</v>
      </c>
      <c r="I159" s="48">
        <f t="shared" si="11"/>
        <v>800</v>
      </c>
      <c r="J159" s="49">
        <f t="shared" si="9"/>
        <v>8800</v>
      </c>
      <c r="L159" s="56"/>
    </row>
    <row r="160" spans="1:12" ht="19" customHeight="1">
      <c r="A160" s="62" t="s">
        <v>595</v>
      </c>
      <c r="C160" s="47" t="s">
        <v>217</v>
      </c>
      <c r="D160" s="47" t="s">
        <v>61</v>
      </c>
      <c r="E160" s="47" t="s">
        <v>57</v>
      </c>
      <c r="F160" s="48">
        <v>5</v>
      </c>
      <c r="G160" s="48">
        <f>VLOOKUP(D160,단가!B:D,3,0)</f>
        <v>20000</v>
      </c>
      <c r="H160" s="48">
        <f t="shared" si="10"/>
        <v>100000</v>
      </c>
      <c r="I160" s="48">
        <f t="shared" si="11"/>
        <v>10000</v>
      </c>
      <c r="J160" s="49">
        <f t="shared" si="9"/>
        <v>110000</v>
      </c>
    </row>
    <row r="161" spans="1:11" ht="19" customHeight="1">
      <c r="A161" s="62" t="s">
        <v>595</v>
      </c>
      <c r="C161" s="47" t="s">
        <v>355</v>
      </c>
      <c r="D161" s="47" t="s">
        <v>61</v>
      </c>
      <c r="E161" s="47" t="s">
        <v>57</v>
      </c>
      <c r="F161" s="48">
        <v>3</v>
      </c>
      <c r="G161" s="48">
        <f>VLOOKUP(D161,단가!B:D,3,0)</f>
        <v>20000</v>
      </c>
      <c r="H161" s="48">
        <f t="shared" si="10"/>
        <v>60000</v>
      </c>
      <c r="I161" s="48">
        <f t="shared" si="11"/>
        <v>6000</v>
      </c>
      <c r="J161" s="49">
        <f t="shared" si="9"/>
        <v>66000</v>
      </c>
    </row>
    <row r="162" spans="1:11" ht="19" customHeight="1">
      <c r="A162" s="62" t="s">
        <v>596</v>
      </c>
      <c r="C162" s="47" t="s">
        <v>217</v>
      </c>
      <c r="D162" s="47" t="s">
        <v>151</v>
      </c>
      <c r="E162" s="47" t="s">
        <v>590</v>
      </c>
      <c r="F162" s="48">
        <v>5</v>
      </c>
      <c r="G162" s="48">
        <f>VLOOKUP(D162,단가!B:D,3,0)</f>
        <v>10500</v>
      </c>
      <c r="H162" s="48">
        <f t="shared" si="10"/>
        <v>52500</v>
      </c>
      <c r="I162" s="48">
        <f t="shared" si="11"/>
        <v>5250</v>
      </c>
      <c r="J162" s="49">
        <f t="shared" si="9"/>
        <v>57750</v>
      </c>
      <c r="K162" s="49"/>
    </row>
    <row r="163" spans="1:11" ht="19" customHeight="1">
      <c r="A163" s="62" t="s">
        <v>596</v>
      </c>
      <c r="C163" s="47" t="s">
        <v>217</v>
      </c>
      <c r="D163" s="47" t="s">
        <v>152</v>
      </c>
      <c r="E163" s="47" t="s">
        <v>590</v>
      </c>
      <c r="F163" s="48">
        <v>5</v>
      </c>
      <c r="G163" s="48">
        <f>VLOOKUP(D163,단가!B:D,3,0)</f>
        <v>10500</v>
      </c>
      <c r="H163" s="48">
        <f t="shared" si="10"/>
        <v>52500</v>
      </c>
      <c r="I163" s="48">
        <f t="shared" si="11"/>
        <v>5250</v>
      </c>
      <c r="J163" s="49">
        <f t="shared" si="9"/>
        <v>57750</v>
      </c>
    </row>
    <row r="164" spans="1:11" ht="19" customHeight="1">
      <c r="A164" s="62" t="s">
        <v>596</v>
      </c>
      <c r="C164" s="47" t="s">
        <v>217</v>
      </c>
      <c r="D164" s="47" t="s">
        <v>150</v>
      </c>
      <c r="E164" s="47" t="s">
        <v>590</v>
      </c>
      <c r="F164" s="48">
        <v>5</v>
      </c>
      <c r="G164" s="48">
        <f>VLOOKUP(D164,단가!B:D,3,0)</f>
        <v>10500</v>
      </c>
      <c r="H164" s="48">
        <f t="shared" si="10"/>
        <v>52500</v>
      </c>
      <c r="I164" s="48">
        <f t="shared" si="11"/>
        <v>5250</v>
      </c>
      <c r="J164" s="49">
        <f t="shared" si="9"/>
        <v>57750</v>
      </c>
    </row>
    <row r="165" spans="1:11" ht="19" customHeight="1">
      <c r="A165" s="62" t="s">
        <v>596</v>
      </c>
      <c r="C165" s="47" t="s">
        <v>217</v>
      </c>
      <c r="D165" s="47" t="s">
        <v>148</v>
      </c>
      <c r="E165" s="47" t="s">
        <v>590</v>
      </c>
      <c r="F165" s="48">
        <v>5</v>
      </c>
      <c r="G165" s="48">
        <f>VLOOKUP(D165,단가!B:D,3,0)</f>
        <v>10500</v>
      </c>
      <c r="H165" s="48">
        <f t="shared" si="10"/>
        <v>52500</v>
      </c>
      <c r="I165" s="48">
        <f t="shared" si="11"/>
        <v>5250</v>
      </c>
      <c r="J165" s="49">
        <f t="shared" si="9"/>
        <v>57750</v>
      </c>
    </row>
    <row r="166" spans="1:11" ht="19" customHeight="1">
      <c r="A166" s="62" t="s">
        <v>596</v>
      </c>
      <c r="C166" s="47" t="s">
        <v>217</v>
      </c>
      <c r="D166" s="47" t="s">
        <v>146</v>
      </c>
      <c r="E166" s="47" t="s">
        <v>590</v>
      </c>
      <c r="F166" s="48">
        <v>5</v>
      </c>
      <c r="G166" s="48">
        <f>VLOOKUP(D166,단가!B:D,3,0)</f>
        <v>10500</v>
      </c>
      <c r="H166" s="48">
        <f t="shared" si="10"/>
        <v>52500</v>
      </c>
      <c r="I166" s="48">
        <f t="shared" si="11"/>
        <v>5250</v>
      </c>
      <c r="J166" s="49">
        <f t="shared" si="9"/>
        <v>57750</v>
      </c>
    </row>
    <row r="167" spans="1:11" ht="19" customHeight="1">
      <c r="A167" s="62" t="s">
        <v>596</v>
      </c>
      <c r="C167" s="47" t="s">
        <v>217</v>
      </c>
      <c r="D167" s="47" t="s">
        <v>147</v>
      </c>
      <c r="E167" s="47" t="s">
        <v>590</v>
      </c>
      <c r="F167" s="48">
        <v>5</v>
      </c>
      <c r="G167" s="48">
        <f>VLOOKUP(D167,단가!B:D,3,0)</f>
        <v>10500</v>
      </c>
      <c r="H167" s="48">
        <f t="shared" si="10"/>
        <v>52500</v>
      </c>
      <c r="I167" s="48">
        <f t="shared" si="11"/>
        <v>5250</v>
      </c>
      <c r="J167" s="49">
        <f t="shared" si="9"/>
        <v>57750</v>
      </c>
    </row>
    <row r="168" spans="1:11" ht="19" customHeight="1">
      <c r="A168" s="62" t="s">
        <v>596</v>
      </c>
      <c r="C168" s="47" t="s">
        <v>209</v>
      </c>
      <c r="D168" s="47" t="s">
        <v>61</v>
      </c>
      <c r="E168" s="47" t="s">
        <v>57</v>
      </c>
      <c r="F168" s="48">
        <v>5</v>
      </c>
      <c r="G168" s="48">
        <f>VLOOKUP(D168,단가!B:D,3,0)</f>
        <v>20000</v>
      </c>
      <c r="H168" s="48">
        <f t="shared" si="10"/>
        <v>100000</v>
      </c>
      <c r="I168" s="48">
        <f t="shared" si="11"/>
        <v>10000</v>
      </c>
      <c r="J168" s="49">
        <f t="shared" si="9"/>
        <v>110000</v>
      </c>
    </row>
    <row r="169" spans="1:11" ht="19" customHeight="1">
      <c r="A169" s="62" t="s">
        <v>596</v>
      </c>
      <c r="C169" s="47" t="s">
        <v>209</v>
      </c>
      <c r="D169" s="47" t="s">
        <v>146</v>
      </c>
      <c r="E169" s="47" t="s">
        <v>590</v>
      </c>
      <c r="F169" s="48">
        <v>1</v>
      </c>
      <c r="G169" s="48">
        <f>VLOOKUP(D169,단가!B:D,3,0)</f>
        <v>10500</v>
      </c>
      <c r="H169" s="48">
        <f t="shared" si="10"/>
        <v>10500</v>
      </c>
      <c r="I169" s="48">
        <f t="shared" si="11"/>
        <v>1050</v>
      </c>
      <c r="J169" s="49">
        <f t="shared" si="9"/>
        <v>11550</v>
      </c>
    </row>
    <row r="170" spans="1:11" ht="19" customHeight="1">
      <c r="A170" s="62" t="s">
        <v>596</v>
      </c>
      <c r="C170" s="47" t="s">
        <v>567</v>
      </c>
      <c r="D170" s="47" t="s">
        <v>61</v>
      </c>
      <c r="E170" s="47" t="s">
        <v>57</v>
      </c>
      <c r="F170" s="48">
        <v>3</v>
      </c>
      <c r="G170" s="48">
        <f>VLOOKUP(D170,단가!B:D,3,0)</f>
        <v>20000</v>
      </c>
      <c r="H170" s="48">
        <f t="shared" si="10"/>
        <v>60000</v>
      </c>
      <c r="I170" s="48">
        <f t="shared" si="11"/>
        <v>6000</v>
      </c>
      <c r="J170" s="49">
        <f t="shared" si="9"/>
        <v>66000</v>
      </c>
    </row>
    <row r="171" spans="1:11" ht="19" customHeight="1">
      <c r="A171" s="62" t="s">
        <v>597</v>
      </c>
      <c r="C171" s="47" t="s">
        <v>217</v>
      </c>
      <c r="D171" s="47" t="s">
        <v>61</v>
      </c>
      <c r="E171" s="47" t="s">
        <v>57</v>
      </c>
      <c r="F171" s="48">
        <v>9</v>
      </c>
      <c r="G171" s="48">
        <f>VLOOKUP(D171,단가!B:D,3,0)</f>
        <v>20000</v>
      </c>
      <c r="H171" s="48">
        <f t="shared" si="10"/>
        <v>180000</v>
      </c>
      <c r="I171" s="48">
        <f t="shared" si="11"/>
        <v>18000</v>
      </c>
      <c r="J171" s="49">
        <f t="shared" si="9"/>
        <v>198000</v>
      </c>
      <c r="K171" s="48"/>
    </row>
    <row r="172" spans="1:11" ht="19" customHeight="1">
      <c r="A172" s="62" t="s">
        <v>597</v>
      </c>
      <c r="C172" s="47" t="s">
        <v>217</v>
      </c>
      <c r="D172" s="47" t="s">
        <v>598</v>
      </c>
      <c r="E172" s="47" t="s">
        <v>57</v>
      </c>
      <c r="F172" s="48">
        <v>1</v>
      </c>
      <c r="G172" s="48">
        <f>VLOOKUP(D172,단가!B:D,3,0)</f>
        <v>22000</v>
      </c>
      <c r="H172" s="48">
        <f t="shared" si="10"/>
        <v>22000</v>
      </c>
      <c r="I172" s="48">
        <f t="shared" si="11"/>
        <v>2200</v>
      </c>
      <c r="J172" s="49">
        <f t="shared" si="9"/>
        <v>24200</v>
      </c>
    </row>
    <row r="173" spans="1:11" ht="19" customHeight="1">
      <c r="A173" s="62" t="s">
        <v>597</v>
      </c>
      <c r="C173" s="47" t="s">
        <v>217</v>
      </c>
      <c r="D173" s="47" t="s">
        <v>151</v>
      </c>
      <c r="E173" s="47" t="s">
        <v>590</v>
      </c>
      <c r="F173" s="48">
        <v>5</v>
      </c>
      <c r="G173" s="48">
        <f>VLOOKUP(D173,단가!B:D,3,0)</f>
        <v>10500</v>
      </c>
      <c r="H173" s="48">
        <f t="shared" si="10"/>
        <v>52500</v>
      </c>
      <c r="I173" s="48">
        <f t="shared" si="11"/>
        <v>5250</v>
      </c>
      <c r="J173" s="49">
        <f t="shared" si="9"/>
        <v>57750</v>
      </c>
    </row>
    <row r="174" spans="1:11" ht="19" customHeight="1">
      <c r="A174" s="62" t="s">
        <v>599</v>
      </c>
      <c r="C174" s="47" t="s">
        <v>434</v>
      </c>
      <c r="D174" s="47" t="s">
        <v>315</v>
      </c>
      <c r="E174" s="47" t="s">
        <v>57</v>
      </c>
      <c r="F174" s="48">
        <v>4</v>
      </c>
      <c r="G174" s="48">
        <f>VLOOKUP(D174,단가!B:D,3,0)</f>
        <v>32000</v>
      </c>
      <c r="H174" s="48">
        <f t="shared" si="10"/>
        <v>128000</v>
      </c>
      <c r="I174" s="48">
        <f t="shared" si="11"/>
        <v>12800</v>
      </c>
      <c r="J174" s="49">
        <f t="shared" si="9"/>
        <v>140800</v>
      </c>
    </row>
    <row r="175" spans="1:11" ht="19" customHeight="1">
      <c r="A175" s="62" t="s">
        <v>599</v>
      </c>
      <c r="C175" s="47" t="s">
        <v>375</v>
      </c>
      <c r="D175" s="47" t="s">
        <v>315</v>
      </c>
      <c r="E175" s="47" t="s">
        <v>57</v>
      </c>
      <c r="F175" s="48">
        <v>2</v>
      </c>
      <c r="G175" s="48">
        <f>VLOOKUP(D175,단가!B:D,3,0)</f>
        <v>32000</v>
      </c>
      <c r="H175" s="48">
        <f t="shared" si="10"/>
        <v>64000</v>
      </c>
      <c r="I175" s="48">
        <f t="shared" si="11"/>
        <v>6400</v>
      </c>
      <c r="J175" s="49">
        <f t="shared" si="9"/>
        <v>70400</v>
      </c>
    </row>
    <row r="176" spans="1:11" ht="19" customHeight="1">
      <c r="A176" s="62" t="s">
        <v>600</v>
      </c>
      <c r="C176" s="47" t="s">
        <v>217</v>
      </c>
      <c r="D176" s="47" t="s">
        <v>154</v>
      </c>
      <c r="E176" s="47" t="s">
        <v>590</v>
      </c>
      <c r="F176" s="48">
        <v>5</v>
      </c>
      <c r="G176" s="48">
        <f>VLOOKUP(D176,단가!B:D,3,0)</f>
        <v>10500</v>
      </c>
      <c r="H176" s="48">
        <f t="shared" si="10"/>
        <v>52500</v>
      </c>
      <c r="I176" s="48">
        <f t="shared" si="11"/>
        <v>5250</v>
      </c>
      <c r="J176" s="49">
        <f t="shared" si="9"/>
        <v>57750</v>
      </c>
    </row>
    <row r="177" spans="1:13" ht="19" customHeight="1">
      <c r="A177" s="62" t="s">
        <v>600</v>
      </c>
      <c r="C177" s="47" t="s">
        <v>217</v>
      </c>
      <c r="D177" s="47" t="s">
        <v>153</v>
      </c>
      <c r="E177" s="47" t="s">
        <v>590</v>
      </c>
      <c r="F177" s="48">
        <v>5</v>
      </c>
      <c r="G177" s="48">
        <f>VLOOKUP(D177,단가!B:D,3,0)</f>
        <v>10500</v>
      </c>
      <c r="H177" s="48">
        <f t="shared" si="10"/>
        <v>52500</v>
      </c>
      <c r="I177" s="48">
        <f t="shared" si="11"/>
        <v>5250</v>
      </c>
      <c r="J177" s="49">
        <f t="shared" si="9"/>
        <v>57750</v>
      </c>
    </row>
    <row r="178" spans="1:13" ht="19" customHeight="1">
      <c r="A178" s="62" t="s">
        <v>600</v>
      </c>
      <c r="C178" s="47" t="s">
        <v>217</v>
      </c>
      <c r="D178" s="47" t="s">
        <v>152</v>
      </c>
      <c r="E178" s="47" t="s">
        <v>590</v>
      </c>
      <c r="F178" s="48">
        <v>5</v>
      </c>
      <c r="G178" s="48">
        <f>VLOOKUP(D178,단가!B:D,3,0)</f>
        <v>10500</v>
      </c>
      <c r="H178" s="48">
        <f t="shared" si="10"/>
        <v>52500</v>
      </c>
      <c r="I178" s="48">
        <f t="shared" si="11"/>
        <v>5250</v>
      </c>
      <c r="J178" s="49">
        <f t="shared" si="9"/>
        <v>57750</v>
      </c>
    </row>
    <row r="179" spans="1:13" ht="19" customHeight="1">
      <c r="A179" s="62" t="s">
        <v>600</v>
      </c>
      <c r="C179" s="47" t="s">
        <v>217</v>
      </c>
      <c r="D179" s="47" t="s">
        <v>149</v>
      </c>
      <c r="E179" s="47" t="s">
        <v>590</v>
      </c>
      <c r="F179" s="48">
        <v>5</v>
      </c>
      <c r="G179" s="48">
        <f>VLOOKUP(D179,단가!B:D,3,0)</f>
        <v>10500</v>
      </c>
      <c r="H179" s="48">
        <f t="shared" si="10"/>
        <v>52500</v>
      </c>
      <c r="I179" s="48">
        <f t="shared" si="11"/>
        <v>5250</v>
      </c>
      <c r="J179" s="49">
        <f t="shared" si="9"/>
        <v>57750</v>
      </c>
    </row>
    <row r="180" spans="1:13" ht="19" customHeight="1">
      <c r="A180" s="62" t="s">
        <v>600</v>
      </c>
      <c r="C180" s="47" t="s">
        <v>217</v>
      </c>
      <c r="D180" s="47" t="s">
        <v>146</v>
      </c>
      <c r="E180" s="47" t="s">
        <v>590</v>
      </c>
      <c r="F180" s="48">
        <v>5</v>
      </c>
      <c r="G180" s="48">
        <f>VLOOKUP(D180,단가!B:D,3,0)</f>
        <v>10500</v>
      </c>
      <c r="H180" s="48">
        <f t="shared" si="10"/>
        <v>52500</v>
      </c>
      <c r="I180" s="48">
        <f t="shared" si="11"/>
        <v>5250</v>
      </c>
      <c r="J180" s="49">
        <f t="shared" si="9"/>
        <v>57750</v>
      </c>
      <c r="L180" s="56"/>
    </row>
    <row r="181" spans="1:13" ht="19" customHeight="1">
      <c r="A181" s="62" t="s">
        <v>601</v>
      </c>
      <c r="C181" s="47" t="s">
        <v>217</v>
      </c>
      <c r="D181" s="47" t="s">
        <v>61</v>
      </c>
      <c r="E181" s="47" t="s">
        <v>57</v>
      </c>
      <c r="F181" s="48">
        <v>3</v>
      </c>
      <c r="G181" s="48">
        <f>VLOOKUP(D181,단가!B:D,3,0)</f>
        <v>20000</v>
      </c>
      <c r="H181" s="48">
        <f t="shared" si="10"/>
        <v>60000</v>
      </c>
      <c r="I181" s="48">
        <f t="shared" si="11"/>
        <v>6000</v>
      </c>
      <c r="J181" s="49">
        <f t="shared" si="9"/>
        <v>66000</v>
      </c>
      <c r="L181" s="56"/>
    </row>
    <row r="182" spans="1:13" ht="19" customHeight="1">
      <c r="A182" s="62" t="s">
        <v>601</v>
      </c>
      <c r="C182" s="47" t="s">
        <v>355</v>
      </c>
      <c r="D182" s="47" t="s">
        <v>61</v>
      </c>
      <c r="E182" s="47" t="s">
        <v>57</v>
      </c>
      <c r="F182" s="48">
        <v>3</v>
      </c>
      <c r="G182" s="48">
        <f>VLOOKUP(D182,단가!B:D,3,0)</f>
        <v>20000</v>
      </c>
      <c r="H182" s="48">
        <f t="shared" si="10"/>
        <v>60000</v>
      </c>
      <c r="I182" s="48">
        <f t="shared" si="11"/>
        <v>6000</v>
      </c>
      <c r="J182" s="49">
        <f t="shared" si="9"/>
        <v>66000</v>
      </c>
    </row>
    <row r="183" spans="1:13" ht="19" customHeight="1">
      <c r="A183" s="62" t="s">
        <v>602</v>
      </c>
      <c r="C183" s="47" t="s">
        <v>556</v>
      </c>
      <c r="D183" s="47" t="s">
        <v>61</v>
      </c>
      <c r="E183" s="47" t="s">
        <v>57</v>
      </c>
      <c r="F183" s="48">
        <v>10</v>
      </c>
      <c r="G183" s="48">
        <f>VLOOKUP(D183,단가!B:D,3,0)</f>
        <v>20000</v>
      </c>
      <c r="H183" s="48">
        <f t="shared" si="10"/>
        <v>200000</v>
      </c>
      <c r="I183" s="48">
        <f t="shared" si="11"/>
        <v>20000</v>
      </c>
      <c r="J183" s="49">
        <f t="shared" si="9"/>
        <v>220000</v>
      </c>
      <c r="L183" s="56"/>
    </row>
    <row r="184" spans="1:13" ht="19" customHeight="1">
      <c r="A184" s="62" t="s">
        <v>603</v>
      </c>
      <c r="C184" s="47" t="s">
        <v>217</v>
      </c>
      <c r="D184" s="47" t="s">
        <v>147</v>
      </c>
      <c r="E184" s="47" t="s">
        <v>590</v>
      </c>
      <c r="F184" s="48">
        <v>5</v>
      </c>
      <c r="G184" s="48">
        <f>VLOOKUP(D184,단가!B:D,3,0)</f>
        <v>10500</v>
      </c>
      <c r="H184" s="48">
        <f t="shared" si="10"/>
        <v>52500</v>
      </c>
      <c r="I184" s="48">
        <f t="shared" si="11"/>
        <v>5250</v>
      </c>
      <c r="J184" s="49">
        <f t="shared" si="9"/>
        <v>57750</v>
      </c>
    </row>
    <row r="185" spans="1:13" ht="19" customHeight="1">
      <c r="A185" s="62" t="s">
        <v>603</v>
      </c>
      <c r="C185" s="47" t="s">
        <v>217</v>
      </c>
      <c r="D185" s="67" t="s">
        <v>146</v>
      </c>
      <c r="E185" s="47" t="s">
        <v>590</v>
      </c>
      <c r="F185" s="48">
        <v>5</v>
      </c>
      <c r="G185" s="48">
        <f>VLOOKUP(D185,단가!B:D,3,0)</f>
        <v>10500</v>
      </c>
      <c r="H185" s="48">
        <f t="shared" si="10"/>
        <v>52500</v>
      </c>
      <c r="I185" s="48">
        <f t="shared" si="11"/>
        <v>5250</v>
      </c>
      <c r="J185" s="49">
        <f t="shared" si="9"/>
        <v>57750</v>
      </c>
      <c r="K185" s="48"/>
    </row>
    <row r="186" spans="1:13" ht="19" customHeight="1">
      <c r="A186" s="62" t="s">
        <v>603</v>
      </c>
      <c r="C186" s="47" t="s">
        <v>217</v>
      </c>
      <c r="D186" s="47" t="s">
        <v>148</v>
      </c>
      <c r="E186" s="47" t="s">
        <v>590</v>
      </c>
      <c r="F186" s="48">
        <v>5</v>
      </c>
      <c r="G186" s="48">
        <f>VLOOKUP(D186,단가!B:D,3,0)</f>
        <v>10500</v>
      </c>
      <c r="H186" s="48">
        <f t="shared" si="10"/>
        <v>52500</v>
      </c>
      <c r="I186" s="48">
        <f t="shared" si="11"/>
        <v>5250</v>
      </c>
      <c r="J186" s="49">
        <f t="shared" si="9"/>
        <v>57750</v>
      </c>
    </row>
    <row r="187" spans="1:13" ht="19" customHeight="1">
      <c r="A187" s="62" t="s">
        <v>603</v>
      </c>
      <c r="C187" s="47" t="s">
        <v>217</v>
      </c>
      <c r="D187" s="47" t="s">
        <v>150</v>
      </c>
      <c r="E187" s="47" t="s">
        <v>590</v>
      </c>
      <c r="F187" s="48">
        <v>5</v>
      </c>
      <c r="G187" s="48">
        <f>VLOOKUP(D187,단가!B:D,3,0)</f>
        <v>10500</v>
      </c>
      <c r="H187" s="48">
        <f t="shared" si="10"/>
        <v>52500</v>
      </c>
      <c r="I187" s="48">
        <f t="shared" si="11"/>
        <v>5250</v>
      </c>
      <c r="J187" s="49">
        <f t="shared" si="9"/>
        <v>57750</v>
      </c>
    </row>
    <row r="188" spans="1:13" ht="19" customHeight="1">
      <c r="A188" s="62" t="s">
        <v>609</v>
      </c>
      <c r="C188" s="47" t="s">
        <v>316</v>
      </c>
      <c r="D188" s="47" t="s">
        <v>405</v>
      </c>
      <c r="F188" s="48">
        <v>1</v>
      </c>
      <c r="G188" s="48">
        <f>VLOOKUP(D188,단가!B:D,3,0)</f>
        <v>30000</v>
      </c>
      <c r="H188" s="48">
        <f t="shared" si="10"/>
        <v>30000</v>
      </c>
      <c r="I188" s="48">
        <f t="shared" ref="I188:I197" si="12">H188*0.1</f>
        <v>3000</v>
      </c>
      <c r="J188" s="49">
        <f t="shared" ref="J188:J197" si="13">H188+I188</f>
        <v>33000</v>
      </c>
    </row>
    <row r="189" spans="1:13" ht="19" customHeight="1">
      <c r="A189" s="62" t="s">
        <v>609</v>
      </c>
      <c r="C189" s="47" t="s">
        <v>394</v>
      </c>
      <c r="D189" s="47" t="s">
        <v>405</v>
      </c>
      <c r="F189" s="48">
        <v>1</v>
      </c>
      <c r="G189" s="48">
        <f>VLOOKUP(D189,단가!B:D,3,0)</f>
        <v>30000</v>
      </c>
      <c r="H189" s="48">
        <f t="shared" si="10"/>
        <v>30000</v>
      </c>
      <c r="I189" s="48">
        <f t="shared" si="12"/>
        <v>3000</v>
      </c>
      <c r="J189" s="49">
        <f t="shared" si="13"/>
        <v>33000</v>
      </c>
    </row>
    <row r="190" spans="1:13" ht="19" customHeight="1">
      <c r="A190" s="62" t="s">
        <v>609</v>
      </c>
      <c r="C190" s="47" t="s">
        <v>434</v>
      </c>
      <c r="D190" s="47" t="s">
        <v>405</v>
      </c>
      <c r="F190" s="48">
        <v>1</v>
      </c>
      <c r="G190" s="48">
        <f>VLOOKUP(D190,단가!B:D,3,0)</f>
        <v>30000</v>
      </c>
      <c r="H190" s="48">
        <f t="shared" si="10"/>
        <v>30000</v>
      </c>
      <c r="I190" s="48">
        <f t="shared" si="12"/>
        <v>3000</v>
      </c>
      <c r="J190" s="49">
        <f t="shared" si="13"/>
        <v>33000</v>
      </c>
    </row>
    <row r="191" spans="1:13" ht="19" customHeight="1">
      <c r="A191" s="62" t="s">
        <v>609</v>
      </c>
      <c r="C191" s="47" t="s">
        <v>467</v>
      </c>
      <c r="D191" s="47" t="s">
        <v>405</v>
      </c>
      <c r="F191" s="48">
        <v>1</v>
      </c>
      <c r="G191" s="48">
        <f>VLOOKUP(D191,단가!B:D,3,0)</f>
        <v>30000</v>
      </c>
      <c r="H191" s="48">
        <f t="shared" si="10"/>
        <v>30000</v>
      </c>
      <c r="I191" s="48">
        <f t="shared" si="12"/>
        <v>3000</v>
      </c>
      <c r="J191" s="49">
        <f t="shared" si="13"/>
        <v>33000</v>
      </c>
    </row>
    <row r="192" spans="1:13" ht="19" customHeight="1">
      <c r="A192" s="62" t="s">
        <v>609</v>
      </c>
      <c r="C192" s="47" t="s">
        <v>480</v>
      </c>
      <c r="D192" s="47" t="s">
        <v>405</v>
      </c>
      <c r="F192" s="48">
        <v>1</v>
      </c>
      <c r="G192" s="48">
        <f>VLOOKUP(D192,단가!B:D,3,0)</f>
        <v>30000</v>
      </c>
      <c r="H192" s="48">
        <f t="shared" si="10"/>
        <v>30000</v>
      </c>
      <c r="I192" s="48">
        <f t="shared" si="12"/>
        <v>3000</v>
      </c>
      <c r="J192" s="49">
        <f t="shared" si="13"/>
        <v>33000</v>
      </c>
      <c r="M192" s="56"/>
    </row>
    <row r="193" spans="1:12" ht="19" customHeight="1">
      <c r="A193" s="62" t="s">
        <v>609</v>
      </c>
      <c r="C193" s="47" t="s">
        <v>483</v>
      </c>
      <c r="D193" s="47" t="s">
        <v>405</v>
      </c>
      <c r="F193" s="48">
        <v>1</v>
      </c>
      <c r="G193" s="48">
        <f>VLOOKUP(D193,단가!B:D,3,0)</f>
        <v>30000</v>
      </c>
      <c r="H193" s="48">
        <f t="shared" si="10"/>
        <v>30000</v>
      </c>
      <c r="I193" s="48">
        <f t="shared" si="12"/>
        <v>3000</v>
      </c>
      <c r="J193" s="49">
        <f t="shared" si="13"/>
        <v>33000</v>
      </c>
      <c r="L193" s="56"/>
    </row>
    <row r="194" spans="1:12" ht="19" customHeight="1">
      <c r="A194" s="62" t="s">
        <v>609</v>
      </c>
      <c r="C194" s="47" t="s">
        <v>486</v>
      </c>
      <c r="D194" s="47" t="s">
        <v>405</v>
      </c>
      <c r="F194" s="48">
        <v>1</v>
      </c>
      <c r="G194" s="48">
        <f>VLOOKUP(D194,단가!B:D,3,0)</f>
        <v>30000</v>
      </c>
      <c r="H194" s="48">
        <f t="shared" si="10"/>
        <v>30000</v>
      </c>
      <c r="I194" s="48">
        <f t="shared" si="12"/>
        <v>3000</v>
      </c>
      <c r="J194" s="49">
        <f t="shared" si="13"/>
        <v>33000</v>
      </c>
    </row>
    <row r="195" spans="1:12" ht="19" customHeight="1">
      <c r="A195" s="62" t="s">
        <v>609</v>
      </c>
      <c r="C195" s="47" t="s">
        <v>501</v>
      </c>
      <c r="D195" s="47" t="s">
        <v>405</v>
      </c>
      <c r="F195" s="48">
        <v>1</v>
      </c>
      <c r="G195" s="48">
        <f>VLOOKUP(D195,단가!B:D,3,0)</f>
        <v>30000</v>
      </c>
      <c r="H195" s="48">
        <f t="shared" si="10"/>
        <v>30000</v>
      </c>
      <c r="I195" s="48">
        <f t="shared" si="12"/>
        <v>3000</v>
      </c>
      <c r="J195" s="49">
        <f t="shared" si="13"/>
        <v>33000</v>
      </c>
      <c r="L195" s="56"/>
    </row>
    <row r="196" spans="1:12" ht="19" customHeight="1">
      <c r="A196" s="62" t="s">
        <v>609</v>
      </c>
      <c r="C196" s="47" t="s">
        <v>505</v>
      </c>
      <c r="D196" s="47" t="s">
        <v>405</v>
      </c>
      <c r="F196" s="48">
        <v>1</v>
      </c>
      <c r="G196" s="48">
        <f>VLOOKUP(D196,단가!B:D,3,0)</f>
        <v>30000</v>
      </c>
      <c r="H196" s="48">
        <f t="shared" si="10"/>
        <v>30000</v>
      </c>
      <c r="I196" s="48">
        <f t="shared" si="12"/>
        <v>3000</v>
      </c>
      <c r="J196" s="49">
        <f t="shared" si="13"/>
        <v>33000</v>
      </c>
    </row>
    <row r="197" spans="1:12" ht="19" customHeight="1">
      <c r="A197" s="62" t="s">
        <v>609</v>
      </c>
      <c r="C197" s="47" t="s">
        <v>508</v>
      </c>
      <c r="D197" s="47" t="s">
        <v>405</v>
      </c>
      <c r="F197" s="48">
        <v>1</v>
      </c>
      <c r="G197" s="48">
        <f>VLOOKUP(D197,단가!B:D,3,0)</f>
        <v>30000</v>
      </c>
      <c r="H197" s="48">
        <f t="shared" si="10"/>
        <v>30000</v>
      </c>
      <c r="I197" s="48">
        <f t="shared" si="12"/>
        <v>3000</v>
      </c>
      <c r="J197" s="49">
        <f t="shared" si="13"/>
        <v>33000</v>
      </c>
    </row>
    <row r="198" spans="1:12" ht="19" customHeight="1">
      <c r="A198" s="62" t="s">
        <v>604</v>
      </c>
      <c r="C198" s="47" t="s">
        <v>605</v>
      </c>
      <c r="D198" s="47" t="s">
        <v>61</v>
      </c>
      <c r="E198" s="47" t="s">
        <v>57</v>
      </c>
      <c r="F198" s="48">
        <v>3</v>
      </c>
      <c r="G198" s="48">
        <f>VLOOKUP(D198,단가!B:D,3,0)</f>
        <v>20000</v>
      </c>
      <c r="H198" s="48">
        <f t="shared" si="10"/>
        <v>60000</v>
      </c>
      <c r="I198" s="48">
        <f t="shared" si="11"/>
        <v>6000</v>
      </c>
      <c r="J198" s="49">
        <f t="shared" si="9"/>
        <v>66000</v>
      </c>
    </row>
    <row r="199" spans="1:12" ht="19" customHeight="1">
      <c r="A199" s="62" t="s">
        <v>604</v>
      </c>
      <c r="C199" s="47" t="s">
        <v>209</v>
      </c>
      <c r="D199" s="47" t="s">
        <v>61</v>
      </c>
      <c r="E199" s="47" t="s">
        <v>57</v>
      </c>
      <c r="F199" s="48">
        <v>2</v>
      </c>
      <c r="G199" s="48">
        <f>VLOOKUP(D199,단가!B:D,3,0)</f>
        <v>20000</v>
      </c>
      <c r="H199" s="48">
        <f t="shared" si="10"/>
        <v>40000</v>
      </c>
      <c r="I199" s="48">
        <f t="shared" si="11"/>
        <v>4000</v>
      </c>
      <c r="J199" s="49">
        <f t="shared" si="9"/>
        <v>44000</v>
      </c>
    </row>
    <row r="200" spans="1:12" ht="19" customHeight="1">
      <c r="A200" s="62" t="s">
        <v>604</v>
      </c>
      <c r="C200" s="47" t="s">
        <v>209</v>
      </c>
      <c r="D200" s="47" t="s">
        <v>606</v>
      </c>
      <c r="E200" s="47" t="s">
        <v>92</v>
      </c>
      <c r="F200" s="48">
        <v>1</v>
      </c>
      <c r="G200" s="48">
        <f>VLOOKUP(D200,단가!B:D,3,0)</f>
        <v>10500</v>
      </c>
      <c r="H200" s="48">
        <f t="shared" si="10"/>
        <v>10500</v>
      </c>
      <c r="I200" s="48">
        <f t="shared" si="11"/>
        <v>1050</v>
      </c>
      <c r="J200" s="49">
        <f t="shared" si="9"/>
        <v>11550</v>
      </c>
    </row>
    <row r="201" spans="1:12" ht="19" customHeight="1">
      <c r="A201" s="62" t="s">
        <v>604</v>
      </c>
      <c r="C201" s="47" t="s">
        <v>313</v>
      </c>
      <c r="D201" s="47" t="s">
        <v>302</v>
      </c>
      <c r="E201" s="47" t="s">
        <v>57</v>
      </c>
      <c r="F201" s="48">
        <v>10</v>
      </c>
      <c r="G201" s="48">
        <f>VLOOKUP(D201,단가!B:D,3,0)</f>
        <v>22000</v>
      </c>
      <c r="H201" s="48">
        <f t="shared" si="10"/>
        <v>220000</v>
      </c>
      <c r="I201" s="48">
        <f t="shared" si="11"/>
        <v>22000</v>
      </c>
      <c r="J201" s="49">
        <f t="shared" si="9"/>
        <v>242000</v>
      </c>
    </row>
    <row r="202" spans="1:12" ht="19" customHeight="1">
      <c r="A202" s="62" t="s">
        <v>604</v>
      </c>
      <c r="C202" s="47" t="s">
        <v>556</v>
      </c>
      <c r="D202" s="47" t="s">
        <v>129</v>
      </c>
      <c r="E202" s="47" t="s">
        <v>131</v>
      </c>
      <c r="F202" s="48">
        <v>4</v>
      </c>
      <c r="G202" s="48">
        <f>VLOOKUP(D202,단가!B:D,3,0)</f>
        <v>6000</v>
      </c>
      <c r="H202" s="48">
        <f t="shared" si="10"/>
        <v>24000</v>
      </c>
      <c r="I202" s="48">
        <f t="shared" si="11"/>
        <v>2400</v>
      </c>
      <c r="J202" s="49">
        <f t="shared" si="9"/>
        <v>26400</v>
      </c>
    </row>
    <row r="203" spans="1:12" ht="19" customHeight="1">
      <c r="A203" s="62" t="s">
        <v>604</v>
      </c>
      <c r="C203" s="47" t="s">
        <v>556</v>
      </c>
      <c r="D203" s="47" t="s">
        <v>130</v>
      </c>
      <c r="E203" s="47" t="s">
        <v>131</v>
      </c>
      <c r="F203" s="48">
        <v>4</v>
      </c>
      <c r="G203" s="48">
        <f>VLOOKUP(D203,단가!B:D,3,0)</f>
        <v>8000</v>
      </c>
      <c r="H203" s="48">
        <f t="shared" si="10"/>
        <v>32000</v>
      </c>
      <c r="I203" s="48">
        <f t="shared" si="11"/>
        <v>3200</v>
      </c>
      <c r="J203" s="49">
        <f t="shared" si="9"/>
        <v>35200</v>
      </c>
    </row>
    <row r="204" spans="1:12" ht="19" customHeight="1">
      <c r="A204" s="62" t="s">
        <v>607</v>
      </c>
      <c r="C204" s="47" t="s">
        <v>217</v>
      </c>
      <c r="D204" s="47" t="s">
        <v>61</v>
      </c>
      <c r="E204" s="47" t="s">
        <v>57</v>
      </c>
      <c r="F204" s="48">
        <v>4</v>
      </c>
      <c r="G204" s="48">
        <f>VLOOKUP(D204,단가!B:D,3,0)</f>
        <v>20000</v>
      </c>
      <c r="H204" s="48">
        <f t="shared" si="10"/>
        <v>80000</v>
      </c>
      <c r="I204" s="48">
        <f t="shared" si="11"/>
        <v>8000</v>
      </c>
      <c r="J204" s="49">
        <f t="shared" si="9"/>
        <v>88000</v>
      </c>
    </row>
    <row r="205" spans="1:12" ht="19" customHeight="1">
      <c r="A205" s="62" t="s">
        <v>608</v>
      </c>
      <c r="C205" s="47" t="s">
        <v>126</v>
      </c>
      <c r="D205" s="47" t="s">
        <v>61</v>
      </c>
      <c r="E205" s="47" t="s">
        <v>57</v>
      </c>
      <c r="F205" s="48">
        <v>10</v>
      </c>
      <c r="G205" s="48">
        <f>VLOOKUP(D205,단가!B:D,3,0)</f>
        <v>20000</v>
      </c>
      <c r="H205" s="48">
        <f t="shared" si="10"/>
        <v>200000</v>
      </c>
      <c r="I205" s="48">
        <f t="shared" si="11"/>
        <v>20000</v>
      </c>
      <c r="J205" s="49">
        <f t="shared" si="9"/>
        <v>220000</v>
      </c>
    </row>
    <row r="206" spans="1:12" ht="19" customHeight="1">
      <c r="A206" s="62" t="s">
        <v>608</v>
      </c>
      <c r="C206" s="47" t="s">
        <v>126</v>
      </c>
      <c r="D206" s="47" t="s">
        <v>130</v>
      </c>
      <c r="E206" s="47" t="s">
        <v>131</v>
      </c>
      <c r="F206" s="48">
        <v>2</v>
      </c>
      <c r="G206" s="48">
        <f>VLOOKUP(D206,단가!B:D,3,0)</f>
        <v>8000</v>
      </c>
      <c r="H206" s="48">
        <f t="shared" si="10"/>
        <v>16000</v>
      </c>
      <c r="I206" s="48">
        <f t="shared" si="11"/>
        <v>1600</v>
      </c>
      <c r="J206" s="49">
        <f t="shared" si="9"/>
        <v>17600</v>
      </c>
    </row>
    <row r="207" spans="1:12" ht="19" customHeight="1">
      <c r="A207" s="62" t="s">
        <v>608</v>
      </c>
      <c r="C207" s="47" t="s">
        <v>375</v>
      </c>
      <c r="D207" s="47" t="s">
        <v>405</v>
      </c>
      <c r="F207" s="48">
        <v>1</v>
      </c>
      <c r="G207" s="48">
        <f>VLOOKUP(D207,단가!B:D,3,0)</f>
        <v>30000</v>
      </c>
      <c r="H207" s="48">
        <f t="shared" si="10"/>
        <v>30000</v>
      </c>
      <c r="I207" s="48">
        <f t="shared" si="11"/>
        <v>3000</v>
      </c>
      <c r="J207" s="49">
        <f t="shared" si="9"/>
        <v>33000</v>
      </c>
    </row>
    <row r="208" spans="1:12" ht="19" customHeight="1">
      <c r="A208" s="62" t="s">
        <v>610</v>
      </c>
      <c r="C208" s="47" t="s">
        <v>567</v>
      </c>
      <c r="D208" s="47" t="s">
        <v>61</v>
      </c>
      <c r="E208" s="47" t="s">
        <v>57</v>
      </c>
      <c r="F208" s="48">
        <v>3</v>
      </c>
      <c r="G208" s="48">
        <f>VLOOKUP(D208,단가!B:D,3,0)</f>
        <v>20000</v>
      </c>
      <c r="H208" s="48">
        <f t="shared" si="10"/>
        <v>60000</v>
      </c>
      <c r="I208" s="48">
        <f t="shared" si="11"/>
        <v>6000</v>
      </c>
      <c r="J208" s="49">
        <f t="shared" si="9"/>
        <v>66000</v>
      </c>
    </row>
    <row r="209" spans="1:10" ht="19" customHeight="1">
      <c r="A209" s="62" t="s">
        <v>610</v>
      </c>
      <c r="C209" s="47" t="s">
        <v>217</v>
      </c>
      <c r="D209" s="47" t="s">
        <v>61</v>
      </c>
      <c r="E209" s="47" t="s">
        <v>57</v>
      </c>
      <c r="F209" s="48">
        <v>8</v>
      </c>
      <c r="G209" s="48">
        <f>VLOOKUP(D209,단가!B:D,3,0)</f>
        <v>20000</v>
      </c>
      <c r="H209" s="48">
        <f t="shared" si="10"/>
        <v>160000</v>
      </c>
      <c r="I209" s="48">
        <f t="shared" si="11"/>
        <v>16000</v>
      </c>
      <c r="J209" s="49">
        <f t="shared" si="9"/>
        <v>176000</v>
      </c>
    </row>
    <row r="210" spans="1:10" ht="19" customHeight="1">
      <c r="A210" s="62" t="s">
        <v>610</v>
      </c>
      <c r="C210" s="47" t="s">
        <v>217</v>
      </c>
      <c r="D210" s="47" t="s">
        <v>153</v>
      </c>
      <c r="E210" s="47" t="s">
        <v>590</v>
      </c>
      <c r="F210" s="48">
        <v>5</v>
      </c>
      <c r="G210" s="48">
        <f>VLOOKUP(D210,단가!B:D,3,0)</f>
        <v>10500</v>
      </c>
      <c r="H210" s="48">
        <f t="shared" si="10"/>
        <v>52500</v>
      </c>
      <c r="I210" s="48">
        <f t="shared" si="11"/>
        <v>5250</v>
      </c>
      <c r="J210" s="49">
        <f t="shared" si="9"/>
        <v>57750</v>
      </c>
    </row>
    <row r="211" spans="1:10" ht="19" customHeight="1">
      <c r="A211" s="62" t="s">
        <v>610</v>
      </c>
      <c r="C211" s="47" t="s">
        <v>217</v>
      </c>
      <c r="D211" s="47" t="s">
        <v>151</v>
      </c>
      <c r="E211" s="47" t="s">
        <v>590</v>
      </c>
      <c r="F211" s="48">
        <v>5</v>
      </c>
      <c r="G211" s="48">
        <f>VLOOKUP(D211,단가!B:D,3,0)</f>
        <v>10500</v>
      </c>
      <c r="H211" s="48">
        <f t="shared" si="10"/>
        <v>52500</v>
      </c>
      <c r="I211" s="48">
        <f t="shared" si="11"/>
        <v>5250</v>
      </c>
      <c r="J211" s="49">
        <f t="shared" si="9"/>
        <v>57750</v>
      </c>
    </row>
    <row r="212" spans="1:10" ht="19" customHeight="1">
      <c r="A212" s="62" t="s">
        <v>610</v>
      </c>
      <c r="C212" s="47" t="s">
        <v>217</v>
      </c>
      <c r="D212" s="47" t="s">
        <v>148</v>
      </c>
      <c r="E212" s="47" t="s">
        <v>590</v>
      </c>
      <c r="F212" s="48">
        <v>5</v>
      </c>
      <c r="G212" s="48">
        <f>VLOOKUP(D212,단가!B:D,3,0)</f>
        <v>10500</v>
      </c>
      <c r="H212" s="48">
        <f t="shared" si="10"/>
        <v>52500</v>
      </c>
      <c r="I212" s="48">
        <f t="shared" si="11"/>
        <v>5250</v>
      </c>
      <c r="J212" s="49">
        <f t="shared" si="9"/>
        <v>57750</v>
      </c>
    </row>
    <row r="213" spans="1:10" ht="19" customHeight="1">
      <c r="A213" s="62" t="s">
        <v>610</v>
      </c>
      <c r="C213" s="47" t="s">
        <v>217</v>
      </c>
      <c r="D213" s="47" t="s">
        <v>146</v>
      </c>
      <c r="E213" s="47" t="s">
        <v>590</v>
      </c>
      <c r="F213" s="48">
        <v>5</v>
      </c>
      <c r="G213" s="48">
        <f>VLOOKUP(D213,단가!B:D,3,0)</f>
        <v>10500</v>
      </c>
      <c r="H213" s="48">
        <f t="shared" si="10"/>
        <v>52500</v>
      </c>
      <c r="I213" s="48">
        <f t="shared" si="11"/>
        <v>5250</v>
      </c>
      <c r="J213" s="49">
        <f t="shared" si="9"/>
        <v>57750</v>
      </c>
    </row>
    <row r="214" spans="1:10" ht="19" customHeight="1">
      <c r="A214" s="62" t="s">
        <v>610</v>
      </c>
      <c r="C214" s="47" t="s">
        <v>217</v>
      </c>
      <c r="D214" s="47" t="s">
        <v>147</v>
      </c>
      <c r="E214" s="47" t="s">
        <v>590</v>
      </c>
      <c r="F214" s="48">
        <v>5</v>
      </c>
      <c r="G214" s="48">
        <f>VLOOKUP(D214,단가!B:D,3,0)</f>
        <v>10500</v>
      </c>
      <c r="H214" s="48">
        <f t="shared" si="10"/>
        <v>52500</v>
      </c>
      <c r="I214" s="48">
        <f t="shared" si="11"/>
        <v>5250</v>
      </c>
      <c r="J214" s="49">
        <f t="shared" si="9"/>
        <v>57750</v>
      </c>
    </row>
    <row r="215" spans="1:10" ht="19" customHeight="1">
      <c r="A215" s="62" t="s">
        <v>611</v>
      </c>
      <c r="C215" s="47" t="s">
        <v>567</v>
      </c>
      <c r="D215" s="47" t="s">
        <v>61</v>
      </c>
      <c r="E215" s="47" t="s">
        <v>57</v>
      </c>
      <c r="F215" s="48">
        <v>1</v>
      </c>
      <c r="G215" s="48">
        <f>VLOOKUP(D215,단가!B:D,3,0)</f>
        <v>20000</v>
      </c>
      <c r="H215" s="48">
        <f t="shared" si="10"/>
        <v>20000</v>
      </c>
      <c r="I215" s="48">
        <f t="shared" si="11"/>
        <v>2000</v>
      </c>
      <c r="J215" s="49">
        <f t="shared" si="9"/>
        <v>22000</v>
      </c>
    </row>
    <row r="216" spans="1:10" ht="19" customHeight="1">
      <c r="A216" s="62" t="s">
        <v>611</v>
      </c>
      <c r="C216" s="47" t="s">
        <v>217</v>
      </c>
      <c r="D216" s="47" t="s">
        <v>154</v>
      </c>
      <c r="E216" s="47" t="s">
        <v>590</v>
      </c>
      <c r="F216" s="48">
        <v>5</v>
      </c>
      <c r="G216" s="48">
        <f>VLOOKUP(D216,단가!B:D,3,0)</f>
        <v>10500</v>
      </c>
      <c r="H216" s="48">
        <f t="shared" si="10"/>
        <v>52500</v>
      </c>
      <c r="I216" s="48">
        <f t="shared" si="11"/>
        <v>5250</v>
      </c>
      <c r="J216" s="49">
        <f t="shared" si="9"/>
        <v>57750</v>
      </c>
    </row>
    <row r="217" spans="1:10" ht="19" customHeight="1">
      <c r="A217" s="62" t="s">
        <v>611</v>
      </c>
      <c r="C217" s="47" t="s">
        <v>217</v>
      </c>
      <c r="D217" s="47" t="s">
        <v>152</v>
      </c>
      <c r="E217" s="47" t="s">
        <v>590</v>
      </c>
      <c r="F217" s="48">
        <v>5</v>
      </c>
      <c r="G217" s="48">
        <f>VLOOKUP(D217,단가!B:D,3,0)</f>
        <v>10500</v>
      </c>
      <c r="H217" s="48">
        <f t="shared" si="10"/>
        <v>52500</v>
      </c>
      <c r="I217" s="48">
        <f t="shared" si="11"/>
        <v>5250</v>
      </c>
      <c r="J217" s="49">
        <f t="shared" ref="J217:J290" si="14">H217+I217</f>
        <v>57750</v>
      </c>
    </row>
    <row r="218" spans="1:10" ht="19" customHeight="1">
      <c r="A218" s="62" t="s">
        <v>611</v>
      </c>
      <c r="C218" s="47" t="s">
        <v>217</v>
      </c>
      <c r="D218" s="47" t="s">
        <v>149</v>
      </c>
      <c r="E218" s="47" t="s">
        <v>590</v>
      </c>
      <c r="F218" s="48">
        <v>5</v>
      </c>
      <c r="G218" s="48">
        <f>VLOOKUP(D218,단가!B:D,3,0)</f>
        <v>10500</v>
      </c>
      <c r="H218" s="48">
        <f t="shared" ref="H218:H291" si="15">F218*G218</f>
        <v>52500</v>
      </c>
      <c r="I218" s="48">
        <f t="shared" ref="I218:I291" si="16">H218*0.1</f>
        <v>5250</v>
      </c>
      <c r="J218" s="49">
        <f t="shared" si="14"/>
        <v>57750</v>
      </c>
    </row>
    <row r="219" spans="1:10" ht="19" customHeight="1">
      <c r="A219" s="62" t="s">
        <v>611</v>
      </c>
      <c r="C219" s="47" t="s">
        <v>217</v>
      </c>
      <c r="D219" s="47" t="s">
        <v>150</v>
      </c>
      <c r="E219" s="47" t="s">
        <v>590</v>
      </c>
      <c r="F219" s="48">
        <v>5</v>
      </c>
      <c r="G219" s="48">
        <f>VLOOKUP(D219,단가!B:D,3,0)</f>
        <v>10500</v>
      </c>
      <c r="H219" s="48">
        <f t="shared" si="15"/>
        <v>52500</v>
      </c>
      <c r="I219" s="48">
        <f t="shared" si="16"/>
        <v>5250</v>
      </c>
      <c r="J219" s="49">
        <f t="shared" si="14"/>
        <v>57750</v>
      </c>
    </row>
    <row r="220" spans="1:10" ht="19" customHeight="1">
      <c r="A220" s="62" t="s">
        <v>611</v>
      </c>
      <c r="C220" s="47" t="s">
        <v>217</v>
      </c>
      <c r="D220" s="47" t="s">
        <v>61</v>
      </c>
      <c r="E220" s="47" t="s">
        <v>57</v>
      </c>
      <c r="F220" s="48">
        <v>3</v>
      </c>
      <c r="G220" s="48">
        <f>VLOOKUP(D220,단가!B:D,3,0)</f>
        <v>20000</v>
      </c>
      <c r="H220" s="48">
        <f t="shared" si="15"/>
        <v>60000</v>
      </c>
      <c r="I220" s="48">
        <f t="shared" si="16"/>
        <v>6000</v>
      </c>
      <c r="J220" s="49">
        <f t="shared" si="14"/>
        <v>66000</v>
      </c>
    </row>
    <row r="221" spans="1:10" ht="19" customHeight="1">
      <c r="A221" s="62" t="s">
        <v>612</v>
      </c>
      <c r="C221" s="47" t="s">
        <v>355</v>
      </c>
      <c r="D221" s="47" t="s">
        <v>61</v>
      </c>
      <c r="E221" s="47" t="s">
        <v>57</v>
      </c>
      <c r="F221" s="48">
        <v>3</v>
      </c>
      <c r="G221" s="48">
        <f>VLOOKUP(D221,단가!B:D,3,0)</f>
        <v>20000</v>
      </c>
      <c r="H221" s="48">
        <f t="shared" si="15"/>
        <v>60000</v>
      </c>
      <c r="I221" s="48">
        <f t="shared" si="16"/>
        <v>6000</v>
      </c>
      <c r="J221" s="49">
        <f t="shared" si="14"/>
        <v>66000</v>
      </c>
    </row>
    <row r="222" spans="1:10" ht="19" customHeight="1">
      <c r="A222" s="62" t="s">
        <v>613</v>
      </c>
      <c r="C222" s="47" t="s">
        <v>394</v>
      </c>
      <c r="D222" s="47" t="s">
        <v>315</v>
      </c>
      <c r="E222" s="47" t="s">
        <v>57</v>
      </c>
      <c r="F222" s="48">
        <v>5</v>
      </c>
      <c r="G222" s="48">
        <f>VLOOKUP(D222,단가!B:D,3,0)</f>
        <v>32000</v>
      </c>
      <c r="H222" s="48">
        <f t="shared" si="15"/>
        <v>160000</v>
      </c>
      <c r="I222" s="48">
        <f t="shared" si="16"/>
        <v>16000</v>
      </c>
      <c r="J222" s="49">
        <f t="shared" si="14"/>
        <v>176000</v>
      </c>
    </row>
    <row r="223" spans="1:10" ht="19" customHeight="1">
      <c r="A223" s="62" t="s">
        <v>614</v>
      </c>
      <c r="C223" s="47" t="s">
        <v>615</v>
      </c>
      <c r="D223" s="47" t="s">
        <v>61</v>
      </c>
      <c r="E223" s="47" t="s">
        <v>57</v>
      </c>
      <c r="F223" s="48">
        <v>5</v>
      </c>
      <c r="G223" s="48">
        <f>VLOOKUP(D223,단가!B:D,3,0)</f>
        <v>20000</v>
      </c>
      <c r="H223" s="48">
        <f t="shared" si="15"/>
        <v>100000</v>
      </c>
      <c r="I223" s="48">
        <f t="shared" si="16"/>
        <v>10000</v>
      </c>
      <c r="J223" s="49">
        <f t="shared" si="14"/>
        <v>110000</v>
      </c>
    </row>
    <row r="224" spans="1:10" ht="19" customHeight="1">
      <c r="A224" s="62" t="s">
        <v>614</v>
      </c>
      <c r="C224" s="47" t="s">
        <v>217</v>
      </c>
      <c r="D224" s="47" t="s">
        <v>61</v>
      </c>
      <c r="E224" s="47" t="s">
        <v>57</v>
      </c>
      <c r="F224" s="48">
        <v>8</v>
      </c>
      <c r="G224" s="48">
        <f>VLOOKUP(D224,단가!B:D,3,0)</f>
        <v>20000</v>
      </c>
      <c r="H224" s="48">
        <f t="shared" si="15"/>
        <v>160000</v>
      </c>
      <c r="I224" s="48">
        <f t="shared" si="16"/>
        <v>16000</v>
      </c>
      <c r="J224" s="49">
        <f t="shared" si="14"/>
        <v>176000</v>
      </c>
    </row>
    <row r="225" spans="1:10" ht="19" customHeight="1">
      <c r="A225" s="62" t="s">
        <v>614</v>
      </c>
      <c r="C225" s="47" t="s">
        <v>217</v>
      </c>
      <c r="D225" s="47" t="s">
        <v>152</v>
      </c>
      <c r="E225" s="47" t="s">
        <v>590</v>
      </c>
      <c r="F225" s="48">
        <v>5</v>
      </c>
      <c r="G225" s="48">
        <f>VLOOKUP(D225,단가!B:D,3,0)</f>
        <v>10500</v>
      </c>
      <c r="H225" s="48">
        <f t="shared" si="15"/>
        <v>52500</v>
      </c>
      <c r="I225" s="48">
        <f t="shared" si="16"/>
        <v>5250</v>
      </c>
      <c r="J225" s="49">
        <f t="shared" si="14"/>
        <v>57750</v>
      </c>
    </row>
    <row r="226" spans="1:10" ht="19" customHeight="1">
      <c r="A226" s="62" t="s">
        <v>614</v>
      </c>
      <c r="C226" s="47" t="s">
        <v>217</v>
      </c>
      <c r="D226" s="47" t="s">
        <v>149</v>
      </c>
      <c r="E226" s="47" t="s">
        <v>590</v>
      </c>
      <c r="F226" s="48">
        <v>5</v>
      </c>
      <c r="G226" s="48">
        <f>VLOOKUP(D226,단가!B:D,3,0)</f>
        <v>10500</v>
      </c>
      <c r="H226" s="48">
        <f t="shared" si="15"/>
        <v>52500</v>
      </c>
      <c r="I226" s="48">
        <f t="shared" si="16"/>
        <v>5250</v>
      </c>
      <c r="J226" s="49">
        <f t="shared" si="14"/>
        <v>57750</v>
      </c>
    </row>
    <row r="227" spans="1:10" ht="19" customHeight="1">
      <c r="A227" s="62" t="s">
        <v>614</v>
      </c>
      <c r="C227" s="47" t="s">
        <v>217</v>
      </c>
      <c r="D227" s="47" t="s">
        <v>148</v>
      </c>
      <c r="E227" s="47" t="s">
        <v>590</v>
      </c>
      <c r="F227" s="48">
        <v>5</v>
      </c>
      <c r="G227" s="48">
        <f>VLOOKUP(D227,단가!B:D,3,0)</f>
        <v>10500</v>
      </c>
      <c r="H227" s="48">
        <f t="shared" si="15"/>
        <v>52500</v>
      </c>
      <c r="I227" s="48">
        <f t="shared" si="16"/>
        <v>5250</v>
      </c>
      <c r="J227" s="49">
        <f t="shared" si="14"/>
        <v>57750</v>
      </c>
    </row>
    <row r="228" spans="1:10" ht="19" customHeight="1">
      <c r="A228" s="62" t="s">
        <v>614</v>
      </c>
      <c r="C228" s="47" t="s">
        <v>217</v>
      </c>
      <c r="D228" s="47" t="s">
        <v>146</v>
      </c>
      <c r="E228" s="47" t="s">
        <v>590</v>
      </c>
      <c r="F228" s="48">
        <v>5</v>
      </c>
      <c r="G228" s="48">
        <f>VLOOKUP(D228,단가!B:D,3,0)</f>
        <v>10500</v>
      </c>
      <c r="H228" s="48">
        <f t="shared" si="15"/>
        <v>52500</v>
      </c>
      <c r="I228" s="48">
        <f t="shared" si="16"/>
        <v>5250</v>
      </c>
      <c r="J228" s="49">
        <f t="shared" si="14"/>
        <v>57750</v>
      </c>
    </row>
    <row r="229" spans="1:10" ht="19" customHeight="1">
      <c r="A229" s="62" t="s">
        <v>614</v>
      </c>
      <c r="C229" s="47" t="s">
        <v>217</v>
      </c>
      <c r="D229" s="47" t="s">
        <v>147</v>
      </c>
      <c r="E229" s="47" t="s">
        <v>590</v>
      </c>
      <c r="F229" s="48">
        <v>5</v>
      </c>
      <c r="G229" s="48">
        <f>VLOOKUP(D229,단가!B:D,3,0)</f>
        <v>10500</v>
      </c>
      <c r="H229" s="48">
        <f t="shared" si="15"/>
        <v>52500</v>
      </c>
      <c r="I229" s="48">
        <f t="shared" si="16"/>
        <v>5250</v>
      </c>
      <c r="J229" s="49">
        <f t="shared" si="14"/>
        <v>57750</v>
      </c>
    </row>
    <row r="230" spans="1:10" ht="19" customHeight="1">
      <c r="A230" s="62" t="s">
        <v>616</v>
      </c>
      <c r="C230" s="47" t="s">
        <v>217</v>
      </c>
      <c r="D230" s="47" t="s">
        <v>61</v>
      </c>
      <c r="E230" s="47" t="s">
        <v>57</v>
      </c>
      <c r="F230" s="48">
        <v>5</v>
      </c>
      <c r="G230" s="48">
        <f>VLOOKUP(D230,단가!B:D,3,0)</f>
        <v>20000</v>
      </c>
      <c r="H230" s="48">
        <f t="shared" si="15"/>
        <v>100000</v>
      </c>
      <c r="I230" s="48">
        <f t="shared" si="16"/>
        <v>10000</v>
      </c>
      <c r="J230" s="49">
        <f t="shared" si="14"/>
        <v>110000</v>
      </c>
    </row>
    <row r="231" spans="1:10" ht="19" customHeight="1">
      <c r="A231" s="62" t="s">
        <v>616</v>
      </c>
      <c r="C231" s="47" t="s">
        <v>217</v>
      </c>
      <c r="D231" s="47" t="s">
        <v>154</v>
      </c>
      <c r="E231" s="47" t="s">
        <v>590</v>
      </c>
      <c r="F231" s="48">
        <v>5</v>
      </c>
      <c r="G231" s="48">
        <f>VLOOKUP(D231,단가!B:D,3,0)</f>
        <v>10500</v>
      </c>
      <c r="H231" s="48">
        <f t="shared" si="15"/>
        <v>52500</v>
      </c>
      <c r="I231" s="48">
        <f t="shared" si="16"/>
        <v>5250</v>
      </c>
      <c r="J231" s="49">
        <f t="shared" si="14"/>
        <v>57750</v>
      </c>
    </row>
    <row r="232" spans="1:10" ht="19" customHeight="1">
      <c r="A232" s="62" t="s">
        <v>616</v>
      </c>
      <c r="C232" s="47" t="s">
        <v>217</v>
      </c>
      <c r="D232" s="47" t="s">
        <v>153</v>
      </c>
      <c r="E232" s="47" t="s">
        <v>590</v>
      </c>
      <c r="F232" s="48">
        <v>5</v>
      </c>
      <c r="G232" s="48">
        <f>VLOOKUP(D232,단가!B:D,3,0)</f>
        <v>10500</v>
      </c>
      <c r="H232" s="48">
        <f t="shared" si="15"/>
        <v>52500</v>
      </c>
      <c r="I232" s="48">
        <f t="shared" si="16"/>
        <v>5250</v>
      </c>
      <c r="J232" s="49">
        <f t="shared" si="14"/>
        <v>57750</v>
      </c>
    </row>
    <row r="233" spans="1:10" ht="19" customHeight="1">
      <c r="A233" s="62" t="s">
        <v>616</v>
      </c>
      <c r="C233" s="47" t="s">
        <v>217</v>
      </c>
      <c r="D233" s="47" t="s">
        <v>151</v>
      </c>
      <c r="E233" s="47" t="s">
        <v>590</v>
      </c>
      <c r="F233" s="48">
        <v>5</v>
      </c>
      <c r="G233" s="48">
        <f>VLOOKUP(D233,단가!B:D,3,0)</f>
        <v>10500</v>
      </c>
      <c r="H233" s="48">
        <f t="shared" si="15"/>
        <v>52500</v>
      </c>
      <c r="I233" s="48">
        <f t="shared" si="16"/>
        <v>5250</v>
      </c>
      <c r="J233" s="49">
        <f t="shared" si="14"/>
        <v>57750</v>
      </c>
    </row>
    <row r="234" spans="1:10" ht="19" customHeight="1">
      <c r="A234" s="62" t="s">
        <v>616</v>
      </c>
      <c r="C234" s="47" t="s">
        <v>217</v>
      </c>
      <c r="D234" s="47" t="s">
        <v>150</v>
      </c>
      <c r="E234" s="47" t="s">
        <v>590</v>
      </c>
      <c r="F234" s="48">
        <v>5</v>
      </c>
      <c r="G234" s="48">
        <f>VLOOKUP(D234,단가!B:D,3,0)</f>
        <v>10500</v>
      </c>
      <c r="H234" s="48">
        <f t="shared" si="15"/>
        <v>52500</v>
      </c>
      <c r="I234" s="48">
        <f t="shared" si="16"/>
        <v>5250</v>
      </c>
      <c r="J234" s="49">
        <f t="shared" si="14"/>
        <v>57750</v>
      </c>
    </row>
    <row r="235" spans="1:10" ht="19" customHeight="1">
      <c r="A235" s="62" t="s">
        <v>617</v>
      </c>
      <c r="C235" s="47" t="s">
        <v>355</v>
      </c>
      <c r="D235" s="47" t="s">
        <v>61</v>
      </c>
      <c r="E235" s="47" t="s">
        <v>57</v>
      </c>
      <c r="F235" s="48">
        <v>3</v>
      </c>
      <c r="G235" s="48">
        <f>VLOOKUP(D235,단가!B:D,3,0)</f>
        <v>20000</v>
      </c>
      <c r="H235" s="48">
        <f t="shared" si="15"/>
        <v>60000</v>
      </c>
      <c r="I235" s="48">
        <f t="shared" si="16"/>
        <v>6000</v>
      </c>
      <c r="J235" s="49">
        <f t="shared" si="14"/>
        <v>66000</v>
      </c>
    </row>
    <row r="236" spans="1:10" ht="19" customHeight="1">
      <c r="A236" s="62" t="s">
        <v>617</v>
      </c>
      <c r="C236" s="47" t="s">
        <v>467</v>
      </c>
      <c r="D236" s="47" t="s">
        <v>315</v>
      </c>
      <c r="E236" s="47" t="s">
        <v>57</v>
      </c>
      <c r="F236" s="48">
        <v>2</v>
      </c>
      <c r="G236" s="48">
        <f>VLOOKUP(D236,단가!B:D,3,0)</f>
        <v>32000</v>
      </c>
      <c r="H236" s="48">
        <f t="shared" si="15"/>
        <v>64000</v>
      </c>
      <c r="I236" s="48">
        <f t="shared" si="16"/>
        <v>6400</v>
      </c>
      <c r="J236" s="49">
        <f t="shared" si="14"/>
        <v>70400</v>
      </c>
    </row>
    <row r="237" spans="1:10" ht="19" customHeight="1">
      <c r="A237" s="62" t="s">
        <v>618</v>
      </c>
      <c r="C237" s="47" t="s">
        <v>199</v>
      </c>
      <c r="D237" s="47" t="s">
        <v>61</v>
      </c>
      <c r="E237" s="47" t="s">
        <v>57</v>
      </c>
      <c r="F237" s="48">
        <v>10</v>
      </c>
      <c r="G237" s="48">
        <f>VLOOKUP(D237,단가!B:D,3,0)</f>
        <v>20000</v>
      </c>
      <c r="H237" s="48">
        <f t="shared" si="15"/>
        <v>200000</v>
      </c>
      <c r="I237" s="48">
        <f t="shared" si="16"/>
        <v>20000</v>
      </c>
      <c r="J237" s="49">
        <f t="shared" si="14"/>
        <v>220000</v>
      </c>
    </row>
    <row r="238" spans="1:10" ht="19" customHeight="1">
      <c r="A238" s="62" t="s">
        <v>618</v>
      </c>
      <c r="C238" s="47" t="s">
        <v>217</v>
      </c>
      <c r="D238" s="47" t="s">
        <v>61</v>
      </c>
      <c r="E238" s="47" t="s">
        <v>57</v>
      </c>
      <c r="F238" s="48">
        <v>3</v>
      </c>
      <c r="G238" s="48">
        <f>VLOOKUP(D238,단가!B:D,3,0)</f>
        <v>20000</v>
      </c>
      <c r="H238" s="48">
        <f t="shared" si="15"/>
        <v>60000</v>
      </c>
      <c r="I238" s="48">
        <f t="shared" si="16"/>
        <v>6000</v>
      </c>
      <c r="J238" s="49">
        <f t="shared" si="14"/>
        <v>66000</v>
      </c>
    </row>
    <row r="239" spans="1:10" ht="19" customHeight="1">
      <c r="A239" s="62" t="s">
        <v>618</v>
      </c>
      <c r="C239" s="47" t="s">
        <v>217</v>
      </c>
      <c r="D239" s="47" t="s">
        <v>178</v>
      </c>
      <c r="E239" s="47" t="s">
        <v>590</v>
      </c>
      <c r="F239" s="48">
        <v>2</v>
      </c>
      <c r="G239" s="48">
        <f>VLOOKUP(D239,단가!B:D,3,0)</f>
        <v>10500</v>
      </c>
      <c r="H239" s="48">
        <f t="shared" si="15"/>
        <v>21000</v>
      </c>
      <c r="I239" s="48">
        <f t="shared" si="16"/>
        <v>2100</v>
      </c>
      <c r="J239" s="49">
        <f t="shared" si="14"/>
        <v>23100</v>
      </c>
    </row>
    <row r="240" spans="1:10" ht="19" customHeight="1">
      <c r="A240" s="62" t="s">
        <v>618</v>
      </c>
      <c r="C240" s="47" t="s">
        <v>217</v>
      </c>
      <c r="D240" s="47" t="s">
        <v>152</v>
      </c>
      <c r="E240" s="47" t="s">
        <v>590</v>
      </c>
      <c r="F240" s="48">
        <v>5</v>
      </c>
      <c r="G240" s="48">
        <f>VLOOKUP(D240,단가!B:D,3,0)</f>
        <v>10500</v>
      </c>
      <c r="H240" s="48">
        <f t="shared" si="15"/>
        <v>52500</v>
      </c>
      <c r="I240" s="48">
        <f t="shared" si="16"/>
        <v>5250</v>
      </c>
      <c r="J240" s="49">
        <f t="shared" si="14"/>
        <v>57750</v>
      </c>
    </row>
    <row r="241" spans="1:12" ht="19" customHeight="1">
      <c r="A241" s="62" t="s">
        <v>618</v>
      </c>
      <c r="C241" s="47" t="s">
        <v>217</v>
      </c>
      <c r="D241" s="47" t="s">
        <v>148</v>
      </c>
      <c r="E241" s="47" t="s">
        <v>590</v>
      </c>
      <c r="F241" s="48">
        <v>5</v>
      </c>
      <c r="G241" s="48">
        <f>VLOOKUP(D241,단가!B:D,3,0)</f>
        <v>10500</v>
      </c>
      <c r="H241" s="48">
        <f t="shared" si="15"/>
        <v>52500</v>
      </c>
      <c r="I241" s="48">
        <f t="shared" si="16"/>
        <v>5250</v>
      </c>
      <c r="J241" s="49">
        <f t="shared" si="14"/>
        <v>57750</v>
      </c>
    </row>
    <row r="242" spans="1:12" ht="19" customHeight="1">
      <c r="A242" s="62" t="s">
        <v>618</v>
      </c>
      <c r="C242" s="47" t="s">
        <v>217</v>
      </c>
      <c r="D242" s="47" t="s">
        <v>146</v>
      </c>
      <c r="E242" s="47" t="s">
        <v>590</v>
      </c>
      <c r="F242" s="48">
        <v>5</v>
      </c>
      <c r="G242" s="48">
        <f>VLOOKUP(D242,단가!B:D,3,0)</f>
        <v>10500</v>
      </c>
      <c r="H242" s="48">
        <f t="shared" si="15"/>
        <v>52500</v>
      </c>
      <c r="I242" s="48">
        <f t="shared" si="16"/>
        <v>5250</v>
      </c>
      <c r="J242" s="49">
        <f t="shared" si="14"/>
        <v>57750</v>
      </c>
      <c r="L242" s="56"/>
    </row>
    <row r="243" spans="1:12" ht="19" customHeight="1">
      <c r="A243" s="62" t="s">
        <v>619</v>
      </c>
      <c r="C243" s="47" t="s">
        <v>217</v>
      </c>
      <c r="D243" s="47" t="s">
        <v>61</v>
      </c>
      <c r="E243" s="47" t="s">
        <v>57</v>
      </c>
      <c r="F243" s="48">
        <v>6</v>
      </c>
      <c r="G243" s="48">
        <f>VLOOKUP(D243,단가!B:D,3,0)</f>
        <v>20000</v>
      </c>
      <c r="H243" s="48">
        <f t="shared" si="15"/>
        <v>120000</v>
      </c>
      <c r="I243" s="48">
        <f t="shared" si="16"/>
        <v>12000</v>
      </c>
      <c r="J243" s="49">
        <f t="shared" si="14"/>
        <v>132000</v>
      </c>
    </row>
    <row r="244" spans="1:12" ht="19" customHeight="1">
      <c r="A244" s="62" t="s">
        <v>619</v>
      </c>
      <c r="C244" s="47" t="s">
        <v>217</v>
      </c>
      <c r="D244" s="67" t="s">
        <v>154</v>
      </c>
      <c r="E244" s="47" t="s">
        <v>590</v>
      </c>
      <c r="F244" s="48">
        <v>5</v>
      </c>
      <c r="G244" s="48">
        <f>VLOOKUP(D244,단가!B:D,3,0)</f>
        <v>10500</v>
      </c>
      <c r="H244" s="48">
        <f t="shared" si="15"/>
        <v>52500</v>
      </c>
      <c r="I244" s="48">
        <f t="shared" si="16"/>
        <v>5250</v>
      </c>
      <c r="J244" s="49">
        <f t="shared" si="14"/>
        <v>57750</v>
      </c>
    </row>
    <row r="245" spans="1:12" ht="19" customHeight="1">
      <c r="A245" s="62" t="s">
        <v>619</v>
      </c>
      <c r="C245" s="47" t="s">
        <v>217</v>
      </c>
      <c r="D245" s="47" t="s">
        <v>151</v>
      </c>
      <c r="E245" s="47" t="s">
        <v>590</v>
      </c>
      <c r="F245" s="48">
        <v>5</v>
      </c>
      <c r="G245" s="48">
        <f>VLOOKUP(D245,단가!B:D,3,0)</f>
        <v>10500</v>
      </c>
      <c r="H245" s="48">
        <f t="shared" si="15"/>
        <v>52500</v>
      </c>
      <c r="I245" s="48">
        <f t="shared" si="16"/>
        <v>5250</v>
      </c>
      <c r="J245" s="49">
        <f t="shared" si="14"/>
        <v>57750</v>
      </c>
    </row>
    <row r="246" spans="1:12" ht="19" customHeight="1">
      <c r="A246" s="62" t="s">
        <v>619</v>
      </c>
      <c r="C246" s="47" t="s">
        <v>217</v>
      </c>
      <c r="D246" s="47" t="s">
        <v>148</v>
      </c>
      <c r="E246" s="47" t="s">
        <v>590</v>
      </c>
      <c r="F246" s="48">
        <v>5</v>
      </c>
      <c r="G246" s="48">
        <f>VLOOKUP(D246,단가!B:D,3,0)</f>
        <v>10500</v>
      </c>
      <c r="H246" s="48">
        <f t="shared" si="15"/>
        <v>52500</v>
      </c>
      <c r="I246" s="48">
        <f t="shared" si="16"/>
        <v>5250</v>
      </c>
      <c r="J246" s="49">
        <f t="shared" si="14"/>
        <v>57750</v>
      </c>
    </row>
    <row r="247" spans="1:12" ht="19" customHeight="1">
      <c r="A247" s="62" t="s">
        <v>619</v>
      </c>
      <c r="C247" s="47" t="s">
        <v>217</v>
      </c>
      <c r="D247" s="47" t="s">
        <v>146</v>
      </c>
      <c r="E247" s="47" t="s">
        <v>590</v>
      </c>
      <c r="F247" s="48">
        <v>5</v>
      </c>
      <c r="G247" s="48">
        <f>VLOOKUP(D247,단가!B:D,3,0)</f>
        <v>10500</v>
      </c>
      <c r="H247" s="48">
        <f t="shared" si="15"/>
        <v>52500</v>
      </c>
      <c r="I247" s="48">
        <f t="shared" si="16"/>
        <v>5250</v>
      </c>
      <c r="J247" s="49">
        <f t="shared" si="14"/>
        <v>57750</v>
      </c>
    </row>
    <row r="248" spans="1:12" ht="19" customHeight="1">
      <c r="A248" s="62" t="s">
        <v>619</v>
      </c>
      <c r="C248" s="47" t="s">
        <v>217</v>
      </c>
      <c r="D248" s="47" t="s">
        <v>147</v>
      </c>
      <c r="E248" s="47" t="s">
        <v>590</v>
      </c>
      <c r="F248" s="48">
        <v>5</v>
      </c>
      <c r="G248" s="48">
        <f>VLOOKUP(D248,단가!B:D,3,0)</f>
        <v>10500</v>
      </c>
      <c r="H248" s="48">
        <f t="shared" si="15"/>
        <v>52500</v>
      </c>
      <c r="I248" s="48">
        <f t="shared" si="16"/>
        <v>5250</v>
      </c>
      <c r="J248" s="49">
        <f t="shared" si="14"/>
        <v>57750</v>
      </c>
    </row>
    <row r="249" spans="1:12" ht="19" customHeight="1">
      <c r="A249" s="62" t="s">
        <v>620</v>
      </c>
      <c r="C249" s="47" t="s">
        <v>556</v>
      </c>
      <c r="D249" s="47" t="s">
        <v>61</v>
      </c>
      <c r="E249" s="47" t="s">
        <v>57</v>
      </c>
      <c r="F249" s="48">
        <v>10</v>
      </c>
      <c r="G249" s="48">
        <f>VLOOKUP(D249,단가!B:D,3,0)</f>
        <v>20000</v>
      </c>
      <c r="H249" s="48">
        <f t="shared" si="15"/>
        <v>200000</v>
      </c>
      <c r="I249" s="48">
        <f t="shared" si="16"/>
        <v>20000</v>
      </c>
      <c r="J249" s="49">
        <f t="shared" si="14"/>
        <v>220000</v>
      </c>
    </row>
    <row r="250" spans="1:12" ht="19" customHeight="1">
      <c r="A250" s="62" t="s">
        <v>620</v>
      </c>
      <c r="C250" s="47" t="s">
        <v>355</v>
      </c>
      <c r="D250" s="47" t="s">
        <v>61</v>
      </c>
      <c r="E250" s="47" t="s">
        <v>57</v>
      </c>
      <c r="F250" s="48">
        <v>3</v>
      </c>
      <c r="G250" s="48">
        <f>VLOOKUP(D250,단가!B:D,3,0)</f>
        <v>20000</v>
      </c>
      <c r="H250" s="48">
        <f t="shared" si="15"/>
        <v>60000</v>
      </c>
      <c r="I250" s="48">
        <f t="shared" si="16"/>
        <v>6000</v>
      </c>
      <c r="J250" s="49">
        <f t="shared" si="14"/>
        <v>66000</v>
      </c>
    </row>
    <row r="251" spans="1:12" ht="19" customHeight="1">
      <c r="A251" s="62" t="s">
        <v>621</v>
      </c>
      <c r="C251" s="47" t="s">
        <v>622</v>
      </c>
      <c r="D251" s="47" t="s">
        <v>61</v>
      </c>
      <c r="E251" s="47" t="s">
        <v>57</v>
      </c>
      <c r="F251" s="48">
        <v>2</v>
      </c>
      <c r="G251" s="48">
        <f>VLOOKUP(D251,단가!B:D,3,0)</f>
        <v>20000</v>
      </c>
      <c r="H251" s="48">
        <f t="shared" si="15"/>
        <v>40000</v>
      </c>
      <c r="I251" s="48">
        <f t="shared" si="16"/>
        <v>4000</v>
      </c>
      <c r="J251" s="49">
        <f t="shared" si="14"/>
        <v>44000</v>
      </c>
    </row>
    <row r="252" spans="1:12" ht="19" customHeight="1">
      <c r="A252" s="62" t="s">
        <v>621</v>
      </c>
      <c r="C252" s="47" t="s">
        <v>622</v>
      </c>
      <c r="D252" s="47" t="s">
        <v>152</v>
      </c>
      <c r="E252" s="47" t="s">
        <v>590</v>
      </c>
      <c r="F252" s="48">
        <v>5</v>
      </c>
      <c r="G252" s="48">
        <f>VLOOKUP(D252,단가!B:D,3,0)</f>
        <v>10500</v>
      </c>
      <c r="H252" s="48">
        <f t="shared" si="15"/>
        <v>52500</v>
      </c>
      <c r="I252" s="48">
        <f t="shared" si="16"/>
        <v>5250</v>
      </c>
      <c r="J252" s="49">
        <f t="shared" si="14"/>
        <v>57750</v>
      </c>
    </row>
    <row r="253" spans="1:12" ht="19" customHeight="1">
      <c r="A253" s="62" t="s">
        <v>621</v>
      </c>
      <c r="C253" s="47" t="s">
        <v>622</v>
      </c>
      <c r="D253" s="47" t="s">
        <v>148</v>
      </c>
      <c r="E253" s="47" t="s">
        <v>590</v>
      </c>
      <c r="F253" s="48">
        <v>5</v>
      </c>
      <c r="G253" s="48">
        <f>VLOOKUP(D253,단가!B:D,3,0)</f>
        <v>10500</v>
      </c>
      <c r="H253" s="48">
        <f t="shared" si="15"/>
        <v>52500</v>
      </c>
      <c r="I253" s="48">
        <f t="shared" si="16"/>
        <v>5250</v>
      </c>
      <c r="J253" s="49">
        <f t="shared" si="14"/>
        <v>57750</v>
      </c>
    </row>
    <row r="254" spans="1:12" ht="19" customHeight="1">
      <c r="A254" s="62" t="s">
        <v>621</v>
      </c>
      <c r="C254" s="47" t="s">
        <v>622</v>
      </c>
      <c r="D254" s="47" t="s">
        <v>146</v>
      </c>
      <c r="E254" s="47" t="s">
        <v>590</v>
      </c>
      <c r="F254" s="48">
        <v>5</v>
      </c>
      <c r="G254" s="48">
        <f>VLOOKUP(D254,단가!B:D,3,0)</f>
        <v>10500</v>
      </c>
      <c r="H254" s="48">
        <f t="shared" si="15"/>
        <v>52500</v>
      </c>
      <c r="I254" s="48">
        <f t="shared" si="16"/>
        <v>5250</v>
      </c>
      <c r="J254" s="49">
        <f t="shared" si="14"/>
        <v>57750</v>
      </c>
    </row>
    <row r="255" spans="1:12" ht="19" customHeight="1">
      <c r="A255" s="62" t="s">
        <v>621</v>
      </c>
      <c r="C255" s="47" t="s">
        <v>622</v>
      </c>
      <c r="D255" s="47" t="s">
        <v>147</v>
      </c>
      <c r="E255" s="47" t="s">
        <v>590</v>
      </c>
      <c r="F255" s="48">
        <v>5</v>
      </c>
      <c r="G255" s="48">
        <f>VLOOKUP(D255,단가!B:D,3,0)</f>
        <v>10500</v>
      </c>
      <c r="H255" s="48">
        <f t="shared" si="15"/>
        <v>52500</v>
      </c>
      <c r="I255" s="48">
        <f t="shared" si="16"/>
        <v>5250</v>
      </c>
      <c r="J255" s="49">
        <f t="shared" si="14"/>
        <v>57750</v>
      </c>
    </row>
    <row r="256" spans="1:12" ht="19" customHeight="1">
      <c r="A256" s="62" t="s">
        <v>621</v>
      </c>
      <c r="C256" s="47" t="s">
        <v>123</v>
      </c>
      <c r="D256" s="47" t="s">
        <v>61</v>
      </c>
      <c r="E256" s="47" t="s">
        <v>57</v>
      </c>
      <c r="F256" s="48">
        <v>10</v>
      </c>
      <c r="G256" s="48">
        <f>VLOOKUP(D256,단가!B:D,3,0)</f>
        <v>20000</v>
      </c>
      <c r="H256" s="48">
        <f t="shared" si="15"/>
        <v>200000</v>
      </c>
      <c r="I256" s="48">
        <f t="shared" si="16"/>
        <v>20000</v>
      </c>
      <c r="J256" s="49">
        <f t="shared" si="14"/>
        <v>220000</v>
      </c>
    </row>
    <row r="257" spans="1:12" ht="19" customHeight="1">
      <c r="A257" s="62" t="s">
        <v>621</v>
      </c>
      <c r="C257" s="47" t="s">
        <v>123</v>
      </c>
      <c r="D257" s="47" t="s">
        <v>129</v>
      </c>
      <c r="E257" s="47" t="s">
        <v>131</v>
      </c>
      <c r="F257" s="48">
        <v>3</v>
      </c>
      <c r="G257" s="48">
        <f>VLOOKUP(D257,단가!B:D,3,0)</f>
        <v>6000</v>
      </c>
      <c r="H257" s="48">
        <f t="shared" si="15"/>
        <v>18000</v>
      </c>
      <c r="I257" s="48">
        <f t="shared" si="16"/>
        <v>1800</v>
      </c>
      <c r="J257" s="49">
        <f t="shared" si="14"/>
        <v>19800</v>
      </c>
    </row>
    <row r="258" spans="1:12" ht="19" customHeight="1">
      <c r="A258" s="62" t="s">
        <v>621</v>
      </c>
      <c r="C258" s="47" t="s">
        <v>123</v>
      </c>
      <c r="D258" s="47" t="s">
        <v>130</v>
      </c>
      <c r="E258" s="47" t="s">
        <v>131</v>
      </c>
      <c r="F258" s="48">
        <v>3</v>
      </c>
      <c r="G258" s="48">
        <f>VLOOKUP(D258,단가!B:D,3,0)</f>
        <v>8000</v>
      </c>
      <c r="H258" s="48">
        <f t="shared" si="15"/>
        <v>24000</v>
      </c>
      <c r="I258" s="48">
        <f t="shared" si="16"/>
        <v>2400</v>
      </c>
      <c r="J258" s="49">
        <f t="shared" si="14"/>
        <v>26400</v>
      </c>
      <c r="K258" s="49"/>
    </row>
    <row r="259" spans="1:12" ht="19" customHeight="1">
      <c r="A259" s="62" t="s">
        <v>623</v>
      </c>
      <c r="C259" s="47" t="s">
        <v>217</v>
      </c>
      <c r="D259" s="47" t="s">
        <v>153</v>
      </c>
      <c r="E259" s="47" t="s">
        <v>590</v>
      </c>
      <c r="F259" s="48">
        <v>5</v>
      </c>
      <c r="G259" s="48">
        <f>VLOOKUP(D259,단가!B:D,3,0)</f>
        <v>10500</v>
      </c>
      <c r="H259" s="48">
        <f t="shared" si="15"/>
        <v>52500</v>
      </c>
      <c r="I259" s="48">
        <f t="shared" si="16"/>
        <v>5250</v>
      </c>
      <c r="J259" s="49">
        <f t="shared" si="14"/>
        <v>57750</v>
      </c>
    </row>
    <row r="260" spans="1:12" ht="19" customHeight="1">
      <c r="A260" s="62" t="s">
        <v>623</v>
      </c>
      <c r="C260" s="47" t="s">
        <v>217</v>
      </c>
      <c r="D260" s="47" t="s">
        <v>151</v>
      </c>
      <c r="E260" s="47" t="s">
        <v>590</v>
      </c>
      <c r="F260" s="48">
        <v>5</v>
      </c>
      <c r="G260" s="48">
        <f>VLOOKUP(D260,단가!B:D,3,0)</f>
        <v>10500</v>
      </c>
      <c r="H260" s="48">
        <f t="shared" si="15"/>
        <v>52500</v>
      </c>
      <c r="I260" s="48">
        <f t="shared" si="16"/>
        <v>5250</v>
      </c>
      <c r="J260" s="49">
        <f t="shared" si="14"/>
        <v>57750</v>
      </c>
    </row>
    <row r="261" spans="1:12" ht="19" customHeight="1">
      <c r="A261" s="62" t="s">
        <v>623</v>
      </c>
      <c r="C261" s="47" t="s">
        <v>217</v>
      </c>
      <c r="D261" s="47" t="s">
        <v>149</v>
      </c>
      <c r="E261" s="47" t="s">
        <v>590</v>
      </c>
      <c r="F261" s="48">
        <v>5</v>
      </c>
      <c r="G261" s="48">
        <f>VLOOKUP(D261,단가!B:D,3,0)</f>
        <v>10500</v>
      </c>
      <c r="H261" s="48">
        <f t="shared" si="15"/>
        <v>52500</v>
      </c>
      <c r="I261" s="48">
        <f t="shared" si="16"/>
        <v>5250</v>
      </c>
      <c r="J261" s="49">
        <f t="shared" si="14"/>
        <v>57750</v>
      </c>
    </row>
    <row r="262" spans="1:12" ht="19" customHeight="1">
      <c r="A262" s="62" t="s">
        <v>623</v>
      </c>
      <c r="C262" s="47" t="s">
        <v>217</v>
      </c>
      <c r="D262" s="47" t="s">
        <v>150</v>
      </c>
      <c r="E262" s="47" t="s">
        <v>590</v>
      </c>
      <c r="F262" s="48">
        <v>5</v>
      </c>
      <c r="G262" s="48">
        <f>VLOOKUP(D262,단가!B:D,3,0)</f>
        <v>10500</v>
      </c>
      <c r="H262" s="48">
        <f t="shared" si="15"/>
        <v>52500</v>
      </c>
      <c r="I262" s="48">
        <f t="shared" si="16"/>
        <v>5250</v>
      </c>
      <c r="J262" s="49">
        <f t="shared" si="14"/>
        <v>57750</v>
      </c>
    </row>
    <row r="263" spans="1:12" ht="19" customHeight="1">
      <c r="A263" s="62" t="s">
        <v>227</v>
      </c>
      <c r="C263" s="47" t="s">
        <v>316</v>
      </c>
      <c r="D263" s="47" t="s">
        <v>405</v>
      </c>
      <c r="F263" s="48">
        <v>1</v>
      </c>
      <c r="G263" s="48">
        <f>VLOOKUP(D263,단가!B:D,3,0)</f>
        <v>30000</v>
      </c>
      <c r="H263" s="48">
        <f t="shared" ref="H263:H272" si="17">F263*G263</f>
        <v>30000</v>
      </c>
      <c r="I263" s="48">
        <f t="shared" ref="I263:I272" si="18">H263*0.1</f>
        <v>3000</v>
      </c>
      <c r="J263" s="49">
        <f t="shared" ref="J263:J272" si="19">H263+I263</f>
        <v>33000</v>
      </c>
      <c r="L263" s="56"/>
    </row>
    <row r="264" spans="1:12" ht="19" customHeight="1">
      <c r="A264" s="62" t="s">
        <v>227</v>
      </c>
      <c r="C264" s="47" t="s">
        <v>394</v>
      </c>
      <c r="D264" s="47" t="s">
        <v>405</v>
      </c>
      <c r="F264" s="48">
        <v>1</v>
      </c>
      <c r="G264" s="48">
        <f>VLOOKUP(D264,단가!B:D,3,0)</f>
        <v>30000</v>
      </c>
      <c r="H264" s="48">
        <f t="shared" si="17"/>
        <v>30000</v>
      </c>
      <c r="I264" s="48">
        <f t="shared" si="18"/>
        <v>3000</v>
      </c>
      <c r="J264" s="49">
        <f t="shared" si="19"/>
        <v>33000</v>
      </c>
    </row>
    <row r="265" spans="1:12" ht="19" customHeight="1">
      <c r="A265" s="62" t="s">
        <v>227</v>
      </c>
      <c r="C265" s="47" t="s">
        <v>434</v>
      </c>
      <c r="D265" s="47" t="s">
        <v>405</v>
      </c>
      <c r="F265" s="48">
        <v>1</v>
      </c>
      <c r="G265" s="48">
        <f>VLOOKUP(D265,단가!B:D,3,0)</f>
        <v>30000</v>
      </c>
      <c r="H265" s="48">
        <f t="shared" si="17"/>
        <v>30000</v>
      </c>
      <c r="I265" s="48">
        <f t="shared" si="18"/>
        <v>3000</v>
      </c>
      <c r="J265" s="49">
        <f t="shared" si="19"/>
        <v>33000</v>
      </c>
    </row>
    <row r="266" spans="1:12" ht="19" customHeight="1">
      <c r="A266" s="62" t="s">
        <v>227</v>
      </c>
      <c r="C266" s="47" t="s">
        <v>467</v>
      </c>
      <c r="D266" s="47" t="s">
        <v>405</v>
      </c>
      <c r="F266" s="48">
        <v>1</v>
      </c>
      <c r="G266" s="48">
        <f>VLOOKUP(D266,단가!B:D,3,0)</f>
        <v>30000</v>
      </c>
      <c r="H266" s="48">
        <f t="shared" si="17"/>
        <v>30000</v>
      </c>
      <c r="I266" s="48">
        <f t="shared" si="18"/>
        <v>3000</v>
      </c>
      <c r="J266" s="49">
        <f t="shared" si="19"/>
        <v>33000</v>
      </c>
    </row>
    <row r="267" spans="1:12" ht="19" customHeight="1">
      <c r="A267" s="62" t="s">
        <v>227</v>
      </c>
      <c r="C267" s="47" t="s">
        <v>480</v>
      </c>
      <c r="D267" s="47" t="s">
        <v>405</v>
      </c>
      <c r="F267" s="48">
        <v>1</v>
      </c>
      <c r="G267" s="48">
        <f>VLOOKUP(D267,단가!B:D,3,0)</f>
        <v>30000</v>
      </c>
      <c r="H267" s="48">
        <f t="shared" si="17"/>
        <v>30000</v>
      </c>
      <c r="I267" s="48">
        <f t="shared" si="18"/>
        <v>3000</v>
      </c>
      <c r="J267" s="49">
        <f t="shared" si="19"/>
        <v>33000</v>
      </c>
    </row>
    <row r="268" spans="1:12" ht="19" customHeight="1">
      <c r="A268" s="62" t="s">
        <v>227</v>
      </c>
      <c r="C268" s="47" t="s">
        <v>483</v>
      </c>
      <c r="D268" s="47" t="s">
        <v>405</v>
      </c>
      <c r="F268" s="48">
        <v>1</v>
      </c>
      <c r="G268" s="48">
        <f>VLOOKUP(D268,단가!B:D,3,0)</f>
        <v>30000</v>
      </c>
      <c r="H268" s="48">
        <f t="shared" si="17"/>
        <v>30000</v>
      </c>
      <c r="I268" s="48">
        <f t="shared" si="18"/>
        <v>3000</v>
      </c>
      <c r="J268" s="49">
        <f t="shared" si="19"/>
        <v>33000</v>
      </c>
    </row>
    <row r="269" spans="1:12" ht="19" customHeight="1">
      <c r="A269" s="62" t="s">
        <v>227</v>
      </c>
      <c r="C269" s="47" t="s">
        <v>486</v>
      </c>
      <c r="D269" s="47" t="s">
        <v>405</v>
      </c>
      <c r="F269" s="48">
        <v>1</v>
      </c>
      <c r="G269" s="48">
        <f>VLOOKUP(D269,단가!B:D,3,0)</f>
        <v>30000</v>
      </c>
      <c r="H269" s="48">
        <f t="shared" si="17"/>
        <v>30000</v>
      </c>
      <c r="I269" s="48">
        <f t="shared" si="18"/>
        <v>3000</v>
      </c>
      <c r="J269" s="49">
        <f t="shared" si="19"/>
        <v>33000</v>
      </c>
    </row>
    <row r="270" spans="1:12" ht="19" customHeight="1">
      <c r="A270" s="62" t="s">
        <v>227</v>
      </c>
      <c r="C270" s="47" t="s">
        <v>501</v>
      </c>
      <c r="D270" s="47" t="s">
        <v>405</v>
      </c>
      <c r="F270" s="48">
        <v>1</v>
      </c>
      <c r="G270" s="48">
        <f>VLOOKUP(D270,단가!B:D,3,0)</f>
        <v>30000</v>
      </c>
      <c r="H270" s="48">
        <f t="shared" si="17"/>
        <v>30000</v>
      </c>
      <c r="I270" s="48">
        <f t="shared" si="18"/>
        <v>3000</v>
      </c>
      <c r="J270" s="49">
        <f t="shared" si="19"/>
        <v>33000</v>
      </c>
    </row>
    <row r="271" spans="1:12" ht="19" customHeight="1">
      <c r="A271" s="62" t="s">
        <v>227</v>
      </c>
      <c r="C271" s="47" t="s">
        <v>505</v>
      </c>
      <c r="D271" s="47" t="s">
        <v>405</v>
      </c>
      <c r="F271" s="48">
        <v>1</v>
      </c>
      <c r="G271" s="48">
        <f>VLOOKUP(D271,단가!B:D,3,0)</f>
        <v>30000</v>
      </c>
      <c r="H271" s="48">
        <f t="shared" si="17"/>
        <v>30000</v>
      </c>
      <c r="I271" s="48">
        <f t="shared" si="18"/>
        <v>3000</v>
      </c>
      <c r="J271" s="49">
        <f t="shared" si="19"/>
        <v>33000</v>
      </c>
    </row>
    <row r="272" spans="1:12" ht="19" customHeight="1">
      <c r="A272" s="62" t="s">
        <v>227</v>
      </c>
      <c r="C272" s="47" t="s">
        <v>508</v>
      </c>
      <c r="D272" s="47" t="s">
        <v>405</v>
      </c>
      <c r="F272" s="48">
        <v>1</v>
      </c>
      <c r="G272" s="48">
        <f>VLOOKUP(D272,단가!B:D,3,0)</f>
        <v>30000</v>
      </c>
      <c r="H272" s="48">
        <f t="shared" si="17"/>
        <v>30000</v>
      </c>
      <c r="I272" s="48">
        <f t="shared" si="18"/>
        <v>3000</v>
      </c>
      <c r="J272" s="49">
        <f t="shared" si="19"/>
        <v>33000</v>
      </c>
    </row>
    <row r="273" spans="1:11" ht="19" customHeight="1">
      <c r="A273" s="62" t="s">
        <v>624</v>
      </c>
      <c r="C273" s="47" t="s">
        <v>567</v>
      </c>
      <c r="D273" s="47" t="s">
        <v>61</v>
      </c>
      <c r="E273" s="47" t="s">
        <v>57</v>
      </c>
      <c r="F273" s="48">
        <v>5</v>
      </c>
      <c r="G273" s="48">
        <f>VLOOKUP(D273,단가!B:D,3,0)</f>
        <v>20000</v>
      </c>
      <c r="H273" s="48">
        <f t="shared" si="15"/>
        <v>100000</v>
      </c>
      <c r="I273" s="48">
        <f t="shared" si="16"/>
        <v>10000</v>
      </c>
      <c r="J273" s="49">
        <f t="shared" si="14"/>
        <v>110000</v>
      </c>
    </row>
    <row r="274" spans="1:11" ht="19" customHeight="1">
      <c r="A274" s="62" t="s">
        <v>625</v>
      </c>
      <c r="C274" s="47" t="s">
        <v>217</v>
      </c>
      <c r="D274" s="47" t="s">
        <v>61</v>
      </c>
      <c r="E274" s="47" t="s">
        <v>57</v>
      </c>
      <c r="F274" s="48">
        <v>15</v>
      </c>
      <c r="G274" s="48">
        <f>VLOOKUP(D274,단가!B:D,3,0)</f>
        <v>20000</v>
      </c>
      <c r="H274" s="48">
        <f t="shared" si="15"/>
        <v>300000</v>
      </c>
      <c r="I274" s="48">
        <f t="shared" si="16"/>
        <v>30000</v>
      </c>
      <c r="J274" s="49">
        <f t="shared" si="14"/>
        <v>330000</v>
      </c>
    </row>
    <row r="275" spans="1:11" ht="19" customHeight="1">
      <c r="A275" s="62" t="s">
        <v>625</v>
      </c>
      <c r="C275" s="47" t="s">
        <v>217</v>
      </c>
      <c r="D275" s="47" t="s">
        <v>153</v>
      </c>
      <c r="E275" s="47" t="s">
        <v>590</v>
      </c>
      <c r="F275" s="48">
        <v>5</v>
      </c>
      <c r="G275" s="48">
        <f>VLOOKUP(D275,단가!B:D,3,0)</f>
        <v>10500</v>
      </c>
      <c r="H275" s="48">
        <f t="shared" si="15"/>
        <v>52500</v>
      </c>
      <c r="I275" s="48">
        <f t="shared" si="16"/>
        <v>5250</v>
      </c>
      <c r="J275" s="49">
        <f t="shared" si="14"/>
        <v>57750</v>
      </c>
    </row>
    <row r="276" spans="1:11" ht="19" customHeight="1">
      <c r="A276" s="62" t="s">
        <v>625</v>
      </c>
      <c r="C276" s="47" t="s">
        <v>217</v>
      </c>
      <c r="D276" s="47" t="s">
        <v>152</v>
      </c>
      <c r="E276" s="47" t="s">
        <v>590</v>
      </c>
      <c r="F276" s="48">
        <v>5</v>
      </c>
      <c r="G276" s="48">
        <f>VLOOKUP(D276,단가!B:D,3,0)</f>
        <v>10500</v>
      </c>
      <c r="H276" s="48">
        <f t="shared" si="15"/>
        <v>52500</v>
      </c>
      <c r="I276" s="48">
        <f t="shared" si="16"/>
        <v>5250</v>
      </c>
      <c r="J276" s="49">
        <f t="shared" si="14"/>
        <v>57750</v>
      </c>
    </row>
    <row r="277" spans="1:11" ht="19" customHeight="1">
      <c r="A277" s="62" t="s">
        <v>625</v>
      </c>
      <c r="C277" s="47" t="s">
        <v>217</v>
      </c>
      <c r="D277" s="47" t="s">
        <v>148</v>
      </c>
      <c r="E277" s="47" t="s">
        <v>590</v>
      </c>
      <c r="F277" s="48">
        <v>5</v>
      </c>
      <c r="G277" s="48">
        <f>VLOOKUP(D277,단가!B:D,3,0)</f>
        <v>10500</v>
      </c>
      <c r="H277" s="48">
        <f t="shared" si="15"/>
        <v>52500</v>
      </c>
      <c r="I277" s="48">
        <f t="shared" si="16"/>
        <v>5250</v>
      </c>
      <c r="J277" s="49">
        <f t="shared" si="14"/>
        <v>57750</v>
      </c>
    </row>
    <row r="278" spans="1:11" ht="19" customHeight="1">
      <c r="A278" s="62" t="s">
        <v>625</v>
      </c>
      <c r="C278" s="47" t="s">
        <v>217</v>
      </c>
      <c r="D278" s="47" t="s">
        <v>146</v>
      </c>
      <c r="E278" s="47" t="s">
        <v>590</v>
      </c>
      <c r="F278" s="48">
        <v>5</v>
      </c>
      <c r="G278" s="48">
        <f>VLOOKUP(D278,단가!B:D,3,0)</f>
        <v>10500</v>
      </c>
      <c r="H278" s="48">
        <f t="shared" si="15"/>
        <v>52500</v>
      </c>
      <c r="I278" s="48">
        <f t="shared" si="16"/>
        <v>5250</v>
      </c>
      <c r="J278" s="49">
        <f t="shared" si="14"/>
        <v>57750</v>
      </c>
    </row>
    <row r="279" spans="1:11" ht="19" customHeight="1">
      <c r="A279" s="62" t="s">
        <v>625</v>
      </c>
      <c r="C279" s="47" t="s">
        <v>217</v>
      </c>
      <c r="D279" s="47" t="s">
        <v>147</v>
      </c>
      <c r="E279" s="47" t="s">
        <v>590</v>
      </c>
      <c r="F279" s="48">
        <v>5</v>
      </c>
      <c r="G279" s="48">
        <f>VLOOKUP(D279,단가!B:D,3,0)</f>
        <v>10500</v>
      </c>
      <c r="H279" s="48">
        <f t="shared" si="15"/>
        <v>52500</v>
      </c>
      <c r="I279" s="48">
        <f t="shared" si="16"/>
        <v>5250</v>
      </c>
      <c r="J279" s="49">
        <f t="shared" si="14"/>
        <v>57750</v>
      </c>
    </row>
    <row r="280" spans="1:11" ht="19" customHeight="1">
      <c r="A280" s="62" t="s">
        <v>626</v>
      </c>
      <c r="C280" s="47" t="s">
        <v>375</v>
      </c>
      <c r="D280" s="47" t="s">
        <v>405</v>
      </c>
      <c r="F280" s="48">
        <v>1</v>
      </c>
      <c r="G280" s="48">
        <f>VLOOKUP(D280,단가!B:D,3,0)</f>
        <v>30000</v>
      </c>
      <c r="H280" s="48">
        <f t="shared" si="15"/>
        <v>30000</v>
      </c>
      <c r="I280" s="48">
        <f t="shared" si="16"/>
        <v>3000</v>
      </c>
      <c r="J280" s="49">
        <f t="shared" si="14"/>
        <v>33000</v>
      </c>
      <c r="K280" s="49"/>
    </row>
    <row r="281" spans="1:11" ht="19" customHeight="1">
      <c r="A281" s="62" t="s">
        <v>628</v>
      </c>
      <c r="C281" s="47" t="s">
        <v>508</v>
      </c>
      <c r="D281" s="47" t="s">
        <v>315</v>
      </c>
      <c r="E281" s="47" t="s">
        <v>57</v>
      </c>
      <c r="F281" s="48">
        <v>2</v>
      </c>
      <c r="G281" s="48">
        <f>VLOOKUP(D281,단가!B:D,3,0)</f>
        <v>32000</v>
      </c>
      <c r="H281" s="48">
        <f t="shared" si="15"/>
        <v>64000</v>
      </c>
      <c r="I281" s="48">
        <f t="shared" si="16"/>
        <v>6400</v>
      </c>
      <c r="J281" s="49">
        <f t="shared" si="14"/>
        <v>70400</v>
      </c>
    </row>
    <row r="282" spans="1:11" ht="19" customHeight="1">
      <c r="A282" s="62" t="s">
        <v>628</v>
      </c>
      <c r="C282" s="47" t="s">
        <v>126</v>
      </c>
      <c r="D282" s="47" t="s">
        <v>627</v>
      </c>
      <c r="E282" s="47" t="s">
        <v>57</v>
      </c>
      <c r="F282" s="48">
        <v>10</v>
      </c>
      <c r="G282" s="48">
        <f>VLOOKUP(D282,단가!B:D,3,0)</f>
        <v>25000</v>
      </c>
      <c r="H282" s="48">
        <f t="shared" si="15"/>
        <v>250000</v>
      </c>
      <c r="I282" s="48">
        <f t="shared" si="16"/>
        <v>25000</v>
      </c>
      <c r="J282" s="49">
        <f t="shared" si="14"/>
        <v>275000</v>
      </c>
    </row>
    <row r="283" spans="1:11" ht="19" customHeight="1">
      <c r="A283" s="62" t="s">
        <v>628</v>
      </c>
      <c r="C283" s="47" t="s">
        <v>126</v>
      </c>
      <c r="D283" s="47" t="s">
        <v>130</v>
      </c>
      <c r="E283" s="47" t="s">
        <v>131</v>
      </c>
      <c r="F283" s="48">
        <v>2</v>
      </c>
      <c r="G283" s="48">
        <f>VLOOKUP(D283,단가!B:D,3,0)</f>
        <v>8000</v>
      </c>
      <c r="H283" s="48">
        <f t="shared" si="15"/>
        <v>16000</v>
      </c>
      <c r="I283" s="48">
        <f t="shared" si="16"/>
        <v>1600</v>
      </c>
      <c r="J283" s="49">
        <f t="shared" si="14"/>
        <v>17600</v>
      </c>
    </row>
    <row r="284" spans="1:11" ht="19" customHeight="1">
      <c r="A284" s="62" t="s">
        <v>629</v>
      </c>
      <c r="C284" s="47" t="s">
        <v>217</v>
      </c>
      <c r="D284" s="47" t="s">
        <v>627</v>
      </c>
      <c r="E284" s="47" t="s">
        <v>57</v>
      </c>
      <c r="F284" s="48">
        <v>6</v>
      </c>
      <c r="G284" s="48">
        <f>VLOOKUP(D284,단가!B:D,3,0)</f>
        <v>25000</v>
      </c>
      <c r="H284" s="48">
        <f t="shared" si="15"/>
        <v>150000</v>
      </c>
      <c r="I284" s="48">
        <f t="shared" si="16"/>
        <v>15000</v>
      </c>
      <c r="J284" s="49">
        <f t="shared" si="14"/>
        <v>165000</v>
      </c>
    </row>
    <row r="285" spans="1:11" ht="19" customHeight="1">
      <c r="A285" s="62" t="s">
        <v>629</v>
      </c>
      <c r="C285" s="47" t="s">
        <v>217</v>
      </c>
      <c r="D285" s="47" t="s">
        <v>153</v>
      </c>
      <c r="E285" s="47" t="s">
        <v>590</v>
      </c>
      <c r="F285" s="48">
        <v>5</v>
      </c>
      <c r="G285" s="48">
        <f>VLOOKUP(D285,단가!B:D,3,0)</f>
        <v>10500</v>
      </c>
      <c r="H285" s="48">
        <f t="shared" si="15"/>
        <v>52500</v>
      </c>
      <c r="I285" s="48">
        <f t="shared" si="16"/>
        <v>5250</v>
      </c>
      <c r="J285" s="49">
        <f t="shared" si="14"/>
        <v>57750</v>
      </c>
      <c r="K285" s="49"/>
    </row>
    <row r="286" spans="1:11" ht="19" customHeight="1">
      <c r="A286" s="62" t="s">
        <v>629</v>
      </c>
      <c r="C286" s="47" t="s">
        <v>217</v>
      </c>
      <c r="D286" s="47" t="s">
        <v>148</v>
      </c>
      <c r="E286" s="47" t="s">
        <v>590</v>
      </c>
      <c r="F286" s="48">
        <v>5</v>
      </c>
      <c r="G286" s="48">
        <f>VLOOKUP(D286,단가!B:D,3,0)</f>
        <v>10500</v>
      </c>
      <c r="H286" s="48">
        <f t="shared" si="15"/>
        <v>52500</v>
      </c>
      <c r="I286" s="48">
        <f t="shared" si="16"/>
        <v>5250</v>
      </c>
      <c r="J286" s="49">
        <f t="shared" si="14"/>
        <v>57750</v>
      </c>
      <c r="K286" s="49"/>
    </row>
    <row r="287" spans="1:11" ht="19" customHeight="1">
      <c r="A287" s="62" t="s">
        <v>629</v>
      </c>
      <c r="C287" s="47" t="s">
        <v>217</v>
      </c>
      <c r="D287" s="47" t="s">
        <v>146</v>
      </c>
      <c r="E287" s="47" t="s">
        <v>590</v>
      </c>
      <c r="F287" s="48">
        <v>5</v>
      </c>
      <c r="G287" s="48">
        <f>VLOOKUP(D287,단가!B:D,3,0)</f>
        <v>10500</v>
      </c>
      <c r="H287" s="48">
        <f t="shared" si="15"/>
        <v>52500</v>
      </c>
      <c r="I287" s="48">
        <f t="shared" si="16"/>
        <v>5250</v>
      </c>
      <c r="J287" s="49">
        <f t="shared" si="14"/>
        <v>57750</v>
      </c>
    </row>
    <row r="288" spans="1:11" ht="19" customHeight="1">
      <c r="A288" s="62" t="s">
        <v>629</v>
      </c>
      <c r="C288" s="47" t="s">
        <v>217</v>
      </c>
      <c r="D288" s="47" t="s">
        <v>147</v>
      </c>
      <c r="E288" s="47" t="s">
        <v>590</v>
      </c>
      <c r="F288" s="48">
        <v>5</v>
      </c>
      <c r="G288" s="48">
        <f>VLOOKUP(D288,단가!B:D,3,0)</f>
        <v>10500</v>
      </c>
      <c r="H288" s="48">
        <f t="shared" si="15"/>
        <v>52500</v>
      </c>
      <c r="I288" s="48">
        <f t="shared" si="16"/>
        <v>5250</v>
      </c>
      <c r="J288" s="49">
        <f t="shared" si="14"/>
        <v>57750</v>
      </c>
    </row>
    <row r="289" spans="1:12" ht="19" customHeight="1">
      <c r="A289" s="62" t="s">
        <v>629</v>
      </c>
      <c r="C289" s="47" t="s">
        <v>217</v>
      </c>
      <c r="D289" s="47" t="s">
        <v>302</v>
      </c>
      <c r="E289" s="47" t="s">
        <v>57</v>
      </c>
      <c r="F289" s="48">
        <v>1</v>
      </c>
      <c r="G289" s="48">
        <f>VLOOKUP(D289,단가!B:D,3,0)</f>
        <v>22000</v>
      </c>
      <c r="H289" s="48">
        <f t="shared" si="15"/>
        <v>22000</v>
      </c>
      <c r="I289" s="48">
        <f t="shared" si="16"/>
        <v>2200</v>
      </c>
      <c r="J289" s="49">
        <f t="shared" si="14"/>
        <v>24200</v>
      </c>
    </row>
    <row r="290" spans="1:12" ht="19" customHeight="1">
      <c r="A290" s="62" t="s">
        <v>630</v>
      </c>
      <c r="C290" s="47" t="s">
        <v>217</v>
      </c>
      <c r="D290" s="47" t="s">
        <v>154</v>
      </c>
      <c r="E290" s="47" t="s">
        <v>590</v>
      </c>
      <c r="F290" s="48">
        <v>10</v>
      </c>
      <c r="G290" s="48">
        <f>VLOOKUP(D290,단가!B:D,3,0)</f>
        <v>10500</v>
      </c>
      <c r="H290" s="48">
        <f t="shared" si="15"/>
        <v>105000</v>
      </c>
      <c r="I290" s="48">
        <f t="shared" si="16"/>
        <v>10500</v>
      </c>
      <c r="J290" s="49">
        <f t="shared" si="14"/>
        <v>115500</v>
      </c>
    </row>
    <row r="291" spans="1:12" ht="19" customHeight="1">
      <c r="A291" s="62" t="s">
        <v>630</v>
      </c>
      <c r="C291" s="47" t="s">
        <v>217</v>
      </c>
      <c r="D291" s="47" t="s">
        <v>151</v>
      </c>
      <c r="E291" s="47" t="s">
        <v>590</v>
      </c>
      <c r="F291" s="48">
        <v>5</v>
      </c>
      <c r="G291" s="48">
        <f>VLOOKUP(D291,단가!B:D,3,0)</f>
        <v>10500</v>
      </c>
      <c r="H291" s="48">
        <f t="shared" si="15"/>
        <v>52500</v>
      </c>
      <c r="I291" s="48">
        <f t="shared" si="16"/>
        <v>5250</v>
      </c>
      <c r="J291" s="49">
        <f t="shared" ref="J291:J354" si="20">H291+I291</f>
        <v>57750</v>
      </c>
    </row>
    <row r="292" spans="1:12" ht="19" customHeight="1">
      <c r="A292" s="62" t="s">
        <v>630</v>
      </c>
      <c r="C292" s="47" t="s">
        <v>217</v>
      </c>
      <c r="D292" s="47" t="s">
        <v>152</v>
      </c>
      <c r="E292" s="47" t="s">
        <v>590</v>
      </c>
      <c r="F292" s="48">
        <v>5</v>
      </c>
      <c r="G292" s="48">
        <f>VLOOKUP(D292,단가!B:D,3,0)</f>
        <v>10500</v>
      </c>
      <c r="H292" s="48">
        <f t="shared" ref="H292:H355" si="21">F292*G292</f>
        <v>52500</v>
      </c>
      <c r="I292" s="48">
        <f t="shared" ref="I292:I355" si="22">H292*0.1</f>
        <v>5250</v>
      </c>
      <c r="J292" s="49">
        <f t="shared" si="20"/>
        <v>57750</v>
      </c>
    </row>
    <row r="293" spans="1:12" ht="19" customHeight="1">
      <c r="A293" s="62" t="s">
        <v>630</v>
      </c>
      <c r="C293" s="47" t="s">
        <v>217</v>
      </c>
      <c r="D293" s="47" t="s">
        <v>150</v>
      </c>
      <c r="E293" s="47" t="s">
        <v>590</v>
      </c>
      <c r="F293" s="48">
        <v>10</v>
      </c>
      <c r="G293" s="48">
        <f>VLOOKUP(D293,단가!B:D,3,0)</f>
        <v>10500</v>
      </c>
      <c r="H293" s="48">
        <f t="shared" si="21"/>
        <v>105000</v>
      </c>
      <c r="I293" s="48">
        <f t="shared" si="22"/>
        <v>10500</v>
      </c>
      <c r="J293" s="49">
        <f t="shared" si="20"/>
        <v>115500</v>
      </c>
    </row>
    <row r="294" spans="1:12" ht="19" customHeight="1">
      <c r="A294" s="62" t="s">
        <v>630</v>
      </c>
      <c r="C294" s="47" t="s">
        <v>217</v>
      </c>
      <c r="D294" s="47" t="s">
        <v>149</v>
      </c>
      <c r="E294" s="47" t="s">
        <v>590</v>
      </c>
      <c r="F294" s="48">
        <v>5</v>
      </c>
      <c r="G294" s="48">
        <f>VLOOKUP(D294,단가!B:D,3,0)</f>
        <v>10500</v>
      </c>
      <c r="H294" s="48">
        <f t="shared" si="21"/>
        <v>52500</v>
      </c>
      <c r="I294" s="48">
        <f t="shared" si="22"/>
        <v>5250</v>
      </c>
      <c r="J294" s="49">
        <f t="shared" si="20"/>
        <v>57750</v>
      </c>
      <c r="K294" s="49"/>
    </row>
    <row r="295" spans="1:12" ht="19" customHeight="1">
      <c r="A295" s="62" t="s">
        <v>630</v>
      </c>
      <c r="C295" s="47" t="s">
        <v>217</v>
      </c>
      <c r="D295" s="47" t="s">
        <v>146</v>
      </c>
      <c r="E295" s="47" t="s">
        <v>590</v>
      </c>
      <c r="F295" s="48">
        <v>5</v>
      </c>
      <c r="G295" s="48">
        <f>VLOOKUP(D295,단가!B:D,3,0)</f>
        <v>10500</v>
      </c>
      <c r="H295" s="48">
        <f t="shared" si="21"/>
        <v>52500</v>
      </c>
      <c r="I295" s="48">
        <f t="shared" si="22"/>
        <v>5250</v>
      </c>
      <c r="J295" s="49">
        <f t="shared" si="20"/>
        <v>57750</v>
      </c>
    </row>
    <row r="296" spans="1:12" ht="19" customHeight="1">
      <c r="A296" s="62" t="s">
        <v>253</v>
      </c>
      <c r="C296" s="47" t="s">
        <v>483</v>
      </c>
      <c r="D296" s="47" t="s">
        <v>315</v>
      </c>
      <c r="E296" s="47" t="s">
        <v>57</v>
      </c>
      <c r="F296" s="48">
        <v>4</v>
      </c>
      <c r="G296" s="48">
        <f>VLOOKUP(D296,단가!B:D,3,0)</f>
        <v>32000</v>
      </c>
      <c r="H296" s="48">
        <f t="shared" si="21"/>
        <v>128000</v>
      </c>
      <c r="I296" s="48">
        <f t="shared" si="22"/>
        <v>12800</v>
      </c>
      <c r="J296" s="49">
        <f t="shared" si="20"/>
        <v>140800</v>
      </c>
    </row>
    <row r="297" spans="1:12" ht="19" customHeight="1">
      <c r="A297" s="62" t="s">
        <v>631</v>
      </c>
      <c r="C297" s="47" t="s">
        <v>556</v>
      </c>
      <c r="D297" s="47" t="s">
        <v>627</v>
      </c>
      <c r="E297" s="47" t="s">
        <v>57</v>
      </c>
      <c r="F297" s="48">
        <v>10</v>
      </c>
      <c r="G297" s="48">
        <f>VLOOKUP(D297,단가!B:D,3,0)</f>
        <v>25000</v>
      </c>
      <c r="H297" s="48">
        <f t="shared" si="21"/>
        <v>250000</v>
      </c>
      <c r="I297" s="48">
        <f t="shared" si="22"/>
        <v>25000</v>
      </c>
      <c r="J297" s="49">
        <f t="shared" si="20"/>
        <v>275000</v>
      </c>
      <c r="K297" s="49"/>
    </row>
    <row r="298" spans="1:12" ht="19" customHeight="1">
      <c r="A298" s="62" t="s">
        <v>631</v>
      </c>
      <c r="C298" s="47" t="s">
        <v>556</v>
      </c>
      <c r="D298" s="47" t="s">
        <v>129</v>
      </c>
      <c r="E298" s="47" t="s">
        <v>131</v>
      </c>
      <c r="F298" s="48">
        <v>2</v>
      </c>
      <c r="G298" s="48">
        <f>VLOOKUP(D298,단가!B:D,3,0)</f>
        <v>6000</v>
      </c>
      <c r="H298" s="48">
        <f t="shared" si="21"/>
        <v>12000</v>
      </c>
      <c r="I298" s="48">
        <f t="shared" si="22"/>
        <v>1200</v>
      </c>
      <c r="J298" s="49">
        <f t="shared" si="20"/>
        <v>13200</v>
      </c>
    </row>
    <row r="299" spans="1:12" ht="19" customHeight="1">
      <c r="A299" s="62" t="s">
        <v>631</v>
      </c>
      <c r="C299" s="47" t="s">
        <v>556</v>
      </c>
      <c r="D299" s="47" t="s">
        <v>130</v>
      </c>
      <c r="E299" s="47" t="s">
        <v>131</v>
      </c>
      <c r="F299" s="48">
        <v>2</v>
      </c>
      <c r="G299" s="48">
        <f>VLOOKUP(D299,단가!B:D,3,0)</f>
        <v>8000</v>
      </c>
      <c r="H299" s="48">
        <f t="shared" si="21"/>
        <v>16000</v>
      </c>
      <c r="I299" s="48">
        <f t="shared" si="22"/>
        <v>1600</v>
      </c>
      <c r="J299" s="49">
        <f t="shared" si="20"/>
        <v>17600</v>
      </c>
      <c r="L299" s="56"/>
    </row>
    <row r="300" spans="1:12" ht="19" customHeight="1">
      <c r="A300" s="62" t="s">
        <v>632</v>
      </c>
      <c r="C300" s="47" t="s">
        <v>183</v>
      </c>
      <c r="D300" s="47" t="s">
        <v>627</v>
      </c>
      <c r="E300" s="47" t="s">
        <v>57</v>
      </c>
      <c r="F300" s="48">
        <v>10</v>
      </c>
      <c r="G300" s="48">
        <f>VLOOKUP(D300,단가!B:D,3,0)</f>
        <v>25000</v>
      </c>
      <c r="H300" s="48">
        <f t="shared" si="21"/>
        <v>250000</v>
      </c>
      <c r="I300" s="48">
        <f t="shared" si="22"/>
        <v>25000</v>
      </c>
      <c r="J300" s="49">
        <f t="shared" si="20"/>
        <v>275000</v>
      </c>
    </row>
    <row r="301" spans="1:12" ht="19" customHeight="1">
      <c r="A301" s="62" t="s">
        <v>632</v>
      </c>
      <c r="C301" s="47" t="s">
        <v>183</v>
      </c>
      <c r="D301" s="47" t="s">
        <v>129</v>
      </c>
      <c r="E301" s="47" t="s">
        <v>131</v>
      </c>
      <c r="F301" s="48">
        <v>2</v>
      </c>
      <c r="G301" s="48">
        <f>VLOOKUP(D301,단가!B:D,3,0)</f>
        <v>6000</v>
      </c>
      <c r="H301" s="48">
        <f t="shared" si="21"/>
        <v>12000</v>
      </c>
      <c r="I301" s="48">
        <f t="shared" si="22"/>
        <v>1200</v>
      </c>
      <c r="J301" s="49">
        <f t="shared" si="20"/>
        <v>13200</v>
      </c>
    </row>
    <row r="302" spans="1:12" ht="19" customHeight="1">
      <c r="A302" s="62" t="s">
        <v>632</v>
      </c>
      <c r="C302" s="47" t="s">
        <v>183</v>
      </c>
      <c r="D302" s="47" t="s">
        <v>130</v>
      </c>
      <c r="E302" s="47" t="s">
        <v>131</v>
      </c>
      <c r="F302" s="48">
        <v>2</v>
      </c>
      <c r="G302" s="48">
        <f>VLOOKUP(D302,단가!B:D,3,0)</f>
        <v>8000</v>
      </c>
      <c r="H302" s="48">
        <f t="shared" si="21"/>
        <v>16000</v>
      </c>
      <c r="I302" s="48">
        <f t="shared" si="22"/>
        <v>1600</v>
      </c>
      <c r="J302" s="49">
        <f t="shared" si="20"/>
        <v>17600</v>
      </c>
    </row>
    <row r="303" spans="1:12" ht="19" customHeight="1">
      <c r="A303" s="62" t="s">
        <v>632</v>
      </c>
      <c r="C303" s="47" t="s">
        <v>217</v>
      </c>
      <c r="D303" s="47" t="s">
        <v>627</v>
      </c>
      <c r="E303" s="47" t="s">
        <v>57</v>
      </c>
      <c r="F303" s="48">
        <v>4</v>
      </c>
      <c r="G303" s="48">
        <f>VLOOKUP(D303,단가!B:D,3,0)</f>
        <v>25000</v>
      </c>
      <c r="H303" s="48">
        <f t="shared" si="21"/>
        <v>100000</v>
      </c>
      <c r="I303" s="48">
        <f t="shared" si="22"/>
        <v>10000</v>
      </c>
      <c r="J303" s="49">
        <f t="shared" si="20"/>
        <v>110000</v>
      </c>
    </row>
    <row r="304" spans="1:12" ht="19" customHeight="1">
      <c r="A304" s="62" t="s">
        <v>632</v>
      </c>
      <c r="C304" s="47" t="s">
        <v>217</v>
      </c>
      <c r="D304" s="47" t="s">
        <v>152</v>
      </c>
      <c r="E304" s="47" t="s">
        <v>590</v>
      </c>
      <c r="F304" s="48">
        <v>5</v>
      </c>
      <c r="G304" s="48">
        <f>VLOOKUP(D304,단가!B:D,3,0)</f>
        <v>10500</v>
      </c>
      <c r="H304" s="48">
        <f t="shared" si="21"/>
        <v>52500</v>
      </c>
      <c r="I304" s="48">
        <f t="shared" si="22"/>
        <v>5250</v>
      </c>
      <c r="J304" s="49">
        <f t="shared" si="20"/>
        <v>57750</v>
      </c>
    </row>
    <row r="305" spans="1:11" ht="19" customHeight="1">
      <c r="A305" s="62" t="s">
        <v>632</v>
      </c>
      <c r="C305" s="47" t="s">
        <v>217</v>
      </c>
      <c r="D305" s="47" t="s">
        <v>150</v>
      </c>
      <c r="E305" s="47" t="s">
        <v>590</v>
      </c>
      <c r="F305" s="48">
        <v>5</v>
      </c>
      <c r="G305" s="48">
        <f>VLOOKUP(D305,단가!B:D,3,0)</f>
        <v>10500</v>
      </c>
      <c r="H305" s="48">
        <f t="shared" si="21"/>
        <v>52500</v>
      </c>
      <c r="I305" s="48">
        <f t="shared" si="22"/>
        <v>5250</v>
      </c>
      <c r="J305" s="49">
        <f t="shared" si="20"/>
        <v>57750</v>
      </c>
    </row>
    <row r="306" spans="1:11" ht="19" customHeight="1">
      <c r="A306" s="62" t="s">
        <v>632</v>
      </c>
      <c r="C306" s="47" t="s">
        <v>217</v>
      </c>
      <c r="D306" s="47" t="s">
        <v>148</v>
      </c>
      <c r="E306" s="47" t="s">
        <v>590</v>
      </c>
      <c r="F306" s="48">
        <v>5</v>
      </c>
      <c r="G306" s="48">
        <f>VLOOKUP(D306,단가!B:D,3,0)</f>
        <v>10500</v>
      </c>
      <c r="H306" s="48">
        <f t="shared" si="21"/>
        <v>52500</v>
      </c>
      <c r="I306" s="48">
        <f t="shared" si="22"/>
        <v>5250</v>
      </c>
      <c r="J306" s="49">
        <f t="shared" si="20"/>
        <v>57750</v>
      </c>
    </row>
    <row r="307" spans="1:11" ht="19" customHeight="1">
      <c r="A307" s="62" t="s">
        <v>632</v>
      </c>
      <c r="C307" s="47" t="s">
        <v>217</v>
      </c>
      <c r="D307" s="47" t="s">
        <v>146</v>
      </c>
      <c r="E307" s="47" t="s">
        <v>590</v>
      </c>
      <c r="F307" s="48">
        <v>5</v>
      </c>
      <c r="G307" s="48">
        <f>VLOOKUP(D307,단가!B:D,3,0)</f>
        <v>10500</v>
      </c>
      <c r="H307" s="48">
        <f t="shared" si="21"/>
        <v>52500</v>
      </c>
      <c r="I307" s="48">
        <f t="shared" si="22"/>
        <v>5250</v>
      </c>
      <c r="J307" s="49">
        <f t="shared" si="20"/>
        <v>57750</v>
      </c>
    </row>
    <row r="308" spans="1:11" ht="19" customHeight="1">
      <c r="A308" s="62" t="s">
        <v>633</v>
      </c>
      <c r="C308" s="47" t="s">
        <v>505</v>
      </c>
      <c r="D308" s="47" t="s">
        <v>315</v>
      </c>
      <c r="E308" s="47" t="s">
        <v>57</v>
      </c>
      <c r="F308" s="48">
        <v>2</v>
      </c>
      <c r="G308" s="48">
        <f>VLOOKUP(D308,단가!B:D,3,0)</f>
        <v>32000</v>
      </c>
      <c r="H308" s="48">
        <f t="shared" si="21"/>
        <v>64000</v>
      </c>
      <c r="I308" s="48">
        <f t="shared" si="22"/>
        <v>6400</v>
      </c>
      <c r="J308" s="49">
        <f t="shared" si="20"/>
        <v>70400</v>
      </c>
      <c r="K308" s="49"/>
    </row>
    <row r="309" spans="1:11" ht="19" customHeight="1">
      <c r="A309" s="62" t="s">
        <v>634</v>
      </c>
      <c r="C309" s="47" t="s">
        <v>127</v>
      </c>
      <c r="D309" s="47" t="s">
        <v>627</v>
      </c>
      <c r="E309" s="47" t="s">
        <v>57</v>
      </c>
      <c r="F309" s="48">
        <v>10</v>
      </c>
      <c r="G309" s="48">
        <f>VLOOKUP(D309,단가!B:D,3,0)</f>
        <v>25000</v>
      </c>
      <c r="H309" s="48">
        <f t="shared" si="21"/>
        <v>250000</v>
      </c>
      <c r="I309" s="48">
        <f t="shared" si="22"/>
        <v>25000</v>
      </c>
      <c r="J309" s="49">
        <f t="shared" si="20"/>
        <v>275000</v>
      </c>
    </row>
    <row r="310" spans="1:11" ht="19" customHeight="1">
      <c r="A310" s="62" t="s">
        <v>634</v>
      </c>
      <c r="C310" s="47" t="s">
        <v>635</v>
      </c>
      <c r="D310" s="47" t="s">
        <v>627</v>
      </c>
      <c r="E310" s="47" t="s">
        <v>57</v>
      </c>
      <c r="F310" s="48">
        <v>5</v>
      </c>
      <c r="G310" s="48">
        <f>VLOOKUP(D310,단가!B:D,3,0)</f>
        <v>25000</v>
      </c>
      <c r="H310" s="48">
        <f t="shared" si="21"/>
        <v>125000</v>
      </c>
      <c r="I310" s="48">
        <f t="shared" si="22"/>
        <v>12500</v>
      </c>
      <c r="J310" s="49">
        <f t="shared" si="20"/>
        <v>137500</v>
      </c>
    </row>
    <row r="311" spans="1:11" ht="19" customHeight="1">
      <c r="A311" s="62" t="s">
        <v>634</v>
      </c>
      <c r="C311" s="47" t="s">
        <v>217</v>
      </c>
      <c r="D311" s="47" t="s">
        <v>627</v>
      </c>
      <c r="E311" s="47" t="s">
        <v>57</v>
      </c>
      <c r="F311" s="48">
        <v>9</v>
      </c>
      <c r="G311" s="48">
        <f>VLOOKUP(D311,단가!B:D,3,0)</f>
        <v>25000</v>
      </c>
      <c r="H311" s="48">
        <f t="shared" si="21"/>
        <v>225000</v>
      </c>
      <c r="I311" s="48">
        <f t="shared" si="22"/>
        <v>22500</v>
      </c>
      <c r="J311" s="49">
        <f t="shared" si="20"/>
        <v>247500</v>
      </c>
    </row>
    <row r="312" spans="1:11" ht="19" customHeight="1">
      <c r="A312" s="62" t="s">
        <v>634</v>
      </c>
      <c r="C312" s="47" t="s">
        <v>217</v>
      </c>
      <c r="D312" s="47" t="s">
        <v>636</v>
      </c>
      <c r="E312" s="47" t="s">
        <v>590</v>
      </c>
      <c r="F312" s="48">
        <v>5</v>
      </c>
      <c r="G312" s="48">
        <f>VLOOKUP(D312,단가!B:D,3,0)</f>
        <v>14000</v>
      </c>
      <c r="H312" s="48">
        <f t="shared" si="21"/>
        <v>70000</v>
      </c>
      <c r="I312" s="48">
        <f t="shared" si="22"/>
        <v>7000</v>
      </c>
      <c r="J312" s="49">
        <f t="shared" si="20"/>
        <v>77000</v>
      </c>
      <c r="K312" s="49"/>
    </row>
    <row r="313" spans="1:11" ht="19" customHeight="1">
      <c r="A313" s="62" t="s">
        <v>638</v>
      </c>
      <c r="C313" s="47" t="s">
        <v>217</v>
      </c>
      <c r="D313" s="47" t="s">
        <v>627</v>
      </c>
      <c r="E313" s="47" t="s">
        <v>57</v>
      </c>
      <c r="F313" s="48">
        <v>8</v>
      </c>
      <c r="G313" s="48">
        <f>VLOOKUP(D313,단가!B:D,3,0)</f>
        <v>25000</v>
      </c>
      <c r="H313" s="48">
        <f t="shared" si="21"/>
        <v>200000</v>
      </c>
      <c r="I313" s="48">
        <f t="shared" si="22"/>
        <v>20000</v>
      </c>
      <c r="J313" s="49">
        <f t="shared" si="20"/>
        <v>220000</v>
      </c>
    </row>
    <row r="314" spans="1:11" ht="19" customHeight="1">
      <c r="A314" s="62" t="s">
        <v>638</v>
      </c>
      <c r="C314" s="47" t="s">
        <v>217</v>
      </c>
      <c r="D314" s="47" t="s">
        <v>154</v>
      </c>
      <c r="E314" s="47" t="s">
        <v>590</v>
      </c>
      <c r="F314" s="48">
        <v>5</v>
      </c>
      <c r="G314" s="48">
        <f>VLOOKUP(D314,단가!B:D,3,0)</f>
        <v>10500</v>
      </c>
      <c r="H314" s="48">
        <f t="shared" si="21"/>
        <v>52500</v>
      </c>
      <c r="I314" s="48">
        <f t="shared" si="22"/>
        <v>5250</v>
      </c>
      <c r="J314" s="49">
        <f t="shared" si="20"/>
        <v>57750</v>
      </c>
    </row>
    <row r="315" spans="1:11" ht="19" customHeight="1">
      <c r="A315" s="62" t="s">
        <v>638</v>
      </c>
      <c r="C315" s="47" t="s">
        <v>217</v>
      </c>
      <c r="D315" s="47" t="s">
        <v>153</v>
      </c>
      <c r="E315" s="47" t="s">
        <v>590</v>
      </c>
      <c r="F315" s="48">
        <v>5</v>
      </c>
      <c r="G315" s="48">
        <f>VLOOKUP(D315,단가!B:D,3,0)</f>
        <v>10500</v>
      </c>
      <c r="H315" s="48">
        <f t="shared" si="21"/>
        <v>52500</v>
      </c>
      <c r="I315" s="48">
        <f t="shared" si="22"/>
        <v>5250</v>
      </c>
      <c r="J315" s="49">
        <f t="shared" si="20"/>
        <v>57750</v>
      </c>
    </row>
    <row r="316" spans="1:11" ht="19" customHeight="1">
      <c r="A316" s="62" t="s">
        <v>638</v>
      </c>
      <c r="C316" s="47" t="s">
        <v>217</v>
      </c>
      <c r="D316" s="47" t="s">
        <v>151</v>
      </c>
      <c r="E316" s="47" t="s">
        <v>590</v>
      </c>
      <c r="F316" s="48">
        <v>5</v>
      </c>
      <c r="G316" s="48">
        <f>VLOOKUP(D316,단가!B:D,3,0)</f>
        <v>10500</v>
      </c>
      <c r="H316" s="48">
        <f t="shared" si="21"/>
        <v>52500</v>
      </c>
      <c r="I316" s="48">
        <f t="shared" si="22"/>
        <v>5250</v>
      </c>
      <c r="J316" s="49">
        <f t="shared" si="20"/>
        <v>57750</v>
      </c>
    </row>
    <row r="317" spans="1:11" ht="19" customHeight="1">
      <c r="A317" s="62" t="s">
        <v>638</v>
      </c>
      <c r="C317" s="47" t="s">
        <v>217</v>
      </c>
      <c r="D317" s="47" t="s">
        <v>152</v>
      </c>
      <c r="E317" s="47" t="s">
        <v>590</v>
      </c>
      <c r="F317" s="48">
        <v>5</v>
      </c>
      <c r="G317" s="48">
        <f>VLOOKUP(D317,단가!B:D,3,0)</f>
        <v>10500</v>
      </c>
      <c r="H317" s="48">
        <f t="shared" si="21"/>
        <v>52500</v>
      </c>
      <c r="I317" s="48">
        <f t="shared" si="22"/>
        <v>5250</v>
      </c>
      <c r="J317" s="49">
        <f t="shared" si="20"/>
        <v>57750</v>
      </c>
    </row>
    <row r="318" spans="1:11" ht="19" customHeight="1">
      <c r="A318" s="62" t="s">
        <v>638</v>
      </c>
      <c r="C318" s="47" t="s">
        <v>217</v>
      </c>
      <c r="D318" s="47" t="s">
        <v>150</v>
      </c>
      <c r="E318" s="47" t="s">
        <v>590</v>
      </c>
      <c r="F318" s="48">
        <v>5</v>
      </c>
      <c r="G318" s="48">
        <f>VLOOKUP(D318,단가!B:D,3,0)</f>
        <v>10500</v>
      </c>
      <c r="H318" s="48">
        <f t="shared" si="21"/>
        <v>52500</v>
      </c>
      <c r="I318" s="48">
        <f t="shared" si="22"/>
        <v>5250</v>
      </c>
      <c r="J318" s="49">
        <f t="shared" si="20"/>
        <v>57750</v>
      </c>
    </row>
    <row r="319" spans="1:11" ht="19" customHeight="1">
      <c r="A319" s="62" t="s">
        <v>638</v>
      </c>
      <c r="C319" s="47" t="s">
        <v>217</v>
      </c>
      <c r="D319" s="47" t="s">
        <v>149</v>
      </c>
      <c r="E319" s="47" t="s">
        <v>590</v>
      </c>
      <c r="F319" s="48">
        <v>5</v>
      </c>
      <c r="G319" s="48">
        <f>VLOOKUP(D319,단가!B:D,3,0)</f>
        <v>10500</v>
      </c>
      <c r="H319" s="48">
        <f t="shared" si="21"/>
        <v>52500</v>
      </c>
      <c r="I319" s="48">
        <f t="shared" si="22"/>
        <v>5250</v>
      </c>
      <c r="J319" s="49">
        <f t="shared" si="20"/>
        <v>57750</v>
      </c>
    </row>
    <row r="320" spans="1:11" ht="19" customHeight="1">
      <c r="A320" s="62" t="s">
        <v>638</v>
      </c>
      <c r="C320" s="47" t="s">
        <v>217</v>
      </c>
      <c r="D320" s="47" t="s">
        <v>148</v>
      </c>
      <c r="E320" s="47" t="s">
        <v>590</v>
      </c>
      <c r="F320" s="48">
        <v>5</v>
      </c>
      <c r="G320" s="48">
        <f>VLOOKUP(D320,단가!B:D,3,0)</f>
        <v>10500</v>
      </c>
      <c r="H320" s="48">
        <f t="shared" si="21"/>
        <v>52500</v>
      </c>
      <c r="I320" s="48">
        <f t="shared" si="22"/>
        <v>5250</v>
      </c>
      <c r="J320" s="49">
        <f t="shared" si="20"/>
        <v>57750</v>
      </c>
    </row>
    <row r="321" spans="1:11" ht="19" customHeight="1">
      <c r="A321" s="62" t="s">
        <v>638</v>
      </c>
      <c r="C321" s="47" t="s">
        <v>217</v>
      </c>
      <c r="D321" s="47" t="s">
        <v>146</v>
      </c>
      <c r="E321" s="47" t="s">
        <v>590</v>
      </c>
      <c r="F321" s="48">
        <v>5</v>
      </c>
      <c r="G321" s="48">
        <f>VLOOKUP(D321,단가!B:D,3,0)</f>
        <v>10500</v>
      </c>
      <c r="H321" s="48">
        <f t="shared" si="21"/>
        <v>52500</v>
      </c>
      <c r="I321" s="48">
        <f t="shared" si="22"/>
        <v>5250</v>
      </c>
      <c r="J321" s="49">
        <f t="shared" si="20"/>
        <v>57750</v>
      </c>
    </row>
    <row r="322" spans="1:11" ht="19" customHeight="1">
      <c r="A322" s="62" t="s">
        <v>638</v>
      </c>
      <c r="C322" s="47" t="s">
        <v>217</v>
      </c>
      <c r="D322" s="47" t="s">
        <v>147</v>
      </c>
      <c r="E322" s="47" t="s">
        <v>590</v>
      </c>
      <c r="F322" s="48">
        <v>5</v>
      </c>
      <c r="G322" s="48">
        <f>VLOOKUP(D322,단가!B:D,3,0)</f>
        <v>10500</v>
      </c>
      <c r="H322" s="48">
        <f t="shared" si="21"/>
        <v>52500</v>
      </c>
      <c r="I322" s="48">
        <f t="shared" si="22"/>
        <v>5250</v>
      </c>
      <c r="J322" s="49">
        <f t="shared" si="20"/>
        <v>57750</v>
      </c>
    </row>
    <row r="323" spans="1:11" ht="19" customHeight="1">
      <c r="A323" s="62" t="s">
        <v>638</v>
      </c>
      <c r="C323" s="47" t="s">
        <v>217</v>
      </c>
      <c r="D323" s="47" t="s">
        <v>146</v>
      </c>
      <c r="E323" s="47" t="s">
        <v>590</v>
      </c>
      <c r="F323" s="48">
        <v>15</v>
      </c>
      <c r="G323" s="48">
        <f>VLOOKUP(D323,단가!B:D,3,0)</f>
        <v>10500</v>
      </c>
      <c r="H323" s="48">
        <f t="shared" si="21"/>
        <v>157500</v>
      </c>
      <c r="I323" s="48">
        <f t="shared" si="22"/>
        <v>15750</v>
      </c>
      <c r="J323" s="49">
        <f t="shared" si="20"/>
        <v>173250</v>
      </c>
    </row>
    <row r="324" spans="1:11" ht="19" customHeight="1">
      <c r="A324" s="62" t="s">
        <v>638</v>
      </c>
      <c r="C324" s="47" t="s">
        <v>217</v>
      </c>
      <c r="D324" s="47" t="s">
        <v>154</v>
      </c>
      <c r="E324" s="47" t="s">
        <v>590</v>
      </c>
      <c r="F324" s="48">
        <v>15</v>
      </c>
      <c r="G324" s="48">
        <f>VLOOKUP(D324,단가!B:D,3,0)</f>
        <v>10500</v>
      </c>
      <c r="H324" s="48">
        <f t="shared" si="21"/>
        <v>157500</v>
      </c>
      <c r="J324" s="49">
        <f t="shared" si="20"/>
        <v>157500</v>
      </c>
      <c r="K324" s="49"/>
    </row>
    <row r="325" spans="1:11" ht="19" customHeight="1">
      <c r="A325" s="62" t="s">
        <v>638</v>
      </c>
      <c r="C325" s="47" t="s">
        <v>217</v>
      </c>
      <c r="D325" s="47" t="s">
        <v>150</v>
      </c>
      <c r="E325" s="47" t="s">
        <v>590</v>
      </c>
      <c r="F325" s="48">
        <v>15</v>
      </c>
      <c r="G325" s="48">
        <f>VLOOKUP(D325,단가!B:D,3,0)</f>
        <v>10500</v>
      </c>
      <c r="H325" s="48">
        <f t="shared" si="21"/>
        <v>157500</v>
      </c>
      <c r="I325" s="48">
        <f t="shared" si="22"/>
        <v>15750</v>
      </c>
      <c r="J325" s="49">
        <f t="shared" si="20"/>
        <v>173250</v>
      </c>
    </row>
    <row r="326" spans="1:11" ht="19" customHeight="1">
      <c r="A326" s="62" t="s">
        <v>639</v>
      </c>
      <c r="C326" s="47" t="s">
        <v>217</v>
      </c>
      <c r="D326" s="47" t="s">
        <v>627</v>
      </c>
      <c r="E326" s="47" t="s">
        <v>57</v>
      </c>
      <c r="F326" s="48">
        <v>3</v>
      </c>
      <c r="G326" s="48">
        <f>VLOOKUP(D326,단가!B:D,3,0)</f>
        <v>25000</v>
      </c>
      <c r="H326" s="48">
        <f t="shared" si="21"/>
        <v>75000</v>
      </c>
      <c r="I326" s="48">
        <f t="shared" si="22"/>
        <v>7500</v>
      </c>
      <c r="J326" s="49">
        <f t="shared" si="20"/>
        <v>82500</v>
      </c>
    </row>
    <row r="327" spans="1:11" ht="19" customHeight="1">
      <c r="A327" s="62" t="s">
        <v>639</v>
      </c>
      <c r="C327" s="47" t="s">
        <v>217</v>
      </c>
      <c r="D327" s="47" t="s">
        <v>152</v>
      </c>
      <c r="E327" s="47" t="s">
        <v>590</v>
      </c>
      <c r="F327" s="48">
        <v>5</v>
      </c>
      <c r="G327" s="48">
        <f>VLOOKUP(D327,단가!B:D,3,0)</f>
        <v>10500</v>
      </c>
      <c r="H327" s="48">
        <f t="shared" si="21"/>
        <v>52500</v>
      </c>
      <c r="I327" s="48">
        <f t="shared" si="22"/>
        <v>5250</v>
      </c>
      <c r="J327" s="49">
        <f t="shared" si="20"/>
        <v>57750</v>
      </c>
    </row>
    <row r="328" spans="1:11" ht="19" customHeight="1">
      <c r="A328" s="62" t="s">
        <v>639</v>
      </c>
      <c r="C328" s="47" t="s">
        <v>217</v>
      </c>
      <c r="D328" s="47" t="s">
        <v>149</v>
      </c>
      <c r="E328" s="47" t="s">
        <v>590</v>
      </c>
      <c r="F328" s="48">
        <v>5</v>
      </c>
      <c r="G328" s="48">
        <f>VLOOKUP(D328,단가!B:D,3,0)</f>
        <v>10500</v>
      </c>
      <c r="H328" s="48">
        <f t="shared" si="21"/>
        <v>52500</v>
      </c>
      <c r="I328" s="48">
        <f t="shared" si="22"/>
        <v>5250</v>
      </c>
      <c r="J328" s="49">
        <f t="shared" si="20"/>
        <v>57750</v>
      </c>
    </row>
    <row r="329" spans="1:11" ht="19" customHeight="1">
      <c r="A329" s="62" t="s">
        <v>639</v>
      </c>
      <c r="C329" s="47" t="s">
        <v>217</v>
      </c>
      <c r="D329" s="47" t="s">
        <v>148</v>
      </c>
      <c r="E329" s="47" t="s">
        <v>590</v>
      </c>
      <c r="F329" s="48">
        <v>5</v>
      </c>
      <c r="G329" s="48">
        <f>VLOOKUP(D329,단가!B:D,3,0)</f>
        <v>10500</v>
      </c>
      <c r="H329" s="48">
        <f t="shared" si="21"/>
        <v>52500</v>
      </c>
      <c r="I329" s="48">
        <f t="shared" si="22"/>
        <v>5250</v>
      </c>
      <c r="J329" s="49">
        <f t="shared" si="20"/>
        <v>57750</v>
      </c>
    </row>
    <row r="330" spans="1:11" ht="19" customHeight="1">
      <c r="A330" s="62" t="s">
        <v>639</v>
      </c>
      <c r="C330" s="47" t="s">
        <v>217</v>
      </c>
      <c r="D330" s="47" t="s">
        <v>146</v>
      </c>
      <c r="E330" s="47" t="s">
        <v>590</v>
      </c>
      <c r="F330" s="48">
        <v>5</v>
      </c>
      <c r="G330" s="48">
        <f>VLOOKUP(D330,단가!B:D,3,0)</f>
        <v>10500</v>
      </c>
      <c r="H330" s="48">
        <f t="shared" si="21"/>
        <v>52500</v>
      </c>
      <c r="I330" s="48">
        <f t="shared" si="22"/>
        <v>5250</v>
      </c>
      <c r="J330" s="49">
        <f t="shared" si="20"/>
        <v>57750</v>
      </c>
    </row>
    <row r="331" spans="1:11" ht="19" customHeight="1">
      <c r="A331" s="62" t="s">
        <v>640</v>
      </c>
      <c r="C331" s="47" t="s">
        <v>217</v>
      </c>
      <c r="D331" s="47" t="s">
        <v>641</v>
      </c>
      <c r="E331" s="47" t="s">
        <v>57</v>
      </c>
      <c r="F331" s="48">
        <v>8</v>
      </c>
      <c r="G331" s="48">
        <f>VLOOKUP(D331,단가!B:D,3,0)</f>
        <v>25000</v>
      </c>
      <c r="H331" s="48">
        <f t="shared" si="21"/>
        <v>200000</v>
      </c>
      <c r="I331" s="48">
        <f t="shared" si="22"/>
        <v>20000</v>
      </c>
      <c r="J331" s="49">
        <f t="shared" si="20"/>
        <v>220000</v>
      </c>
    </row>
    <row r="332" spans="1:11" ht="19" customHeight="1">
      <c r="A332" s="62" t="s">
        <v>640</v>
      </c>
      <c r="C332" s="47" t="s">
        <v>217</v>
      </c>
      <c r="D332" s="47" t="s">
        <v>642</v>
      </c>
      <c r="E332" s="47" t="s">
        <v>57</v>
      </c>
      <c r="F332" s="48">
        <v>2</v>
      </c>
      <c r="G332" s="48">
        <f>VLOOKUP(D332,단가!B:D,3,0)</f>
        <v>22000</v>
      </c>
      <c r="H332" s="48">
        <f t="shared" si="21"/>
        <v>44000</v>
      </c>
      <c r="I332" s="48">
        <f t="shared" si="22"/>
        <v>4400</v>
      </c>
      <c r="J332" s="49">
        <f t="shared" si="20"/>
        <v>48400</v>
      </c>
    </row>
    <row r="333" spans="1:11" ht="19" customHeight="1">
      <c r="A333" s="62" t="s">
        <v>640</v>
      </c>
      <c r="C333" s="47" t="s">
        <v>217</v>
      </c>
      <c r="D333" s="47" t="s">
        <v>151</v>
      </c>
      <c r="E333" s="47" t="s">
        <v>590</v>
      </c>
      <c r="F333" s="48">
        <v>5</v>
      </c>
      <c r="G333" s="48">
        <f>VLOOKUP(D333,단가!B:D,3,0)</f>
        <v>10500</v>
      </c>
      <c r="H333" s="48">
        <f t="shared" si="21"/>
        <v>52500</v>
      </c>
      <c r="I333" s="48">
        <f t="shared" si="22"/>
        <v>5250</v>
      </c>
      <c r="J333" s="49">
        <f t="shared" si="20"/>
        <v>57750</v>
      </c>
    </row>
    <row r="334" spans="1:11" ht="19" customHeight="1">
      <c r="A334" s="62" t="s">
        <v>640</v>
      </c>
      <c r="C334" s="47" t="s">
        <v>217</v>
      </c>
      <c r="D334" s="47" t="s">
        <v>148</v>
      </c>
      <c r="E334" s="47" t="s">
        <v>590</v>
      </c>
      <c r="F334" s="48">
        <v>5</v>
      </c>
      <c r="G334" s="48">
        <f>VLOOKUP(D334,단가!B:D,3,0)</f>
        <v>10500</v>
      </c>
      <c r="H334" s="48">
        <f t="shared" si="21"/>
        <v>52500</v>
      </c>
      <c r="I334" s="48">
        <f t="shared" si="22"/>
        <v>5250</v>
      </c>
      <c r="J334" s="49">
        <f t="shared" si="20"/>
        <v>57750</v>
      </c>
    </row>
    <row r="335" spans="1:11" ht="19" customHeight="1">
      <c r="A335" s="62" t="s">
        <v>640</v>
      </c>
      <c r="C335" s="47" t="s">
        <v>217</v>
      </c>
      <c r="D335" s="47" t="s">
        <v>147</v>
      </c>
      <c r="E335" s="47" t="s">
        <v>590</v>
      </c>
      <c r="F335" s="48">
        <v>5</v>
      </c>
      <c r="G335" s="48">
        <f>VLOOKUP(D335,단가!B:D,3,0)</f>
        <v>10500</v>
      </c>
      <c r="H335" s="48">
        <f t="shared" si="21"/>
        <v>52500</v>
      </c>
      <c r="I335" s="48">
        <f t="shared" si="22"/>
        <v>5250</v>
      </c>
      <c r="J335" s="49">
        <f t="shared" si="20"/>
        <v>57750</v>
      </c>
    </row>
    <row r="336" spans="1:11" ht="19" customHeight="1">
      <c r="A336" s="62" t="s">
        <v>643</v>
      </c>
      <c r="C336" s="47" t="s">
        <v>375</v>
      </c>
      <c r="D336" s="47" t="s">
        <v>405</v>
      </c>
      <c r="F336" s="48">
        <v>1</v>
      </c>
      <c r="G336" s="48">
        <f>VLOOKUP(D336,단가!B:D,3,0)</f>
        <v>30000</v>
      </c>
      <c r="H336" s="48">
        <f t="shared" si="21"/>
        <v>30000</v>
      </c>
      <c r="I336" s="48">
        <f t="shared" si="22"/>
        <v>3000</v>
      </c>
      <c r="J336" s="49">
        <f t="shared" si="20"/>
        <v>33000</v>
      </c>
    </row>
    <row r="337" spans="1:11" ht="19" customHeight="1">
      <c r="A337" s="62" t="s">
        <v>644</v>
      </c>
      <c r="C337" s="47" t="s">
        <v>217</v>
      </c>
      <c r="D337" s="47" t="s">
        <v>627</v>
      </c>
      <c r="E337" s="47" t="s">
        <v>57</v>
      </c>
      <c r="F337" s="48">
        <v>11</v>
      </c>
      <c r="G337" s="48">
        <f>VLOOKUP(D337,단가!B:D,3,0)</f>
        <v>25000</v>
      </c>
      <c r="H337" s="48">
        <f t="shared" si="21"/>
        <v>275000</v>
      </c>
      <c r="I337" s="48">
        <f t="shared" si="22"/>
        <v>27500</v>
      </c>
      <c r="J337" s="49">
        <f t="shared" si="20"/>
        <v>302500</v>
      </c>
    </row>
    <row r="338" spans="1:11" ht="19" customHeight="1">
      <c r="A338" s="62" t="s">
        <v>644</v>
      </c>
      <c r="C338" s="47" t="s">
        <v>217</v>
      </c>
      <c r="D338" s="47" t="s">
        <v>154</v>
      </c>
      <c r="E338" s="47" t="s">
        <v>590</v>
      </c>
      <c r="F338" s="48">
        <v>40</v>
      </c>
      <c r="G338" s="48">
        <f>VLOOKUP(D338,단가!B:D,3,0)</f>
        <v>10500</v>
      </c>
      <c r="H338" s="48">
        <f t="shared" si="21"/>
        <v>420000</v>
      </c>
      <c r="I338" s="48">
        <f t="shared" si="22"/>
        <v>42000</v>
      </c>
      <c r="J338" s="49">
        <f t="shared" si="20"/>
        <v>462000</v>
      </c>
    </row>
    <row r="339" spans="1:11" ht="19" customHeight="1">
      <c r="A339" s="62" t="s">
        <v>644</v>
      </c>
      <c r="C339" s="47" t="s">
        <v>217</v>
      </c>
      <c r="D339" s="47" t="s">
        <v>153</v>
      </c>
      <c r="E339" s="47" t="s">
        <v>590</v>
      </c>
      <c r="F339" s="48">
        <v>5</v>
      </c>
      <c r="G339" s="48">
        <f>VLOOKUP(D339,단가!B:D,3,0)</f>
        <v>10500</v>
      </c>
      <c r="H339" s="48">
        <f t="shared" si="21"/>
        <v>52500</v>
      </c>
      <c r="I339" s="48">
        <f t="shared" si="22"/>
        <v>5250</v>
      </c>
      <c r="J339" s="49">
        <f t="shared" si="20"/>
        <v>57750</v>
      </c>
    </row>
    <row r="340" spans="1:11" ht="19" customHeight="1">
      <c r="A340" s="62" t="s">
        <v>644</v>
      </c>
      <c r="C340" s="47" t="s">
        <v>217</v>
      </c>
      <c r="D340" s="47" t="s">
        <v>151</v>
      </c>
      <c r="E340" s="47" t="s">
        <v>590</v>
      </c>
      <c r="F340" s="48">
        <v>5</v>
      </c>
      <c r="G340" s="48">
        <f>VLOOKUP(D340,단가!B:D,3,0)</f>
        <v>10500</v>
      </c>
      <c r="H340" s="48">
        <f t="shared" si="21"/>
        <v>52500</v>
      </c>
      <c r="I340" s="48">
        <f t="shared" si="22"/>
        <v>5250</v>
      </c>
      <c r="J340" s="49">
        <f t="shared" si="20"/>
        <v>57750</v>
      </c>
    </row>
    <row r="341" spans="1:11" ht="19" customHeight="1">
      <c r="A341" s="62" t="s">
        <v>644</v>
      </c>
      <c r="C341" s="47" t="s">
        <v>217</v>
      </c>
      <c r="D341" s="47" t="s">
        <v>152</v>
      </c>
      <c r="E341" s="47" t="s">
        <v>590</v>
      </c>
      <c r="F341" s="48">
        <v>5</v>
      </c>
      <c r="G341" s="48">
        <f>VLOOKUP(D341,단가!B:D,3,0)</f>
        <v>10500</v>
      </c>
      <c r="H341" s="48">
        <f t="shared" si="21"/>
        <v>52500</v>
      </c>
      <c r="I341" s="48">
        <f t="shared" si="22"/>
        <v>5250</v>
      </c>
      <c r="J341" s="49">
        <f t="shared" si="20"/>
        <v>57750</v>
      </c>
      <c r="K341" s="49"/>
    </row>
    <row r="342" spans="1:11" ht="19" customHeight="1">
      <c r="A342" s="62" t="s">
        <v>644</v>
      </c>
      <c r="C342" s="47" t="s">
        <v>217</v>
      </c>
      <c r="D342" s="47" t="s">
        <v>150</v>
      </c>
      <c r="E342" s="47" t="s">
        <v>590</v>
      </c>
      <c r="F342" s="48">
        <v>5</v>
      </c>
      <c r="G342" s="48">
        <f>VLOOKUP(D342,단가!B:D,3,0)</f>
        <v>10500</v>
      </c>
      <c r="H342" s="48">
        <f t="shared" si="21"/>
        <v>52500</v>
      </c>
      <c r="I342" s="48">
        <f t="shared" si="22"/>
        <v>5250</v>
      </c>
      <c r="J342" s="49">
        <f t="shared" si="20"/>
        <v>57750</v>
      </c>
    </row>
    <row r="343" spans="1:11" ht="19" customHeight="1">
      <c r="A343" s="62" t="s">
        <v>644</v>
      </c>
      <c r="C343" s="47" t="s">
        <v>217</v>
      </c>
      <c r="D343" s="47" t="s">
        <v>149</v>
      </c>
      <c r="E343" s="47" t="s">
        <v>590</v>
      </c>
      <c r="F343" s="48">
        <v>5</v>
      </c>
      <c r="G343" s="48">
        <f>VLOOKUP(D343,단가!B:D,3,0)</f>
        <v>10500</v>
      </c>
      <c r="H343" s="48">
        <f t="shared" si="21"/>
        <v>52500</v>
      </c>
      <c r="I343" s="48">
        <f t="shared" si="22"/>
        <v>5250</v>
      </c>
      <c r="J343" s="49">
        <f t="shared" si="20"/>
        <v>57750</v>
      </c>
    </row>
    <row r="344" spans="1:11" ht="19" customHeight="1">
      <c r="A344" s="62" t="s">
        <v>644</v>
      </c>
      <c r="C344" s="47" t="s">
        <v>217</v>
      </c>
      <c r="D344" s="47" t="s">
        <v>148</v>
      </c>
      <c r="E344" s="47" t="s">
        <v>590</v>
      </c>
      <c r="F344" s="48">
        <v>5</v>
      </c>
      <c r="G344" s="48">
        <f>VLOOKUP(D344,단가!B:D,3,0)</f>
        <v>10500</v>
      </c>
      <c r="H344" s="48">
        <f t="shared" si="21"/>
        <v>52500</v>
      </c>
      <c r="I344" s="48">
        <f t="shared" si="22"/>
        <v>5250</v>
      </c>
      <c r="J344" s="49">
        <f t="shared" si="20"/>
        <v>57750</v>
      </c>
    </row>
    <row r="345" spans="1:11" ht="19" customHeight="1">
      <c r="A345" s="62" t="s">
        <v>644</v>
      </c>
      <c r="C345" s="47" t="s">
        <v>217</v>
      </c>
      <c r="D345" s="47" t="s">
        <v>146</v>
      </c>
      <c r="E345" s="47" t="s">
        <v>590</v>
      </c>
      <c r="F345" s="48">
        <v>5</v>
      </c>
      <c r="G345" s="48">
        <f>VLOOKUP(D345,단가!B:D,3,0)</f>
        <v>10500</v>
      </c>
      <c r="H345" s="48">
        <f t="shared" si="21"/>
        <v>52500</v>
      </c>
      <c r="I345" s="48">
        <f t="shared" si="22"/>
        <v>5250</v>
      </c>
      <c r="J345" s="49">
        <f t="shared" si="20"/>
        <v>57750</v>
      </c>
    </row>
    <row r="346" spans="1:11" ht="19" customHeight="1">
      <c r="A346" s="62" t="s">
        <v>644</v>
      </c>
      <c r="C346" s="47" t="s">
        <v>217</v>
      </c>
      <c r="D346" s="47" t="s">
        <v>147</v>
      </c>
      <c r="E346" s="47" t="s">
        <v>590</v>
      </c>
      <c r="F346" s="48">
        <v>5</v>
      </c>
      <c r="G346" s="48">
        <f>VLOOKUP(D346,단가!B:D,3,0)</f>
        <v>10500</v>
      </c>
      <c r="H346" s="48">
        <f t="shared" si="21"/>
        <v>52500</v>
      </c>
      <c r="I346" s="48">
        <f t="shared" si="22"/>
        <v>5250</v>
      </c>
      <c r="J346" s="49">
        <f t="shared" si="20"/>
        <v>57750</v>
      </c>
    </row>
    <row r="347" spans="1:11" ht="19" customHeight="1">
      <c r="A347" s="62" t="s">
        <v>645</v>
      </c>
      <c r="C347" s="47" t="s">
        <v>567</v>
      </c>
      <c r="D347" s="47" t="s">
        <v>627</v>
      </c>
      <c r="E347" s="47" t="s">
        <v>57</v>
      </c>
      <c r="F347" s="48">
        <v>5</v>
      </c>
      <c r="G347" s="48">
        <f>VLOOKUP(D347,단가!B:D,3,0)</f>
        <v>25000</v>
      </c>
      <c r="H347" s="48">
        <f t="shared" si="21"/>
        <v>125000</v>
      </c>
      <c r="J347" s="49">
        <f t="shared" si="20"/>
        <v>125000</v>
      </c>
    </row>
    <row r="348" spans="1:11" ht="19" customHeight="1">
      <c r="A348" s="62" t="s">
        <v>645</v>
      </c>
      <c r="C348" s="47" t="s">
        <v>126</v>
      </c>
      <c r="D348" s="47" t="s">
        <v>627</v>
      </c>
      <c r="E348" s="47" t="s">
        <v>57</v>
      </c>
      <c r="F348" s="48">
        <v>10</v>
      </c>
      <c r="G348" s="48">
        <f>VLOOKUP(D348,단가!B:D,3,0)</f>
        <v>25000</v>
      </c>
      <c r="H348" s="48">
        <f t="shared" si="21"/>
        <v>250000</v>
      </c>
      <c r="I348" s="48">
        <f t="shared" si="22"/>
        <v>25000</v>
      </c>
      <c r="J348" s="49">
        <f t="shared" si="20"/>
        <v>275000</v>
      </c>
    </row>
    <row r="349" spans="1:11" ht="19" customHeight="1">
      <c r="A349" s="62" t="s">
        <v>645</v>
      </c>
      <c r="C349" s="47" t="s">
        <v>126</v>
      </c>
      <c r="D349" s="47" t="s">
        <v>647</v>
      </c>
      <c r="E349" s="47" t="s">
        <v>131</v>
      </c>
      <c r="F349" s="48">
        <v>2</v>
      </c>
      <c r="G349" s="48">
        <f>VLOOKUP(D349,단가!B:D,3,0)</f>
        <v>14000</v>
      </c>
      <c r="H349" s="48">
        <f t="shared" si="21"/>
        <v>28000</v>
      </c>
      <c r="I349" s="48">
        <f t="shared" si="22"/>
        <v>2800</v>
      </c>
      <c r="J349" s="49">
        <f t="shared" si="20"/>
        <v>30800</v>
      </c>
    </row>
    <row r="350" spans="1:11" ht="19" customHeight="1">
      <c r="A350" s="62" t="s">
        <v>650</v>
      </c>
      <c r="C350" s="47" t="s">
        <v>217</v>
      </c>
      <c r="D350" s="47" t="s">
        <v>627</v>
      </c>
      <c r="E350" s="47" t="s">
        <v>57</v>
      </c>
      <c r="F350" s="48">
        <v>7</v>
      </c>
      <c r="G350" s="48">
        <f>VLOOKUP(D350,단가!B:D,3,0)</f>
        <v>25000</v>
      </c>
      <c r="H350" s="48">
        <f t="shared" si="21"/>
        <v>175000</v>
      </c>
      <c r="I350" s="48">
        <f t="shared" si="22"/>
        <v>17500</v>
      </c>
      <c r="J350" s="49">
        <f t="shared" si="20"/>
        <v>192500</v>
      </c>
    </row>
    <row r="351" spans="1:11" ht="19" customHeight="1">
      <c r="A351" s="62" t="s">
        <v>650</v>
      </c>
      <c r="C351" s="47" t="s">
        <v>217</v>
      </c>
      <c r="D351" s="47" t="s">
        <v>651</v>
      </c>
      <c r="E351" s="47" t="s">
        <v>57</v>
      </c>
      <c r="F351" s="48">
        <v>1</v>
      </c>
      <c r="G351" s="48">
        <f>VLOOKUP(D351,단가!B:D,3,0)</f>
        <v>22000</v>
      </c>
      <c r="H351" s="48">
        <f t="shared" si="21"/>
        <v>22000</v>
      </c>
      <c r="I351" s="48">
        <f t="shared" si="22"/>
        <v>2200</v>
      </c>
      <c r="J351" s="49">
        <f t="shared" si="20"/>
        <v>24200</v>
      </c>
      <c r="K351" s="49"/>
    </row>
    <row r="352" spans="1:11" ht="19" customHeight="1">
      <c r="A352" s="62" t="s">
        <v>650</v>
      </c>
      <c r="C352" s="47" t="s">
        <v>217</v>
      </c>
      <c r="D352" s="47" t="s">
        <v>153</v>
      </c>
      <c r="E352" s="47" t="s">
        <v>590</v>
      </c>
      <c r="F352" s="48">
        <v>5</v>
      </c>
      <c r="G352" s="48">
        <f>VLOOKUP(D352,단가!B:D,3,0)</f>
        <v>10500</v>
      </c>
      <c r="H352" s="48">
        <f t="shared" si="21"/>
        <v>52500</v>
      </c>
      <c r="I352" s="48">
        <f t="shared" si="22"/>
        <v>5250</v>
      </c>
      <c r="J352" s="49">
        <f t="shared" si="20"/>
        <v>57750</v>
      </c>
    </row>
    <row r="353" spans="1:14" ht="19" customHeight="1">
      <c r="A353" s="62" t="s">
        <v>650</v>
      </c>
      <c r="C353" s="47" t="s">
        <v>217</v>
      </c>
      <c r="D353" s="47" t="s">
        <v>152</v>
      </c>
      <c r="E353" s="47" t="s">
        <v>590</v>
      </c>
      <c r="F353" s="48">
        <v>5</v>
      </c>
      <c r="G353" s="48">
        <f>VLOOKUP(D353,단가!B:D,3,0)</f>
        <v>10500</v>
      </c>
      <c r="H353" s="48">
        <f t="shared" si="21"/>
        <v>52500</v>
      </c>
      <c r="I353" s="48">
        <f t="shared" si="22"/>
        <v>5250</v>
      </c>
      <c r="J353" s="49">
        <f t="shared" si="20"/>
        <v>57750</v>
      </c>
    </row>
    <row r="354" spans="1:14" ht="19" customHeight="1">
      <c r="A354" s="62" t="s">
        <v>650</v>
      </c>
      <c r="C354" s="47" t="s">
        <v>217</v>
      </c>
      <c r="D354" s="47" t="s">
        <v>149</v>
      </c>
      <c r="E354" s="47" t="s">
        <v>590</v>
      </c>
      <c r="F354" s="48">
        <v>5</v>
      </c>
      <c r="G354" s="48">
        <f>VLOOKUP(D354,단가!B:D,3,0)</f>
        <v>10500</v>
      </c>
      <c r="H354" s="48">
        <f t="shared" si="21"/>
        <v>52500</v>
      </c>
      <c r="I354" s="48">
        <f t="shared" si="22"/>
        <v>5250</v>
      </c>
      <c r="J354" s="49">
        <f t="shared" si="20"/>
        <v>57750</v>
      </c>
    </row>
    <row r="355" spans="1:14" ht="19" customHeight="1">
      <c r="A355" s="62" t="s">
        <v>650</v>
      </c>
      <c r="C355" s="47" t="s">
        <v>217</v>
      </c>
      <c r="D355" s="47" t="s">
        <v>148</v>
      </c>
      <c r="E355" s="47" t="s">
        <v>590</v>
      </c>
      <c r="F355" s="48">
        <v>10</v>
      </c>
      <c r="G355" s="48">
        <f>VLOOKUP(D355,단가!B:D,3,0)</f>
        <v>10500</v>
      </c>
      <c r="H355" s="48">
        <f t="shared" si="21"/>
        <v>105000</v>
      </c>
      <c r="I355" s="48">
        <f t="shared" si="22"/>
        <v>10500</v>
      </c>
      <c r="J355" s="49">
        <f t="shared" ref="J355:J417" si="23">H355+I355</f>
        <v>115500</v>
      </c>
    </row>
    <row r="356" spans="1:14" ht="19" customHeight="1">
      <c r="A356" s="62" t="s">
        <v>650</v>
      </c>
      <c r="C356" s="47" t="s">
        <v>217</v>
      </c>
      <c r="D356" s="47" t="s">
        <v>146</v>
      </c>
      <c r="E356" s="47" t="s">
        <v>590</v>
      </c>
      <c r="F356" s="48">
        <v>10</v>
      </c>
      <c r="G356" s="48">
        <f>VLOOKUP(D356,단가!B:D,3,0)</f>
        <v>10500</v>
      </c>
      <c r="H356" s="48">
        <f t="shared" ref="H356:H390" si="24">F356*G356</f>
        <v>105000</v>
      </c>
      <c r="I356" s="48">
        <f t="shared" ref="I356:I418" si="25">H356*0.1</f>
        <v>10500</v>
      </c>
      <c r="J356" s="49">
        <f t="shared" si="23"/>
        <v>115500</v>
      </c>
    </row>
    <row r="357" spans="1:14" ht="19" customHeight="1">
      <c r="A357" s="62" t="s">
        <v>652</v>
      </c>
      <c r="C357" s="47" t="s">
        <v>313</v>
      </c>
      <c r="D357" s="47" t="s">
        <v>653</v>
      </c>
      <c r="E357" s="47" t="s">
        <v>57</v>
      </c>
      <c r="F357" s="48">
        <v>10</v>
      </c>
      <c r="G357" s="48">
        <f>VLOOKUP(D357,단가!B:D,3,0)</f>
        <v>22000</v>
      </c>
      <c r="H357" s="48">
        <f t="shared" si="24"/>
        <v>220000</v>
      </c>
      <c r="I357" s="48">
        <f t="shared" si="25"/>
        <v>22000</v>
      </c>
      <c r="J357" s="49">
        <f t="shared" si="23"/>
        <v>242000</v>
      </c>
    </row>
    <row r="358" spans="1:14" ht="19" customHeight="1">
      <c r="A358" s="62" t="s">
        <v>652</v>
      </c>
      <c r="C358" s="47" t="s">
        <v>556</v>
      </c>
      <c r="D358" s="47" t="s">
        <v>627</v>
      </c>
      <c r="E358" s="47" t="s">
        <v>57</v>
      </c>
      <c r="F358" s="48">
        <v>10</v>
      </c>
      <c r="G358" s="48">
        <f>VLOOKUP(D358,단가!B:D,3,0)</f>
        <v>25000</v>
      </c>
      <c r="H358" s="48">
        <f t="shared" si="24"/>
        <v>250000</v>
      </c>
      <c r="I358" s="48">
        <f t="shared" si="25"/>
        <v>25000</v>
      </c>
      <c r="J358" s="49">
        <f t="shared" si="23"/>
        <v>275000</v>
      </c>
    </row>
    <row r="359" spans="1:14" ht="19" customHeight="1">
      <c r="A359" s="62" t="s">
        <v>654</v>
      </c>
      <c r="C359" s="47" t="s">
        <v>217</v>
      </c>
      <c r="D359" s="47" t="s">
        <v>627</v>
      </c>
      <c r="E359" s="47" t="s">
        <v>57</v>
      </c>
      <c r="F359" s="48">
        <v>6</v>
      </c>
      <c r="G359" s="48">
        <f>VLOOKUP(D359,단가!B:D,3,0)</f>
        <v>25000</v>
      </c>
      <c r="H359" s="48">
        <f t="shared" si="24"/>
        <v>150000</v>
      </c>
      <c r="J359" s="49">
        <f t="shared" si="23"/>
        <v>150000</v>
      </c>
    </row>
    <row r="360" spans="1:14" ht="19" customHeight="1">
      <c r="A360" s="62" t="s">
        <v>654</v>
      </c>
      <c r="C360" s="47" t="s">
        <v>217</v>
      </c>
      <c r="D360" s="47" t="s">
        <v>151</v>
      </c>
      <c r="E360" s="47" t="s">
        <v>590</v>
      </c>
      <c r="F360" s="48">
        <v>5</v>
      </c>
      <c r="G360" s="48">
        <f>VLOOKUP(D360,단가!B:D,3,0)</f>
        <v>10500</v>
      </c>
      <c r="H360" s="48">
        <f t="shared" si="24"/>
        <v>52500</v>
      </c>
      <c r="I360" s="48">
        <f t="shared" si="25"/>
        <v>5250</v>
      </c>
      <c r="J360" s="49">
        <f t="shared" si="23"/>
        <v>57750</v>
      </c>
    </row>
    <row r="361" spans="1:14" ht="19" customHeight="1">
      <c r="A361" s="62" t="s">
        <v>654</v>
      </c>
      <c r="C361" s="47" t="s">
        <v>217</v>
      </c>
      <c r="D361" s="47" t="s">
        <v>152</v>
      </c>
      <c r="E361" s="47" t="s">
        <v>590</v>
      </c>
      <c r="F361" s="48">
        <v>5</v>
      </c>
      <c r="G361" s="48">
        <f>VLOOKUP(D361,단가!B:D,3,0)</f>
        <v>10500</v>
      </c>
      <c r="H361" s="48">
        <f t="shared" si="24"/>
        <v>52500</v>
      </c>
      <c r="I361" s="48">
        <f t="shared" si="25"/>
        <v>5250</v>
      </c>
      <c r="J361" s="49">
        <f t="shared" si="23"/>
        <v>57750</v>
      </c>
    </row>
    <row r="362" spans="1:14" ht="19" customHeight="1">
      <c r="A362" s="62" t="s">
        <v>654</v>
      </c>
      <c r="C362" s="47" t="s">
        <v>217</v>
      </c>
      <c r="D362" s="67" t="s">
        <v>150</v>
      </c>
      <c r="E362" s="47" t="s">
        <v>590</v>
      </c>
      <c r="F362" s="48">
        <v>5</v>
      </c>
      <c r="G362" s="48">
        <f>VLOOKUP(D362,단가!B:D,3,0)</f>
        <v>10500</v>
      </c>
      <c r="H362" s="48">
        <f t="shared" si="24"/>
        <v>52500</v>
      </c>
      <c r="I362" s="48">
        <f t="shared" si="25"/>
        <v>5250</v>
      </c>
      <c r="J362" s="49">
        <f t="shared" si="23"/>
        <v>57750</v>
      </c>
      <c r="N362" s="56"/>
    </row>
    <row r="363" spans="1:14" ht="19" customHeight="1">
      <c r="A363" s="62" t="s">
        <v>654</v>
      </c>
      <c r="C363" s="47" t="s">
        <v>217</v>
      </c>
      <c r="D363" s="47" t="s">
        <v>148</v>
      </c>
      <c r="E363" s="47" t="s">
        <v>590</v>
      </c>
      <c r="F363" s="48">
        <v>10</v>
      </c>
      <c r="G363" s="48">
        <f>VLOOKUP(D363,단가!B:D,3,0)</f>
        <v>10500</v>
      </c>
      <c r="H363" s="48">
        <f t="shared" si="24"/>
        <v>105000</v>
      </c>
      <c r="I363" s="48">
        <f t="shared" si="25"/>
        <v>10500</v>
      </c>
      <c r="J363" s="49">
        <f t="shared" si="23"/>
        <v>115500</v>
      </c>
    </row>
    <row r="364" spans="1:14" ht="19" customHeight="1">
      <c r="A364" s="62" t="s">
        <v>654</v>
      </c>
      <c r="C364" s="47" t="s">
        <v>217</v>
      </c>
      <c r="D364" s="47" t="s">
        <v>146</v>
      </c>
      <c r="E364" s="47" t="s">
        <v>590</v>
      </c>
      <c r="F364" s="48">
        <v>5</v>
      </c>
      <c r="G364" s="48">
        <f>VLOOKUP(D364,단가!B:D,3,0)</f>
        <v>10500</v>
      </c>
      <c r="H364" s="48">
        <f t="shared" si="24"/>
        <v>52500</v>
      </c>
      <c r="I364" s="48">
        <f t="shared" si="25"/>
        <v>5250</v>
      </c>
      <c r="J364" s="49">
        <f t="shared" si="23"/>
        <v>57750</v>
      </c>
    </row>
    <row r="365" spans="1:14" ht="19" customHeight="1">
      <c r="A365" s="62" t="s">
        <v>654</v>
      </c>
      <c r="C365" s="47" t="s">
        <v>217</v>
      </c>
      <c r="D365" s="47" t="s">
        <v>147</v>
      </c>
      <c r="E365" s="47" t="s">
        <v>590</v>
      </c>
      <c r="F365" s="48">
        <v>5</v>
      </c>
      <c r="G365" s="48">
        <f>VLOOKUP(D365,단가!B:D,3,0)</f>
        <v>10500</v>
      </c>
      <c r="H365" s="48">
        <f t="shared" si="24"/>
        <v>52500</v>
      </c>
      <c r="I365" s="48">
        <f t="shared" si="25"/>
        <v>5250</v>
      </c>
      <c r="J365" s="49">
        <f t="shared" si="23"/>
        <v>57750</v>
      </c>
    </row>
    <row r="366" spans="1:14" ht="19" customHeight="1">
      <c r="A366" s="62" t="s">
        <v>655</v>
      </c>
      <c r="C366" s="47" t="s">
        <v>123</v>
      </c>
      <c r="D366" s="47" t="s">
        <v>627</v>
      </c>
      <c r="E366" s="47" t="s">
        <v>57</v>
      </c>
      <c r="F366" s="48">
        <v>10</v>
      </c>
      <c r="G366" s="48">
        <f>VLOOKUP(D366,단가!B:D,3,0)</f>
        <v>25000</v>
      </c>
      <c r="H366" s="48">
        <f t="shared" si="24"/>
        <v>250000</v>
      </c>
      <c r="I366" s="48">
        <f t="shared" si="25"/>
        <v>25000</v>
      </c>
      <c r="J366" s="49">
        <f t="shared" si="23"/>
        <v>275000</v>
      </c>
    </row>
    <row r="367" spans="1:14" ht="19" customHeight="1">
      <c r="A367" s="62" t="s">
        <v>655</v>
      </c>
      <c r="C367" s="47" t="s">
        <v>123</v>
      </c>
      <c r="D367" s="47" t="s">
        <v>646</v>
      </c>
      <c r="E367" s="47" t="s">
        <v>131</v>
      </c>
      <c r="F367" s="48">
        <v>2</v>
      </c>
      <c r="G367" s="48">
        <f>VLOOKUP(D367,단가!B:D,3,0)</f>
        <v>10500</v>
      </c>
      <c r="H367" s="48">
        <f t="shared" si="24"/>
        <v>21000</v>
      </c>
      <c r="I367" s="48">
        <f t="shared" si="25"/>
        <v>2100</v>
      </c>
      <c r="J367" s="49">
        <f t="shared" si="23"/>
        <v>23100</v>
      </c>
      <c r="K367" s="49"/>
    </row>
    <row r="368" spans="1:14" ht="19" customHeight="1">
      <c r="A368" s="62" t="s">
        <v>655</v>
      </c>
      <c r="C368" s="47" t="s">
        <v>123</v>
      </c>
      <c r="D368" s="47" t="s">
        <v>647</v>
      </c>
      <c r="E368" s="47" t="s">
        <v>131</v>
      </c>
      <c r="F368" s="48">
        <v>1</v>
      </c>
      <c r="G368" s="48">
        <f>VLOOKUP(D368,단가!B:D,3,0)</f>
        <v>14000</v>
      </c>
      <c r="H368" s="48">
        <f t="shared" si="24"/>
        <v>14000</v>
      </c>
      <c r="I368" s="48">
        <f t="shared" si="25"/>
        <v>1400</v>
      </c>
      <c r="J368" s="49">
        <f t="shared" si="23"/>
        <v>15400</v>
      </c>
    </row>
    <row r="369" spans="1:10" ht="19" customHeight="1">
      <c r="A369" s="62" t="s">
        <v>656</v>
      </c>
      <c r="C369" s="47" t="s">
        <v>467</v>
      </c>
      <c r="D369" s="47" t="s">
        <v>315</v>
      </c>
      <c r="E369" s="47" t="s">
        <v>57</v>
      </c>
      <c r="F369" s="48">
        <v>2</v>
      </c>
      <c r="G369" s="48">
        <f>VLOOKUP(D369,단가!B:D,3,0)</f>
        <v>32000</v>
      </c>
      <c r="H369" s="48">
        <f t="shared" si="24"/>
        <v>64000</v>
      </c>
      <c r="I369" s="48">
        <f t="shared" si="25"/>
        <v>6400</v>
      </c>
      <c r="J369" s="49">
        <f t="shared" si="23"/>
        <v>70400</v>
      </c>
    </row>
    <row r="370" spans="1:10" ht="19" customHeight="1">
      <c r="A370" s="62" t="s">
        <v>657</v>
      </c>
      <c r="C370" s="47" t="s">
        <v>567</v>
      </c>
      <c r="D370" s="47" t="s">
        <v>627</v>
      </c>
      <c r="E370" s="47" t="s">
        <v>57</v>
      </c>
      <c r="F370" s="48">
        <v>5</v>
      </c>
      <c r="G370" s="48">
        <f>VLOOKUP(D370,단가!B:D,3,0)</f>
        <v>25000</v>
      </c>
      <c r="H370" s="48">
        <f t="shared" si="24"/>
        <v>125000</v>
      </c>
      <c r="J370" s="49">
        <f t="shared" si="23"/>
        <v>125000</v>
      </c>
    </row>
    <row r="371" spans="1:10" ht="19" customHeight="1">
      <c r="A371" s="62" t="s">
        <v>286</v>
      </c>
      <c r="C371" s="47" t="s">
        <v>217</v>
      </c>
      <c r="D371" s="47" t="s">
        <v>627</v>
      </c>
      <c r="E371" s="47" t="s">
        <v>57</v>
      </c>
      <c r="F371" s="48">
        <v>9</v>
      </c>
      <c r="G371" s="48">
        <f>VLOOKUP(D371,단가!B:D,3,0)</f>
        <v>25000</v>
      </c>
      <c r="H371" s="48">
        <f t="shared" si="24"/>
        <v>225000</v>
      </c>
      <c r="I371" s="48">
        <f t="shared" si="25"/>
        <v>22500</v>
      </c>
      <c r="J371" s="49">
        <f t="shared" si="23"/>
        <v>247500</v>
      </c>
    </row>
    <row r="372" spans="1:10" ht="19" customHeight="1">
      <c r="A372" s="62" t="s">
        <v>286</v>
      </c>
      <c r="C372" s="47" t="s">
        <v>217</v>
      </c>
      <c r="D372" s="47" t="s">
        <v>154</v>
      </c>
      <c r="E372" s="47" t="s">
        <v>590</v>
      </c>
      <c r="F372" s="48">
        <v>5</v>
      </c>
      <c r="G372" s="48">
        <f>VLOOKUP(D372,단가!B:D,3,0)</f>
        <v>10500</v>
      </c>
      <c r="H372" s="48">
        <f t="shared" si="24"/>
        <v>52500</v>
      </c>
      <c r="I372" s="48">
        <f t="shared" si="25"/>
        <v>5250</v>
      </c>
      <c r="J372" s="49">
        <f t="shared" si="23"/>
        <v>57750</v>
      </c>
    </row>
    <row r="373" spans="1:10" ht="19" customHeight="1">
      <c r="A373" s="62" t="s">
        <v>286</v>
      </c>
      <c r="C373" s="47" t="s">
        <v>217</v>
      </c>
      <c r="D373" s="47" t="s">
        <v>153</v>
      </c>
      <c r="E373" s="47" t="s">
        <v>590</v>
      </c>
      <c r="F373" s="48">
        <v>5</v>
      </c>
      <c r="G373" s="48">
        <f>VLOOKUP(D373,단가!B:D,3,0)</f>
        <v>10500</v>
      </c>
      <c r="H373" s="48">
        <f t="shared" si="24"/>
        <v>52500</v>
      </c>
      <c r="I373" s="48">
        <f t="shared" si="25"/>
        <v>5250</v>
      </c>
      <c r="J373" s="49">
        <f t="shared" si="23"/>
        <v>57750</v>
      </c>
    </row>
    <row r="374" spans="1:10" ht="19" customHeight="1">
      <c r="A374" s="62" t="s">
        <v>286</v>
      </c>
      <c r="C374" s="47" t="s">
        <v>217</v>
      </c>
      <c r="D374" s="47" t="s">
        <v>151</v>
      </c>
      <c r="E374" s="47" t="s">
        <v>590</v>
      </c>
      <c r="F374" s="48">
        <v>5</v>
      </c>
      <c r="G374" s="48">
        <f>VLOOKUP(D374,단가!B:D,3,0)</f>
        <v>10500</v>
      </c>
      <c r="H374" s="48">
        <f t="shared" si="24"/>
        <v>52500</v>
      </c>
      <c r="I374" s="48">
        <f t="shared" si="25"/>
        <v>5250</v>
      </c>
      <c r="J374" s="49">
        <f t="shared" si="23"/>
        <v>57750</v>
      </c>
    </row>
    <row r="375" spans="1:10" ht="19" customHeight="1">
      <c r="A375" s="62" t="s">
        <v>286</v>
      </c>
      <c r="C375" s="47" t="s">
        <v>217</v>
      </c>
      <c r="D375" s="47" t="s">
        <v>152</v>
      </c>
      <c r="E375" s="47" t="s">
        <v>590</v>
      </c>
      <c r="F375" s="48">
        <v>5</v>
      </c>
      <c r="G375" s="48">
        <f>VLOOKUP(D375,단가!B:D,3,0)</f>
        <v>10500</v>
      </c>
      <c r="H375" s="48">
        <f t="shared" si="24"/>
        <v>52500</v>
      </c>
      <c r="I375" s="48">
        <f t="shared" si="25"/>
        <v>5250</v>
      </c>
      <c r="J375" s="49">
        <f t="shared" si="23"/>
        <v>57750</v>
      </c>
    </row>
    <row r="376" spans="1:10" ht="19" customHeight="1">
      <c r="A376" s="62" t="s">
        <v>286</v>
      </c>
      <c r="C376" s="47" t="s">
        <v>217</v>
      </c>
      <c r="D376" s="47" t="s">
        <v>150</v>
      </c>
      <c r="E376" s="47" t="s">
        <v>590</v>
      </c>
      <c r="F376" s="48">
        <v>5</v>
      </c>
      <c r="G376" s="48">
        <f>VLOOKUP(D376,단가!B:D,3,0)</f>
        <v>10500</v>
      </c>
      <c r="H376" s="48">
        <f t="shared" si="24"/>
        <v>52500</v>
      </c>
      <c r="I376" s="48">
        <f t="shared" si="25"/>
        <v>5250</v>
      </c>
      <c r="J376" s="49">
        <f t="shared" si="23"/>
        <v>57750</v>
      </c>
    </row>
    <row r="377" spans="1:10" ht="19" customHeight="1">
      <c r="A377" s="62" t="s">
        <v>286</v>
      </c>
      <c r="C377" s="47" t="s">
        <v>217</v>
      </c>
      <c r="D377" s="47" t="s">
        <v>149</v>
      </c>
      <c r="E377" s="47" t="s">
        <v>590</v>
      </c>
      <c r="F377" s="48">
        <v>5</v>
      </c>
      <c r="G377" s="48">
        <f>VLOOKUP(D377,단가!B:D,3,0)</f>
        <v>10500</v>
      </c>
      <c r="H377" s="48">
        <f t="shared" si="24"/>
        <v>52500</v>
      </c>
      <c r="I377" s="48">
        <f t="shared" si="25"/>
        <v>5250</v>
      </c>
      <c r="J377" s="49">
        <f t="shared" si="23"/>
        <v>57750</v>
      </c>
    </row>
    <row r="378" spans="1:10" ht="19" customHeight="1">
      <c r="A378" s="62" t="s">
        <v>286</v>
      </c>
      <c r="C378" s="47" t="s">
        <v>217</v>
      </c>
      <c r="D378" s="47" t="s">
        <v>148</v>
      </c>
      <c r="E378" s="47" t="s">
        <v>590</v>
      </c>
      <c r="F378" s="48">
        <v>5</v>
      </c>
      <c r="G378" s="48">
        <f>VLOOKUP(D378,단가!B:D,3,0)</f>
        <v>10500</v>
      </c>
      <c r="H378" s="48">
        <f t="shared" si="24"/>
        <v>52500</v>
      </c>
      <c r="I378" s="48">
        <f t="shared" si="25"/>
        <v>5250</v>
      </c>
      <c r="J378" s="49">
        <f t="shared" si="23"/>
        <v>57750</v>
      </c>
    </row>
    <row r="379" spans="1:10" ht="19" customHeight="1">
      <c r="A379" s="62" t="s">
        <v>286</v>
      </c>
      <c r="C379" s="47" t="s">
        <v>217</v>
      </c>
      <c r="D379" s="47" t="s">
        <v>146</v>
      </c>
      <c r="E379" s="47" t="s">
        <v>590</v>
      </c>
      <c r="F379" s="48">
        <v>5</v>
      </c>
      <c r="G379" s="48">
        <f>VLOOKUP(D379,단가!B:D,3,0)</f>
        <v>10500</v>
      </c>
      <c r="H379" s="48">
        <f t="shared" si="24"/>
        <v>52500</v>
      </c>
      <c r="I379" s="48">
        <f t="shared" si="25"/>
        <v>5250</v>
      </c>
      <c r="J379" s="49">
        <f t="shared" si="23"/>
        <v>57750</v>
      </c>
    </row>
    <row r="380" spans="1:10" ht="19" customHeight="1">
      <c r="A380" s="62" t="s">
        <v>286</v>
      </c>
      <c r="C380" s="47" t="s">
        <v>217</v>
      </c>
      <c r="D380" s="47" t="s">
        <v>147</v>
      </c>
      <c r="E380" s="47" t="s">
        <v>590</v>
      </c>
      <c r="F380" s="48">
        <v>5</v>
      </c>
      <c r="G380" s="48">
        <f>VLOOKUP(D380,단가!B:D,3,0)</f>
        <v>10500</v>
      </c>
      <c r="H380" s="48">
        <f t="shared" si="24"/>
        <v>52500</v>
      </c>
      <c r="I380" s="48">
        <f t="shared" si="25"/>
        <v>5250</v>
      </c>
      <c r="J380" s="49">
        <f t="shared" si="23"/>
        <v>57750</v>
      </c>
    </row>
    <row r="381" spans="1:10" ht="19" customHeight="1">
      <c r="A381" s="62" t="s">
        <v>286</v>
      </c>
      <c r="C381" s="47" t="s">
        <v>316</v>
      </c>
      <c r="D381" s="47" t="s">
        <v>405</v>
      </c>
      <c r="F381" s="48">
        <v>1</v>
      </c>
      <c r="G381" s="48">
        <f>VLOOKUP(D381,단가!B:D,3,0)</f>
        <v>30000</v>
      </c>
      <c r="H381" s="48">
        <f t="shared" si="24"/>
        <v>30000</v>
      </c>
      <c r="I381" s="48">
        <f t="shared" si="25"/>
        <v>3000</v>
      </c>
      <c r="J381" s="49">
        <f t="shared" si="23"/>
        <v>33000</v>
      </c>
    </row>
    <row r="382" spans="1:10" ht="19" customHeight="1">
      <c r="A382" s="62" t="s">
        <v>286</v>
      </c>
      <c r="C382" s="47" t="s">
        <v>394</v>
      </c>
      <c r="D382" s="47" t="s">
        <v>405</v>
      </c>
      <c r="F382" s="48">
        <v>1</v>
      </c>
      <c r="G382" s="48">
        <f>VLOOKUP(D382,단가!B:D,3,0)</f>
        <v>30000</v>
      </c>
      <c r="H382" s="48">
        <f t="shared" si="24"/>
        <v>30000</v>
      </c>
      <c r="I382" s="48">
        <f t="shared" si="25"/>
        <v>3000</v>
      </c>
      <c r="J382" s="49">
        <f t="shared" si="23"/>
        <v>33000</v>
      </c>
    </row>
    <row r="383" spans="1:10" ht="19" customHeight="1">
      <c r="A383" s="62" t="s">
        <v>286</v>
      </c>
      <c r="C383" s="47" t="s">
        <v>434</v>
      </c>
      <c r="D383" s="47" t="s">
        <v>405</v>
      </c>
      <c r="F383" s="48">
        <v>1</v>
      </c>
      <c r="G383" s="48">
        <f>VLOOKUP(D383,단가!B:D,3,0)</f>
        <v>30000</v>
      </c>
      <c r="H383" s="48">
        <f t="shared" si="24"/>
        <v>30000</v>
      </c>
      <c r="I383" s="48">
        <f t="shared" si="25"/>
        <v>3000</v>
      </c>
      <c r="J383" s="49">
        <f t="shared" si="23"/>
        <v>33000</v>
      </c>
    </row>
    <row r="384" spans="1:10" ht="19" customHeight="1">
      <c r="A384" s="62" t="s">
        <v>286</v>
      </c>
      <c r="C384" s="47" t="s">
        <v>467</v>
      </c>
      <c r="D384" s="47" t="s">
        <v>405</v>
      </c>
      <c r="F384" s="48">
        <v>1</v>
      </c>
      <c r="G384" s="48">
        <f>VLOOKUP(D384,단가!B:D,3,0)</f>
        <v>30000</v>
      </c>
      <c r="H384" s="48">
        <f t="shared" si="24"/>
        <v>30000</v>
      </c>
      <c r="I384" s="48">
        <f t="shared" si="25"/>
        <v>3000</v>
      </c>
      <c r="J384" s="49">
        <f t="shared" si="23"/>
        <v>33000</v>
      </c>
    </row>
    <row r="385" spans="1:12" ht="19" customHeight="1">
      <c r="A385" s="62" t="s">
        <v>286</v>
      </c>
      <c r="C385" s="47" t="s">
        <v>480</v>
      </c>
      <c r="D385" s="47" t="s">
        <v>405</v>
      </c>
      <c r="F385" s="48">
        <v>1</v>
      </c>
      <c r="G385" s="48">
        <f>VLOOKUP(D385,단가!B:D,3,0)</f>
        <v>30000</v>
      </c>
      <c r="H385" s="48">
        <f t="shared" si="24"/>
        <v>30000</v>
      </c>
      <c r="I385" s="48">
        <f t="shared" si="25"/>
        <v>3000</v>
      </c>
      <c r="J385" s="49">
        <f t="shared" si="23"/>
        <v>33000</v>
      </c>
    </row>
    <row r="386" spans="1:12" ht="19" customHeight="1">
      <c r="A386" s="62" t="s">
        <v>286</v>
      </c>
      <c r="C386" s="47" t="s">
        <v>483</v>
      </c>
      <c r="D386" s="47" t="s">
        <v>405</v>
      </c>
      <c r="F386" s="48">
        <v>1</v>
      </c>
      <c r="G386" s="48">
        <f>VLOOKUP(D386,단가!B:D,3,0)</f>
        <v>30000</v>
      </c>
      <c r="H386" s="48">
        <f t="shared" si="24"/>
        <v>30000</v>
      </c>
      <c r="I386" s="48">
        <f t="shared" si="25"/>
        <v>3000</v>
      </c>
      <c r="J386" s="49">
        <f t="shared" si="23"/>
        <v>33000</v>
      </c>
    </row>
    <row r="387" spans="1:12" ht="19" customHeight="1">
      <c r="A387" s="62" t="s">
        <v>286</v>
      </c>
      <c r="C387" s="47" t="s">
        <v>486</v>
      </c>
      <c r="D387" s="47" t="s">
        <v>405</v>
      </c>
      <c r="F387" s="48">
        <v>1</v>
      </c>
      <c r="G387" s="48">
        <f>VLOOKUP(D387,단가!B:D,3,0)</f>
        <v>30000</v>
      </c>
      <c r="H387" s="48">
        <f t="shared" si="24"/>
        <v>30000</v>
      </c>
      <c r="I387" s="48">
        <f t="shared" si="25"/>
        <v>3000</v>
      </c>
      <c r="J387" s="49">
        <f t="shared" si="23"/>
        <v>33000</v>
      </c>
    </row>
    <row r="388" spans="1:12" ht="19" customHeight="1">
      <c r="A388" s="62" t="s">
        <v>286</v>
      </c>
      <c r="C388" s="47" t="s">
        <v>501</v>
      </c>
      <c r="D388" s="47" t="s">
        <v>405</v>
      </c>
      <c r="F388" s="48">
        <v>1</v>
      </c>
      <c r="G388" s="48">
        <f>VLOOKUP(D388,단가!B:D,3,0)</f>
        <v>30000</v>
      </c>
      <c r="H388" s="48">
        <f t="shared" si="24"/>
        <v>30000</v>
      </c>
      <c r="I388" s="48">
        <f t="shared" si="25"/>
        <v>3000</v>
      </c>
      <c r="J388" s="49">
        <f t="shared" si="23"/>
        <v>33000</v>
      </c>
    </row>
    <row r="389" spans="1:12" ht="19" customHeight="1">
      <c r="A389" s="62" t="s">
        <v>286</v>
      </c>
      <c r="C389" s="47" t="s">
        <v>505</v>
      </c>
      <c r="D389" s="47" t="s">
        <v>405</v>
      </c>
      <c r="F389" s="48">
        <v>1</v>
      </c>
      <c r="G389" s="48">
        <f>VLOOKUP(D389,단가!B:D,3,0)</f>
        <v>30000</v>
      </c>
      <c r="H389" s="48">
        <f t="shared" si="24"/>
        <v>30000</v>
      </c>
      <c r="I389" s="48">
        <f t="shared" si="25"/>
        <v>3000</v>
      </c>
      <c r="J389" s="49">
        <f t="shared" si="23"/>
        <v>33000</v>
      </c>
    </row>
    <row r="390" spans="1:12" ht="19" customHeight="1">
      <c r="A390" s="62" t="s">
        <v>286</v>
      </c>
      <c r="C390" s="47" t="s">
        <v>508</v>
      </c>
      <c r="D390" s="47" t="s">
        <v>405</v>
      </c>
      <c r="F390" s="48">
        <v>1</v>
      </c>
      <c r="G390" s="48">
        <f>VLOOKUP(D390,단가!B:D,3,0)</f>
        <v>30000</v>
      </c>
      <c r="H390" s="48">
        <f t="shared" si="24"/>
        <v>30000</v>
      </c>
      <c r="I390" s="48">
        <f t="shared" si="25"/>
        <v>3000</v>
      </c>
      <c r="J390" s="49">
        <f t="shared" si="23"/>
        <v>33000</v>
      </c>
    </row>
    <row r="391" spans="1:12" ht="19" customHeight="1">
      <c r="A391" s="62" t="s">
        <v>658</v>
      </c>
      <c r="C391" s="47" t="s">
        <v>217</v>
      </c>
      <c r="D391" s="47" t="s">
        <v>146</v>
      </c>
      <c r="E391" s="47" t="s">
        <v>590</v>
      </c>
      <c r="F391" s="48">
        <v>40</v>
      </c>
      <c r="G391" s="48">
        <f>VLOOKUP(D391,단가!B:D,3,0)</f>
        <v>10500</v>
      </c>
      <c r="H391" s="48">
        <f t="shared" ref="H391:H440" si="26">F391*G391</f>
        <v>420000</v>
      </c>
      <c r="I391" s="48">
        <f t="shared" si="25"/>
        <v>42000</v>
      </c>
      <c r="J391" s="49">
        <f t="shared" si="23"/>
        <v>462000</v>
      </c>
    </row>
    <row r="392" spans="1:12" ht="19" customHeight="1">
      <c r="A392" s="62" t="s">
        <v>658</v>
      </c>
      <c r="C392" s="47" t="s">
        <v>217</v>
      </c>
      <c r="D392" s="47" t="s">
        <v>627</v>
      </c>
      <c r="E392" s="47" t="s">
        <v>57</v>
      </c>
      <c r="F392" s="48">
        <v>5</v>
      </c>
      <c r="G392" s="48">
        <f>VLOOKUP(D392,단가!B:D,3,0)</f>
        <v>25000</v>
      </c>
      <c r="H392" s="48">
        <f t="shared" si="26"/>
        <v>125000</v>
      </c>
      <c r="I392" s="48">
        <f t="shared" si="25"/>
        <v>12500</v>
      </c>
      <c r="J392" s="49">
        <f t="shared" si="23"/>
        <v>137500</v>
      </c>
    </row>
    <row r="393" spans="1:12" ht="19" customHeight="1">
      <c r="A393" s="62" t="s">
        <v>659</v>
      </c>
      <c r="C393" s="47" t="s">
        <v>375</v>
      </c>
      <c r="D393" s="47" t="s">
        <v>405</v>
      </c>
      <c r="F393" s="48">
        <v>1</v>
      </c>
      <c r="G393" s="48">
        <f>VLOOKUP(D393,단가!B:D,3,0)</f>
        <v>30000</v>
      </c>
      <c r="H393" s="48">
        <f t="shared" si="26"/>
        <v>30000</v>
      </c>
      <c r="I393" s="48">
        <f t="shared" si="25"/>
        <v>3000</v>
      </c>
      <c r="J393" s="49">
        <f t="shared" si="23"/>
        <v>33000</v>
      </c>
    </row>
    <row r="394" spans="1:12" ht="19" customHeight="1">
      <c r="A394" s="62" t="s">
        <v>660</v>
      </c>
      <c r="C394" s="47" t="s">
        <v>217</v>
      </c>
      <c r="D394" s="47" t="s">
        <v>661</v>
      </c>
      <c r="E394" s="47" t="s">
        <v>57</v>
      </c>
      <c r="F394" s="48">
        <v>15</v>
      </c>
      <c r="G394" s="48">
        <f>VLOOKUP(D394,단가!B:D,3,0)</f>
        <v>25000</v>
      </c>
      <c r="H394" s="48">
        <f t="shared" si="26"/>
        <v>375000</v>
      </c>
      <c r="I394" s="48">
        <f t="shared" si="25"/>
        <v>37500</v>
      </c>
      <c r="J394" s="49">
        <f t="shared" si="23"/>
        <v>412500</v>
      </c>
    </row>
    <row r="395" spans="1:12" ht="19" customHeight="1">
      <c r="A395" s="62" t="s">
        <v>660</v>
      </c>
      <c r="C395" s="47" t="s">
        <v>217</v>
      </c>
      <c r="D395" s="47" t="s">
        <v>662</v>
      </c>
      <c r="E395" s="47" t="s">
        <v>57</v>
      </c>
      <c r="F395" s="48">
        <v>1</v>
      </c>
      <c r="G395" s="48">
        <f>VLOOKUP(D395,단가!B:D,3,0)</f>
        <v>22000</v>
      </c>
      <c r="H395" s="48">
        <f t="shared" si="26"/>
        <v>22000</v>
      </c>
      <c r="I395" s="48">
        <f t="shared" si="25"/>
        <v>2200</v>
      </c>
      <c r="J395" s="49">
        <f t="shared" si="23"/>
        <v>24200</v>
      </c>
    </row>
    <row r="396" spans="1:12" ht="19" customHeight="1">
      <c r="A396" s="62" t="s">
        <v>660</v>
      </c>
      <c r="C396" s="47" t="s">
        <v>217</v>
      </c>
      <c r="D396" s="47" t="s">
        <v>154</v>
      </c>
      <c r="E396" s="47" t="s">
        <v>590</v>
      </c>
      <c r="F396" s="48">
        <v>5</v>
      </c>
      <c r="G396" s="48">
        <f>VLOOKUP(D396,단가!B:D,3,0)</f>
        <v>10500</v>
      </c>
      <c r="H396" s="48">
        <f t="shared" si="26"/>
        <v>52500</v>
      </c>
      <c r="I396" s="48">
        <f t="shared" si="25"/>
        <v>5250</v>
      </c>
      <c r="J396" s="49">
        <f t="shared" si="23"/>
        <v>57750</v>
      </c>
    </row>
    <row r="397" spans="1:12" ht="19" customHeight="1">
      <c r="A397" s="62" t="s">
        <v>660</v>
      </c>
      <c r="C397" s="47" t="s">
        <v>217</v>
      </c>
      <c r="D397" s="47" t="s">
        <v>149</v>
      </c>
      <c r="E397" s="47" t="s">
        <v>590</v>
      </c>
      <c r="F397" s="48">
        <v>5</v>
      </c>
      <c r="G397" s="48">
        <f>VLOOKUP(D397,단가!B:D,3,0)</f>
        <v>10500</v>
      </c>
      <c r="H397" s="48">
        <f t="shared" si="26"/>
        <v>52500</v>
      </c>
      <c r="I397" s="48">
        <f t="shared" si="25"/>
        <v>5250</v>
      </c>
      <c r="J397" s="49">
        <f t="shared" si="23"/>
        <v>57750</v>
      </c>
    </row>
    <row r="398" spans="1:12" ht="19" customHeight="1">
      <c r="A398" s="62" t="s">
        <v>660</v>
      </c>
      <c r="C398" s="47" t="s">
        <v>217</v>
      </c>
      <c r="D398" s="47" t="s">
        <v>148</v>
      </c>
      <c r="E398" s="47" t="s">
        <v>590</v>
      </c>
      <c r="F398" s="48">
        <v>10</v>
      </c>
      <c r="G398" s="48">
        <f>VLOOKUP(D398,단가!B:D,3,0)</f>
        <v>10500</v>
      </c>
      <c r="H398" s="48">
        <f t="shared" si="26"/>
        <v>105000</v>
      </c>
      <c r="I398" s="48">
        <f t="shared" si="25"/>
        <v>10500</v>
      </c>
      <c r="J398" s="49">
        <f t="shared" si="23"/>
        <v>115500</v>
      </c>
    </row>
    <row r="399" spans="1:12" ht="19" customHeight="1">
      <c r="A399" s="62" t="s">
        <v>660</v>
      </c>
      <c r="C399" s="47" t="s">
        <v>217</v>
      </c>
      <c r="D399" s="47" t="s">
        <v>146</v>
      </c>
      <c r="E399" s="47" t="s">
        <v>590</v>
      </c>
      <c r="F399" s="48">
        <v>5</v>
      </c>
      <c r="G399" s="48">
        <f>VLOOKUP(D399,단가!B:D,3,0)</f>
        <v>10500</v>
      </c>
      <c r="H399" s="48">
        <f t="shared" si="26"/>
        <v>52500</v>
      </c>
      <c r="I399" s="48">
        <f t="shared" si="25"/>
        <v>5250</v>
      </c>
      <c r="J399" s="49">
        <f t="shared" si="23"/>
        <v>57750</v>
      </c>
      <c r="L399" s="56"/>
    </row>
    <row r="400" spans="1:12" ht="19" customHeight="1">
      <c r="A400" s="62" t="s">
        <v>660</v>
      </c>
      <c r="C400" s="47" t="s">
        <v>217</v>
      </c>
      <c r="D400" s="47" t="s">
        <v>147</v>
      </c>
      <c r="E400" s="47" t="s">
        <v>590</v>
      </c>
      <c r="F400" s="48">
        <v>5</v>
      </c>
      <c r="G400" s="48">
        <f>VLOOKUP(D400,단가!B:D,3,0)</f>
        <v>10500</v>
      </c>
      <c r="H400" s="48">
        <f t="shared" si="26"/>
        <v>52500</v>
      </c>
      <c r="I400" s="48">
        <f t="shared" si="25"/>
        <v>5250</v>
      </c>
      <c r="J400" s="49">
        <f t="shared" si="23"/>
        <v>57750</v>
      </c>
    </row>
    <row r="401" spans="1:11" ht="19" customHeight="1">
      <c r="A401" s="62" t="s">
        <v>663</v>
      </c>
      <c r="C401" s="47" t="s">
        <v>508</v>
      </c>
      <c r="D401" s="47" t="s">
        <v>315</v>
      </c>
      <c r="E401" s="47" t="s">
        <v>57</v>
      </c>
      <c r="F401" s="48">
        <v>2</v>
      </c>
      <c r="G401" s="48">
        <f>VLOOKUP(D401,단가!B:D,3,0)</f>
        <v>32000</v>
      </c>
      <c r="H401" s="48">
        <f t="shared" si="26"/>
        <v>64000</v>
      </c>
      <c r="I401" s="48">
        <f t="shared" si="25"/>
        <v>6400</v>
      </c>
      <c r="J401" s="49">
        <f t="shared" si="23"/>
        <v>70400</v>
      </c>
    </row>
    <row r="402" spans="1:11" ht="19" customHeight="1">
      <c r="A402" s="62" t="s">
        <v>664</v>
      </c>
      <c r="C402" s="47" t="s">
        <v>556</v>
      </c>
      <c r="D402" s="47" t="s">
        <v>627</v>
      </c>
      <c r="E402" s="47" t="s">
        <v>57</v>
      </c>
      <c r="F402" s="48">
        <v>10</v>
      </c>
      <c r="G402" s="48">
        <f>VLOOKUP(D402,단가!B:D,3,0)</f>
        <v>25000</v>
      </c>
      <c r="H402" s="48">
        <f t="shared" si="26"/>
        <v>250000</v>
      </c>
      <c r="I402" s="48">
        <f t="shared" si="25"/>
        <v>25000</v>
      </c>
      <c r="J402" s="49">
        <f t="shared" si="23"/>
        <v>275000</v>
      </c>
    </row>
    <row r="403" spans="1:11" ht="19" customHeight="1">
      <c r="A403" s="62" t="s">
        <v>665</v>
      </c>
      <c r="C403" s="47" t="s">
        <v>217</v>
      </c>
      <c r="D403" s="47" t="s">
        <v>627</v>
      </c>
      <c r="E403" s="47" t="s">
        <v>57</v>
      </c>
      <c r="F403" s="48">
        <v>3</v>
      </c>
      <c r="G403" s="48">
        <f>VLOOKUP(D403,단가!B:D,3,0)</f>
        <v>25000</v>
      </c>
      <c r="H403" s="48">
        <f t="shared" si="26"/>
        <v>75000</v>
      </c>
      <c r="I403" s="48">
        <f t="shared" si="25"/>
        <v>7500</v>
      </c>
      <c r="J403" s="49">
        <f t="shared" si="23"/>
        <v>82500</v>
      </c>
    </row>
    <row r="404" spans="1:11" ht="19" customHeight="1">
      <c r="A404" s="62" t="s">
        <v>665</v>
      </c>
      <c r="C404" s="47" t="s">
        <v>217</v>
      </c>
      <c r="D404" s="47" t="s">
        <v>153</v>
      </c>
      <c r="E404" s="47" t="s">
        <v>590</v>
      </c>
      <c r="F404" s="48">
        <v>5</v>
      </c>
      <c r="G404" s="48">
        <f>VLOOKUP(D404,단가!B:D,3,0)</f>
        <v>10500</v>
      </c>
      <c r="H404" s="48">
        <f t="shared" si="26"/>
        <v>52500</v>
      </c>
      <c r="I404" s="48">
        <f t="shared" si="25"/>
        <v>5250</v>
      </c>
      <c r="J404" s="49">
        <f t="shared" si="23"/>
        <v>57750</v>
      </c>
    </row>
    <row r="405" spans="1:11" ht="19" customHeight="1">
      <c r="A405" s="62" t="s">
        <v>665</v>
      </c>
      <c r="C405" s="47" t="s">
        <v>217</v>
      </c>
      <c r="D405" s="47" t="s">
        <v>151</v>
      </c>
      <c r="E405" s="47" t="s">
        <v>590</v>
      </c>
      <c r="F405" s="48">
        <v>5</v>
      </c>
      <c r="G405" s="48">
        <f>VLOOKUP(D405,단가!B:D,3,0)</f>
        <v>10500</v>
      </c>
      <c r="H405" s="48">
        <f t="shared" si="26"/>
        <v>52500</v>
      </c>
      <c r="I405" s="48">
        <f t="shared" si="25"/>
        <v>5250</v>
      </c>
      <c r="J405" s="49">
        <f t="shared" si="23"/>
        <v>57750</v>
      </c>
    </row>
    <row r="406" spans="1:11" ht="19" customHeight="1">
      <c r="A406" s="62" t="s">
        <v>665</v>
      </c>
      <c r="C406" s="47" t="s">
        <v>217</v>
      </c>
      <c r="D406" s="47" t="s">
        <v>152</v>
      </c>
      <c r="E406" s="47" t="s">
        <v>590</v>
      </c>
      <c r="F406" s="48">
        <v>5</v>
      </c>
      <c r="G406" s="48">
        <f>VLOOKUP(D406,단가!B:D,3,0)</f>
        <v>10500</v>
      </c>
      <c r="H406" s="48">
        <f t="shared" si="26"/>
        <v>52500</v>
      </c>
      <c r="I406" s="48">
        <f t="shared" si="25"/>
        <v>5250</v>
      </c>
      <c r="J406" s="49">
        <f t="shared" si="23"/>
        <v>57750</v>
      </c>
    </row>
    <row r="407" spans="1:11" ht="19" customHeight="1">
      <c r="A407" s="62" t="s">
        <v>665</v>
      </c>
      <c r="C407" s="47" t="s">
        <v>217</v>
      </c>
      <c r="D407" s="47" t="s">
        <v>150</v>
      </c>
      <c r="E407" s="47" t="s">
        <v>590</v>
      </c>
      <c r="F407" s="48">
        <v>5</v>
      </c>
      <c r="G407" s="48">
        <f>VLOOKUP(D407,단가!B:D,3,0)</f>
        <v>10500</v>
      </c>
      <c r="H407" s="48">
        <f t="shared" si="26"/>
        <v>52500</v>
      </c>
      <c r="I407" s="48">
        <f t="shared" si="25"/>
        <v>5250</v>
      </c>
      <c r="J407" s="49">
        <f t="shared" si="23"/>
        <v>57750</v>
      </c>
    </row>
    <row r="408" spans="1:11" ht="19" customHeight="1">
      <c r="A408" s="62" t="s">
        <v>665</v>
      </c>
      <c r="C408" s="47" t="s">
        <v>217</v>
      </c>
      <c r="D408" s="47" t="s">
        <v>149</v>
      </c>
      <c r="E408" s="47" t="s">
        <v>590</v>
      </c>
      <c r="F408" s="48">
        <v>5</v>
      </c>
      <c r="G408" s="48">
        <f>VLOOKUP(D408,단가!B:D,3,0)</f>
        <v>10500</v>
      </c>
      <c r="H408" s="48">
        <f t="shared" si="26"/>
        <v>52500</v>
      </c>
      <c r="I408" s="48">
        <f t="shared" si="25"/>
        <v>5250</v>
      </c>
      <c r="J408" s="49">
        <f t="shared" si="23"/>
        <v>57750</v>
      </c>
    </row>
    <row r="409" spans="1:11" ht="19" customHeight="1">
      <c r="A409" s="62" t="s">
        <v>665</v>
      </c>
      <c r="C409" s="47" t="s">
        <v>217</v>
      </c>
      <c r="D409" s="47" t="s">
        <v>146</v>
      </c>
      <c r="E409" s="47" t="s">
        <v>590</v>
      </c>
      <c r="F409" s="48">
        <v>5</v>
      </c>
      <c r="G409" s="48">
        <f>VLOOKUP(D409,단가!B:D,3,0)</f>
        <v>10500</v>
      </c>
      <c r="H409" s="48">
        <f t="shared" si="26"/>
        <v>52500</v>
      </c>
      <c r="I409" s="48">
        <f t="shared" si="25"/>
        <v>5250</v>
      </c>
      <c r="J409" s="49">
        <f t="shared" si="23"/>
        <v>57750</v>
      </c>
    </row>
    <row r="410" spans="1:11" ht="19" customHeight="1">
      <c r="A410" s="62" t="s">
        <v>666</v>
      </c>
      <c r="C410" s="47" t="s">
        <v>126</v>
      </c>
      <c r="D410" s="47" t="s">
        <v>627</v>
      </c>
      <c r="E410" s="47" t="s">
        <v>57</v>
      </c>
      <c r="F410" s="48">
        <v>10</v>
      </c>
      <c r="G410" s="48">
        <f>VLOOKUP(D410,단가!B:D,3,0)</f>
        <v>25000</v>
      </c>
      <c r="H410" s="48">
        <f t="shared" si="26"/>
        <v>250000</v>
      </c>
      <c r="I410" s="48">
        <f t="shared" si="25"/>
        <v>25000</v>
      </c>
      <c r="J410" s="49">
        <f t="shared" si="23"/>
        <v>275000</v>
      </c>
    </row>
    <row r="411" spans="1:11" ht="19" customHeight="1">
      <c r="A411" s="62" t="s">
        <v>666</v>
      </c>
      <c r="C411" s="47" t="s">
        <v>126</v>
      </c>
      <c r="D411" s="47" t="s">
        <v>647</v>
      </c>
      <c r="E411" s="47" t="s">
        <v>131</v>
      </c>
      <c r="F411" s="48">
        <v>2</v>
      </c>
      <c r="G411" s="48">
        <f>VLOOKUP(D411,단가!B:D,3,0)</f>
        <v>14000</v>
      </c>
      <c r="H411" s="48">
        <f t="shared" si="26"/>
        <v>28000</v>
      </c>
      <c r="I411" s="48">
        <f t="shared" si="25"/>
        <v>2800</v>
      </c>
      <c r="J411" s="49">
        <f t="shared" si="23"/>
        <v>30800</v>
      </c>
    </row>
    <row r="412" spans="1:11" ht="19" customHeight="1">
      <c r="A412" s="62" t="s">
        <v>666</v>
      </c>
      <c r="C412" s="47" t="s">
        <v>183</v>
      </c>
      <c r="D412" s="47" t="s">
        <v>627</v>
      </c>
      <c r="E412" s="47" t="s">
        <v>57</v>
      </c>
      <c r="F412" s="48">
        <v>10</v>
      </c>
      <c r="G412" s="48">
        <f>VLOOKUP(D412,단가!B:D,3,0)</f>
        <v>25000</v>
      </c>
      <c r="H412" s="48">
        <f t="shared" si="26"/>
        <v>250000</v>
      </c>
      <c r="I412" s="48">
        <f t="shared" si="25"/>
        <v>25000</v>
      </c>
      <c r="J412" s="49">
        <f t="shared" si="23"/>
        <v>275000</v>
      </c>
    </row>
    <row r="413" spans="1:11" ht="19" customHeight="1">
      <c r="A413" s="62" t="s">
        <v>666</v>
      </c>
      <c r="C413" s="47" t="s">
        <v>183</v>
      </c>
      <c r="D413" s="47" t="s">
        <v>647</v>
      </c>
      <c r="E413" s="47" t="s">
        <v>131</v>
      </c>
      <c r="F413" s="48">
        <v>2</v>
      </c>
      <c r="G413" s="48">
        <f>VLOOKUP(D413,단가!B:D,3,0)</f>
        <v>14000</v>
      </c>
      <c r="H413" s="48">
        <f t="shared" si="26"/>
        <v>28000</v>
      </c>
      <c r="I413" s="48">
        <f t="shared" si="25"/>
        <v>2800</v>
      </c>
      <c r="J413" s="49">
        <f t="shared" si="23"/>
        <v>30800</v>
      </c>
    </row>
    <row r="414" spans="1:11" ht="19" customHeight="1">
      <c r="A414" s="62" t="s">
        <v>666</v>
      </c>
      <c r="C414" s="47" t="s">
        <v>199</v>
      </c>
      <c r="D414" s="47" t="s">
        <v>627</v>
      </c>
      <c r="E414" s="47" t="s">
        <v>57</v>
      </c>
      <c r="F414" s="48">
        <v>10</v>
      </c>
      <c r="G414" s="48">
        <f>VLOOKUP(D414,단가!B:D,3,0)</f>
        <v>25000</v>
      </c>
      <c r="H414" s="48">
        <f t="shared" si="26"/>
        <v>250000</v>
      </c>
      <c r="I414" s="48">
        <f t="shared" si="25"/>
        <v>25000</v>
      </c>
      <c r="J414" s="49">
        <f t="shared" si="23"/>
        <v>275000</v>
      </c>
      <c r="K414" s="49"/>
    </row>
    <row r="415" spans="1:11" ht="19" customHeight="1">
      <c r="A415" s="62" t="s">
        <v>667</v>
      </c>
      <c r="C415" s="47" t="s">
        <v>217</v>
      </c>
      <c r="D415" s="47" t="s">
        <v>627</v>
      </c>
      <c r="E415" s="47" t="s">
        <v>57</v>
      </c>
      <c r="F415" s="48">
        <v>16</v>
      </c>
      <c r="G415" s="48">
        <f>VLOOKUP(D415,단가!B:D,3,0)</f>
        <v>25000</v>
      </c>
      <c r="H415" s="48">
        <f t="shared" si="26"/>
        <v>400000</v>
      </c>
      <c r="I415" s="48">
        <f t="shared" si="25"/>
        <v>40000</v>
      </c>
      <c r="J415" s="49">
        <f t="shared" si="23"/>
        <v>440000</v>
      </c>
    </row>
    <row r="416" spans="1:11" ht="19" customHeight="1">
      <c r="A416" s="62" t="s">
        <v>667</v>
      </c>
      <c r="C416" s="47" t="s">
        <v>217</v>
      </c>
      <c r="D416" s="47" t="s">
        <v>154</v>
      </c>
      <c r="E416" s="47" t="s">
        <v>590</v>
      </c>
      <c r="F416" s="48">
        <v>5</v>
      </c>
      <c r="G416" s="48">
        <f>VLOOKUP(D416,단가!B:D,3,0)</f>
        <v>10500</v>
      </c>
      <c r="H416" s="48">
        <f t="shared" si="26"/>
        <v>52500</v>
      </c>
      <c r="I416" s="48">
        <f t="shared" si="25"/>
        <v>5250</v>
      </c>
      <c r="J416" s="49">
        <f t="shared" si="23"/>
        <v>57750</v>
      </c>
    </row>
    <row r="417" spans="1:10" ht="19" customHeight="1">
      <c r="A417" s="62" t="s">
        <v>667</v>
      </c>
      <c r="C417" s="47" t="s">
        <v>217</v>
      </c>
      <c r="D417" s="47" t="s">
        <v>153</v>
      </c>
      <c r="E417" s="47" t="s">
        <v>590</v>
      </c>
      <c r="F417" s="48">
        <v>5</v>
      </c>
      <c r="G417" s="48">
        <f>VLOOKUP(D417,단가!B:D,3,0)</f>
        <v>10500</v>
      </c>
      <c r="H417" s="48">
        <f t="shared" si="26"/>
        <v>52500</v>
      </c>
      <c r="I417" s="48">
        <f t="shared" si="25"/>
        <v>5250</v>
      </c>
      <c r="J417" s="49">
        <f t="shared" si="23"/>
        <v>57750</v>
      </c>
    </row>
    <row r="418" spans="1:10" ht="19" customHeight="1">
      <c r="A418" s="62" t="s">
        <v>667</v>
      </c>
      <c r="C418" s="47" t="s">
        <v>217</v>
      </c>
      <c r="D418" s="47" t="s">
        <v>151</v>
      </c>
      <c r="E418" s="47" t="s">
        <v>590</v>
      </c>
      <c r="F418" s="48">
        <v>5</v>
      </c>
      <c r="G418" s="48">
        <f>VLOOKUP(D418,단가!B:D,3,0)</f>
        <v>10500</v>
      </c>
      <c r="H418" s="48">
        <f t="shared" si="26"/>
        <v>52500</v>
      </c>
      <c r="I418" s="48">
        <f t="shared" si="25"/>
        <v>5250</v>
      </c>
      <c r="J418" s="49">
        <f t="shared" ref="J418:J481" si="27">H418+I418</f>
        <v>57750</v>
      </c>
    </row>
    <row r="419" spans="1:10" ht="19" customHeight="1">
      <c r="A419" s="62" t="s">
        <v>667</v>
      </c>
      <c r="C419" s="47" t="s">
        <v>217</v>
      </c>
      <c r="D419" s="47" t="s">
        <v>152</v>
      </c>
      <c r="E419" s="47" t="s">
        <v>590</v>
      </c>
      <c r="F419" s="48">
        <v>5</v>
      </c>
      <c r="G419" s="48">
        <f>VLOOKUP(D419,단가!B:D,3,0)</f>
        <v>10500</v>
      </c>
      <c r="H419" s="48">
        <f t="shared" si="26"/>
        <v>52500</v>
      </c>
      <c r="I419" s="48">
        <f t="shared" ref="I419:I482" si="28">H419*0.1</f>
        <v>5250</v>
      </c>
      <c r="J419" s="49">
        <f t="shared" si="27"/>
        <v>57750</v>
      </c>
    </row>
    <row r="420" spans="1:10" ht="19" customHeight="1">
      <c r="A420" s="62" t="s">
        <v>667</v>
      </c>
      <c r="C420" s="47" t="s">
        <v>217</v>
      </c>
      <c r="D420" s="47" t="s">
        <v>150</v>
      </c>
      <c r="E420" s="47" t="s">
        <v>590</v>
      </c>
      <c r="F420" s="48">
        <v>5</v>
      </c>
      <c r="G420" s="48">
        <f>VLOOKUP(D420,단가!B:D,3,0)</f>
        <v>10500</v>
      </c>
      <c r="H420" s="48">
        <f t="shared" si="26"/>
        <v>52500</v>
      </c>
      <c r="I420" s="48">
        <f t="shared" si="28"/>
        <v>5250</v>
      </c>
      <c r="J420" s="49">
        <f t="shared" si="27"/>
        <v>57750</v>
      </c>
    </row>
    <row r="421" spans="1:10" ht="19" customHeight="1">
      <c r="A421" s="62" t="s">
        <v>667</v>
      </c>
      <c r="C421" s="47" t="s">
        <v>217</v>
      </c>
      <c r="D421" s="47" t="s">
        <v>149</v>
      </c>
      <c r="E421" s="47" t="s">
        <v>590</v>
      </c>
      <c r="F421" s="48">
        <v>5</v>
      </c>
      <c r="G421" s="48">
        <f>VLOOKUP(D421,단가!B:D,3,0)</f>
        <v>10500</v>
      </c>
      <c r="H421" s="48">
        <f t="shared" si="26"/>
        <v>52500</v>
      </c>
      <c r="I421" s="48">
        <f t="shared" si="28"/>
        <v>5250</v>
      </c>
      <c r="J421" s="49">
        <f t="shared" si="27"/>
        <v>57750</v>
      </c>
    </row>
    <row r="422" spans="1:10" ht="19" customHeight="1">
      <c r="A422" s="62" t="s">
        <v>667</v>
      </c>
      <c r="C422" s="47" t="s">
        <v>217</v>
      </c>
      <c r="D422" s="47" t="s">
        <v>148</v>
      </c>
      <c r="E422" s="47" t="s">
        <v>590</v>
      </c>
      <c r="F422" s="48">
        <v>10</v>
      </c>
      <c r="G422" s="48">
        <f>VLOOKUP(D422,단가!B:D,3,0)</f>
        <v>10500</v>
      </c>
      <c r="H422" s="48">
        <f t="shared" si="26"/>
        <v>105000</v>
      </c>
      <c r="I422" s="48">
        <f t="shared" si="28"/>
        <v>10500</v>
      </c>
      <c r="J422" s="49">
        <f t="shared" si="27"/>
        <v>115500</v>
      </c>
    </row>
    <row r="423" spans="1:10" ht="19" customHeight="1">
      <c r="A423" s="62" t="s">
        <v>667</v>
      </c>
      <c r="C423" s="47" t="s">
        <v>217</v>
      </c>
      <c r="D423" s="47" t="s">
        <v>146</v>
      </c>
      <c r="E423" s="47" t="s">
        <v>590</v>
      </c>
      <c r="F423" s="48">
        <v>5</v>
      </c>
      <c r="G423" s="48">
        <f>VLOOKUP(D423,단가!B:D,3,0)</f>
        <v>10500</v>
      </c>
      <c r="H423" s="48">
        <f t="shared" si="26"/>
        <v>52500</v>
      </c>
      <c r="I423" s="48">
        <f t="shared" si="28"/>
        <v>5250</v>
      </c>
      <c r="J423" s="49">
        <f t="shared" si="27"/>
        <v>57750</v>
      </c>
    </row>
    <row r="424" spans="1:10" ht="19" customHeight="1">
      <c r="A424" s="62" t="s">
        <v>667</v>
      </c>
      <c r="C424" s="47" t="s">
        <v>217</v>
      </c>
      <c r="D424" s="47" t="s">
        <v>147</v>
      </c>
      <c r="E424" s="47" t="s">
        <v>590</v>
      </c>
      <c r="F424" s="48">
        <v>5</v>
      </c>
      <c r="G424" s="48">
        <f>VLOOKUP(D424,단가!B:D,3,0)</f>
        <v>10500</v>
      </c>
      <c r="H424" s="48">
        <f t="shared" si="26"/>
        <v>52500</v>
      </c>
      <c r="I424" s="48">
        <f t="shared" si="28"/>
        <v>5250</v>
      </c>
      <c r="J424" s="49">
        <f t="shared" si="27"/>
        <v>57750</v>
      </c>
    </row>
    <row r="425" spans="1:10" ht="19" customHeight="1">
      <c r="A425" s="62" t="s">
        <v>667</v>
      </c>
      <c r="C425" s="47" t="s">
        <v>567</v>
      </c>
      <c r="D425" s="47" t="s">
        <v>627</v>
      </c>
      <c r="E425" s="47" t="s">
        <v>57</v>
      </c>
      <c r="F425" s="48">
        <v>5</v>
      </c>
      <c r="G425" s="48">
        <f>VLOOKUP(D425,단가!B:D,3,0)</f>
        <v>25000</v>
      </c>
      <c r="H425" s="48">
        <f t="shared" si="26"/>
        <v>125000</v>
      </c>
      <c r="J425" s="49">
        <f t="shared" si="27"/>
        <v>125000</v>
      </c>
    </row>
    <row r="426" spans="1:10" ht="19" customHeight="1">
      <c r="A426" s="62" t="s">
        <v>668</v>
      </c>
      <c r="C426" s="47" t="s">
        <v>217</v>
      </c>
      <c r="D426" s="47" t="s">
        <v>627</v>
      </c>
      <c r="E426" s="47" t="s">
        <v>57</v>
      </c>
      <c r="F426" s="48">
        <v>13</v>
      </c>
      <c r="G426" s="48">
        <f>VLOOKUP(D426,단가!B:D,3,0)</f>
        <v>25000</v>
      </c>
      <c r="H426" s="48">
        <f t="shared" si="26"/>
        <v>325000</v>
      </c>
      <c r="I426" s="48">
        <f t="shared" si="28"/>
        <v>32500</v>
      </c>
      <c r="J426" s="49">
        <f t="shared" si="27"/>
        <v>357500</v>
      </c>
    </row>
    <row r="427" spans="1:10" ht="19" customHeight="1">
      <c r="A427" s="62" t="s">
        <v>668</v>
      </c>
      <c r="C427" s="47" t="s">
        <v>217</v>
      </c>
      <c r="D427" s="67" t="s">
        <v>173</v>
      </c>
      <c r="E427" s="47" t="s">
        <v>92</v>
      </c>
      <c r="F427" s="48">
        <v>100</v>
      </c>
      <c r="G427" s="48">
        <f>VLOOKUP(D427,단가!B:D,3,0)</f>
        <v>10500</v>
      </c>
      <c r="H427" s="48">
        <f t="shared" si="26"/>
        <v>1050000</v>
      </c>
      <c r="I427" s="48">
        <f t="shared" si="28"/>
        <v>105000</v>
      </c>
      <c r="J427" s="49">
        <f t="shared" si="27"/>
        <v>1155000</v>
      </c>
    </row>
    <row r="428" spans="1:10" ht="19" customHeight="1">
      <c r="A428" s="62" t="s">
        <v>669</v>
      </c>
      <c r="C428" s="47" t="s">
        <v>394</v>
      </c>
      <c r="D428" s="47" t="s">
        <v>315</v>
      </c>
      <c r="E428" s="47" t="s">
        <v>57</v>
      </c>
      <c r="F428" s="48">
        <v>5</v>
      </c>
      <c r="G428" s="48">
        <f>VLOOKUP(D428,단가!B:D,3,0)</f>
        <v>32000</v>
      </c>
      <c r="H428" s="48">
        <f t="shared" si="26"/>
        <v>160000</v>
      </c>
      <c r="I428" s="48">
        <f t="shared" si="28"/>
        <v>16000</v>
      </c>
      <c r="J428" s="49">
        <f t="shared" si="27"/>
        <v>176000</v>
      </c>
    </row>
    <row r="429" spans="1:10" ht="19" customHeight="1">
      <c r="A429" s="62" t="s">
        <v>670</v>
      </c>
      <c r="C429" s="47" t="s">
        <v>505</v>
      </c>
      <c r="D429" s="47" t="s">
        <v>315</v>
      </c>
      <c r="E429" s="47" t="s">
        <v>57</v>
      </c>
      <c r="F429" s="48">
        <v>2</v>
      </c>
      <c r="G429" s="48">
        <f>VLOOKUP(D429,단가!B:D,3,0)</f>
        <v>32000</v>
      </c>
      <c r="H429" s="48">
        <f t="shared" si="26"/>
        <v>64000</v>
      </c>
      <c r="I429" s="48">
        <f t="shared" si="28"/>
        <v>6400</v>
      </c>
      <c r="J429" s="49">
        <f t="shared" si="27"/>
        <v>70400</v>
      </c>
    </row>
    <row r="430" spans="1:10" ht="19" customHeight="1">
      <c r="A430" s="62" t="s">
        <v>671</v>
      </c>
      <c r="C430" s="47" t="s">
        <v>217</v>
      </c>
      <c r="D430" s="47" t="s">
        <v>627</v>
      </c>
      <c r="E430" s="47" t="s">
        <v>57</v>
      </c>
      <c r="F430" s="48">
        <v>2</v>
      </c>
      <c r="G430" s="48">
        <f>VLOOKUP(D430,단가!B:D,3,0)</f>
        <v>25000</v>
      </c>
      <c r="H430" s="48">
        <f t="shared" si="26"/>
        <v>50000</v>
      </c>
      <c r="I430" s="48">
        <f t="shared" si="28"/>
        <v>5000</v>
      </c>
      <c r="J430" s="49">
        <f t="shared" si="27"/>
        <v>55000</v>
      </c>
    </row>
    <row r="431" spans="1:10" ht="19" customHeight="1">
      <c r="A431" s="62" t="s">
        <v>671</v>
      </c>
      <c r="C431" s="47" t="s">
        <v>217</v>
      </c>
      <c r="D431" s="47" t="s">
        <v>154</v>
      </c>
      <c r="E431" s="47" t="s">
        <v>590</v>
      </c>
      <c r="F431" s="48">
        <v>5</v>
      </c>
      <c r="G431" s="48">
        <f>VLOOKUP(D431,단가!B:D,3,0)</f>
        <v>10500</v>
      </c>
      <c r="H431" s="48">
        <f t="shared" si="26"/>
        <v>52500</v>
      </c>
      <c r="I431" s="48">
        <f t="shared" si="28"/>
        <v>5250</v>
      </c>
      <c r="J431" s="49">
        <f t="shared" si="27"/>
        <v>57750</v>
      </c>
    </row>
    <row r="432" spans="1:10" ht="19" customHeight="1">
      <c r="A432" s="62" t="s">
        <v>671</v>
      </c>
      <c r="C432" s="47" t="s">
        <v>217</v>
      </c>
      <c r="D432" s="47" t="s">
        <v>153</v>
      </c>
      <c r="E432" s="47" t="s">
        <v>590</v>
      </c>
      <c r="F432" s="48">
        <v>5</v>
      </c>
      <c r="G432" s="48">
        <f>VLOOKUP(D432,단가!B:D,3,0)</f>
        <v>10500</v>
      </c>
      <c r="H432" s="48">
        <f t="shared" si="26"/>
        <v>52500</v>
      </c>
      <c r="I432" s="48">
        <f t="shared" si="28"/>
        <v>5250</v>
      </c>
      <c r="J432" s="49">
        <f t="shared" si="27"/>
        <v>57750</v>
      </c>
    </row>
    <row r="433" spans="1:10" ht="19" customHeight="1">
      <c r="A433" s="62" t="s">
        <v>671</v>
      </c>
      <c r="C433" s="47" t="s">
        <v>217</v>
      </c>
      <c r="D433" s="47" t="s">
        <v>151</v>
      </c>
      <c r="E433" s="47" t="s">
        <v>590</v>
      </c>
      <c r="F433" s="48">
        <v>5</v>
      </c>
      <c r="G433" s="48">
        <f>VLOOKUP(D433,단가!B:D,3,0)</f>
        <v>10500</v>
      </c>
      <c r="H433" s="48">
        <f t="shared" si="26"/>
        <v>52500</v>
      </c>
      <c r="I433" s="48">
        <f t="shared" si="28"/>
        <v>5250</v>
      </c>
      <c r="J433" s="49">
        <f t="shared" si="27"/>
        <v>57750</v>
      </c>
    </row>
    <row r="434" spans="1:10" ht="19" customHeight="1">
      <c r="A434" s="62" t="s">
        <v>671</v>
      </c>
      <c r="C434" s="47" t="s">
        <v>217</v>
      </c>
      <c r="D434" s="47" t="s">
        <v>152</v>
      </c>
      <c r="E434" s="47" t="s">
        <v>590</v>
      </c>
      <c r="F434" s="48">
        <v>5</v>
      </c>
      <c r="G434" s="48">
        <f>VLOOKUP(D434,단가!B:D,3,0)</f>
        <v>10500</v>
      </c>
      <c r="H434" s="48">
        <f t="shared" si="26"/>
        <v>52500</v>
      </c>
      <c r="I434" s="48">
        <f t="shared" si="28"/>
        <v>5250</v>
      </c>
      <c r="J434" s="49">
        <f t="shared" si="27"/>
        <v>57750</v>
      </c>
    </row>
    <row r="435" spans="1:10" ht="19" customHeight="1">
      <c r="A435" s="62" t="s">
        <v>671</v>
      </c>
      <c r="C435" s="47" t="s">
        <v>217</v>
      </c>
      <c r="D435" s="47" t="s">
        <v>150</v>
      </c>
      <c r="E435" s="47" t="s">
        <v>590</v>
      </c>
      <c r="F435" s="48">
        <v>5</v>
      </c>
      <c r="G435" s="48">
        <f>VLOOKUP(D435,단가!B:D,3,0)</f>
        <v>10500</v>
      </c>
      <c r="H435" s="48">
        <f t="shared" si="26"/>
        <v>52500</v>
      </c>
      <c r="I435" s="48">
        <f t="shared" si="28"/>
        <v>5250</v>
      </c>
      <c r="J435" s="49">
        <f t="shared" si="27"/>
        <v>57750</v>
      </c>
    </row>
    <row r="436" spans="1:10" ht="19" customHeight="1">
      <c r="A436" s="62" t="s">
        <v>671</v>
      </c>
      <c r="C436" s="47" t="s">
        <v>217</v>
      </c>
      <c r="D436" s="47" t="s">
        <v>149</v>
      </c>
      <c r="E436" s="47" t="s">
        <v>590</v>
      </c>
      <c r="F436" s="48">
        <v>5</v>
      </c>
      <c r="G436" s="48">
        <f>VLOOKUP(D436,단가!B:D,3,0)</f>
        <v>10500</v>
      </c>
      <c r="H436" s="48">
        <f t="shared" si="26"/>
        <v>52500</v>
      </c>
      <c r="I436" s="48">
        <f t="shared" si="28"/>
        <v>5250</v>
      </c>
      <c r="J436" s="49">
        <f t="shared" si="27"/>
        <v>57750</v>
      </c>
    </row>
    <row r="437" spans="1:10" ht="19" customHeight="1">
      <c r="A437" s="62" t="s">
        <v>671</v>
      </c>
      <c r="C437" s="47" t="s">
        <v>217</v>
      </c>
      <c r="D437" s="47" t="s">
        <v>148</v>
      </c>
      <c r="E437" s="47" t="s">
        <v>590</v>
      </c>
      <c r="F437" s="48">
        <v>5</v>
      </c>
      <c r="G437" s="48">
        <f>VLOOKUP(D437,단가!B:D,3,0)</f>
        <v>10500</v>
      </c>
      <c r="H437" s="48">
        <f t="shared" si="26"/>
        <v>52500</v>
      </c>
      <c r="I437" s="48">
        <f t="shared" si="28"/>
        <v>5250</v>
      </c>
      <c r="J437" s="49">
        <f t="shared" si="27"/>
        <v>57750</v>
      </c>
    </row>
    <row r="438" spans="1:10" ht="19" customHeight="1">
      <c r="A438" s="62" t="s">
        <v>671</v>
      </c>
      <c r="C438" s="47" t="s">
        <v>217</v>
      </c>
      <c r="D438" s="47" t="s">
        <v>146</v>
      </c>
      <c r="E438" s="47" t="s">
        <v>590</v>
      </c>
      <c r="F438" s="48">
        <v>5</v>
      </c>
      <c r="G438" s="48">
        <f>VLOOKUP(D438,단가!B:D,3,0)</f>
        <v>10500</v>
      </c>
      <c r="H438" s="48">
        <f t="shared" si="26"/>
        <v>52500</v>
      </c>
      <c r="I438" s="48">
        <f t="shared" si="28"/>
        <v>5250</v>
      </c>
      <c r="J438" s="49">
        <f t="shared" si="27"/>
        <v>57750</v>
      </c>
    </row>
    <row r="439" spans="1:10" ht="19" customHeight="1">
      <c r="A439" s="62" t="s">
        <v>671</v>
      </c>
      <c r="C439" s="47" t="s">
        <v>217</v>
      </c>
      <c r="D439" s="47" t="s">
        <v>147</v>
      </c>
      <c r="E439" s="47" t="s">
        <v>590</v>
      </c>
      <c r="F439" s="48">
        <v>5</v>
      </c>
      <c r="G439" s="48">
        <f>VLOOKUP(D439,단가!B:D,3,0)</f>
        <v>10500</v>
      </c>
      <c r="H439" s="48">
        <f t="shared" si="26"/>
        <v>52500</v>
      </c>
      <c r="I439" s="48">
        <f t="shared" si="28"/>
        <v>5250</v>
      </c>
      <c r="J439" s="49">
        <f t="shared" si="27"/>
        <v>57750</v>
      </c>
    </row>
    <row r="440" spans="1:10" ht="19" customHeight="1">
      <c r="A440" s="62" t="s">
        <v>672</v>
      </c>
      <c r="C440" s="47" t="s">
        <v>316</v>
      </c>
      <c r="D440" s="47" t="s">
        <v>405</v>
      </c>
      <c r="F440" s="48">
        <v>1</v>
      </c>
      <c r="G440" s="48">
        <f>VLOOKUP(D440,단가!B:D,3,0)</f>
        <v>30000</v>
      </c>
      <c r="H440" s="48">
        <f t="shared" si="26"/>
        <v>30000</v>
      </c>
      <c r="I440" s="48">
        <f t="shared" si="28"/>
        <v>3000</v>
      </c>
      <c r="J440" s="49">
        <f t="shared" si="27"/>
        <v>33000</v>
      </c>
    </row>
    <row r="441" spans="1:10" ht="19" customHeight="1">
      <c r="A441" s="62" t="s">
        <v>672</v>
      </c>
      <c r="C441" s="47" t="s">
        <v>394</v>
      </c>
      <c r="D441" s="47" t="s">
        <v>405</v>
      </c>
      <c r="F441" s="48">
        <v>1</v>
      </c>
      <c r="G441" s="48">
        <f>VLOOKUP(D441,단가!B:D,3,0)</f>
        <v>30000</v>
      </c>
      <c r="H441" s="48">
        <f t="shared" ref="H441:H504" si="29">F441*G441</f>
        <v>30000</v>
      </c>
      <c r="I441" s="48">
        <f t="shared" si="28"/>
        <v>3000</v>
      </c>
      <c r="J441" s="49">
        <f t="shared" si="27"/>
        <v>33000</v>
      </c>
    </row>
    <row r="442" spans="1:10" ht="19" customHeight="1">
      <c r="A442" s="62" t="s">
        <v>672</v>
      </c>
      <c r="C442" s="47" t="s">
        <v>434</v>
      </c>
      <c r="D442" s="47" t="s">
        <v>405</v>
      </c>
      <c r="F442" s="48">
        <v>1</v>
      </c>
      <c r="G442" s="48">
        <f>VLOOKUP(D442,단가!B:D,3,0)</f>
        <v>30000</v>
      </c>
      <c r="H442" s="48">
        <f t="shared" si="29"/>
        <v>30000</v>
      </c>
      <c r="I442" s="48">
        <f t="shared" si="28"/>
        <v>3000</v>
      </c>
      <c r="J442" s="49">
        <f t="shared" si="27"/>
        <v>33000</v>
      </c>
    </row>
    <row r="443" spans="1:10" ht="19" customHeight="1">
      <c r="A443" s="62" t="s">
        <v>672</v>
      </c>
      <c r="C443" s="47" t="s">
        <v>467</v>
      </c>
      <c r="D443" s="47" t="s">
        <v>405</v>
      </c>
      <c r="F443" s="48">
        <v>1</v>
      </c>
      <c r="G443" s="48">
        <f>VLOOKUP(D443,단가!B:D,3,0)</f>
        <v>30000</v>
      </c>
      <c r="H443" s="48">
        <f t="shared" si="29"/>
        <v>30000</v>
      </c>
      <c r="I443" s="48">
        <f t="shared" si="28"/>
        <v>3000</v>
      </c>
      <c r="J443" s="49">
        <f t="shared" si="27"/>
        <v>33000</v>
      </c>
    </row>
    <row r="444" spans="1:10" ht="19" customHeight="1">
      <c r="A444" s="62" t="s">
        <v>672</v>
      </c>
      <c r="C444" s="47" t="s">
        <v>480</v>
      </c>
      <c r="D444" s="47" t="s">
        <v>405</v>
      </c>
      <c r="F444" s="48">
        <v>1</v>
      </c>
      <c r="G444" s="48">
        <f>VLOOKUP(D444,단가!B:D,3,0)</f>
        <v>30000</v>
      </c>
      <c r="H444" s="48">
        <f t="shared" si="29"/>
        <v>30000</v>
      </c>
      <c r="I444" s="48">
        <f t="shared" si="28"/>
        <v>3000</v>
      </c>
      <c r="J444" s="49">
        <f t="shared" si="27"/>
        <v>33000</v>
      </c>
    </row>
    <row r="445" spans="1:10" ht="19" customHeight="1">
      <c r="A445" s="62" t="s">
        <v>672</v>
      </c>
      <c r="C445" s="47" t="s">
        <v>483</v>
      </c>
      <c r="D445" s="47" t="s">
        <v>405</v>
      </c>
      <c r="F445" s="48">
        <v>1</v>
      </c>
      <c r="G445" s="48">
        <f>VLOOKUP(D445,단가!B:D,3,0)</f>
        <v>30000</v>
      </c>
      <c r="H445" s="48">
        <f t="shared" si="29"/>
        <v>30000</v>
      </c>
      <c r="I445" s="48">
        <f t="shared" si="28"/>
        <v>3000</v>
      </c>
      <c r="J445" s="49">
        <f t="shared" si="27"/>
        <v>33000</v>
      </c>
    </row>
    <row r="446" spans="1:10" ht="19" customHeight="1">
      <c r="A446" s="62" t="s">
        <v>672</v>
      </c>
      <c r="C446" s="47" t="s">
        <v>486</v>
      </c>
      <c r="D446" s="47" t="s">
        <v>405</v>
      </c>
      <c r="F446" s="48">
        <v>1</v>
      </c>
      <c r="G446" s="48">
        <f>VLOOKUP(D446,단가!B:D,3,0)</f>
        <v>30000</v>
      </c>
      <c r="H446" s="48">
        <f t="shared" si="29"/>
        <v>30000</v>
      </c>
      <c r="I446" s="48">
        <f t="shared" si="28"/>
        <v>3000</v>
      </c>
      <c r="J446" s="49">
        <f t="shared" si="27"/>
        <v>33000</v>
      </c>
    </row>
    <row r="447" spans="1:10" ht="19" customHeight="1">
      <c r="A447" s="62" t="s">
        <v>672</v>
      </c>
      <c r="C447" s="47" t="s">
        <v>501</v>
      </c>
      <c r="D447" s="47" t="s">
        <v>405</v>
      </c>
      <c r="F447" s="48">
        <v>1</v>
      </c>
      <c r="G447" s="48">
        <f>VLOOKUP(D447,단가!B:D,3,0)</f>
        <v>30000</v>
      </c>
      <c r="H447" s="48">
        <f t="shared" si="29"/>
        <v>30000</v>
      </c>
      <c r="I447" s="48">
        <f t="shared" si="28"/>
        <v>3000</v>
      </c>
      <c r="J447" s="49">
        <f t="shared" si="27"/>
        <v>33000</v>
      </c>
    </row>
    <row r="448" spans="1:10" ht="19" customHeight="1">
      <c r="A448" s="62" t="s">
        <v>672</v>
      </c>
      <c r="C448" s="47" t="s">
        <v>505</v>
      </c>
      <c r="D448" s="47" t="s">
        <v>405</v>
      </c>
      <c r="F448" s="48">
        <v>1</v>
      </c>
      <c r="G448" s="48">
        <f>VLOOKUP(D448,단가!B:D,3,0)</f>
        <v>30000</v>
      </c>
      <c r="H448" s="48">
        <f t="shared" si="29"/>
        <v>30000</v>
      </c>
      <c r="I448" s="48">
        <f t="shared" si="28"/>
        <v>3000</v>
      </c>
      <c r="J448" s="49">
        <f t="shared" si="27"/>
        <v>33000</v>
      </c>
    </row>
    <row r="449" spans="1:13" ht="19" customHeight="1">
      <c r="A449" s="62" t="s">
        <v>672</v>
      </c>
      <c r="C449" s="47" t="s">
        <v>508</v>
      </c>
      <c r="D449" s="47" t="s">
        <v>405</v>
      </c>
      <c r="F449" s="48">
        <v>1</v>
      </c>
      <c r="G449" s="48">
        <f>VLOOKUP(D449,단가!B:D,3,0)</f>
        <v>30000</v>
      </c>
      <c r="H449" s="48">
        <f t="shared" si="29"/>
        <v>30000</v>
      </c>
      <c r="I449" s="48">
        <f t="shared" si="28"/>
        <v>3000</v>
      </c>
      <c r="J449" s="49">
        <f t="shared" si="27"/>
        <v>33000</v>
      </c>
      <c r="L449" s="56"/>
    </row>
    <row r="450" spans="1:13" ht="19" customHeight="1">
      <c r="A450" s="62" t="s">
        <v>672</v>
      </c>
      <c r="C450" s="47" t="s">
        <v>217</v>
      </c>
      <c r="D450" s="47" t="s">
        <v>673</v>
      </c>
      <c r="E450" s="47" t="s">
        <v>57</v>
      </c>
      <c r="F450" s="48">
        <v>1</v>
      </c>
      <c r="G450" s="48">
        <f>VLOOKUP(D450,단가!B:D,3,0)</f>
        <v>22000</v>
      </c>
      <c r="H450" s="48">
        <f t="shared" si="29"/>
        <v>22000</v>
      </c>
      <c r="I450" s="48">
        <f t="shared" si="28"/>
        <v>2200</v>
      </c>
      <c r="J450" s="49">
        <f t="shared" si="27"/>
        <v>24200</v>
      </c>
    </row>
    <row r="451" spans="1:13" ht="19" customHeight="1">
      <c r="A451" s="62" t="s">
        <v>672</v>
      </c>
      <c r="C451" s="47" t="s">
        <v>217</v>
      </c>
      <c r="D451" s="47" t="s">
        <v>148</v>
      </c>
      <c r="E451" s="47" t="s">
        <v>590</v>
      </c>
      <c r="F451" s="48">
        <v>10</v>
      </c>
      <c r="G451" s="48">
        <f>VLOOKUP(D451,단가!B:D,3,0)</f>
        <v>10500</v>
      </c>
      <c r="H451" s="48">
        <f t="shared" si="29"/>
        <v>105000</v>
      </c>
      <c r="I451" s="48">
        <f t="shared" si="28"/>
        <v>10500</v>
      </c>
      <c r="J451" s="49">
        <f t="shared" si="27"/>
        <v>115500</v>
      </c>
    </row>
    <row r="452" spans="1:13" ht="18.5" customHeight="1">
      <c r="A452" s="62" t="s">
        <v>674</v>
      </c>
      <c r="C452" s="47" t="s">
        <v>217</v>
      </c>
      <c r="D452" s="47" t="s">
        <v>675</v>
      </c>
      <c r="E452" s="47" t="s">
        <v>57</v>
      </c>
      <c r="F452" s="48">
        <v>15</v>
      </c>
      <c r="G452" s="48">
        <f>VLOOKUP(D452,단가!B:D,3,0)</f>
        <v>25000</v>
      </c>
      <c r="H452" s="48">
        <f t="shared" si="29"/>
        <v>375000</v>
      </c>
      <c r="I452" s="48">
        <f t="shared" si="28"/>
        <v>37500</v>
      </c>
      <c r="J452" s="49">
        <f t="shared" si="27"/>
        <v>412500</v>
      </c>
    </row>
    <row r="453" spans="1:13" ht="19" customHeight="1">
      <c r="A453" s="62" t="s">
        <v>676</v>
      </c>
      <c r="C453" s="47" t="s">
        <v>556</v>
      </c>
      <c r="D453" s="47" t="s">
        <v>627</v>
      </c>
      <c r="E453" s="47" t="s">
        <v>57</v>
      </c>
      <c r="F453" s="48">
        <v>10</v>
      </c>
      <c r="G453" s="48">
        <f>VLOOKUP(D453,단가!B:D,3,0)</f>
        <v>25000</v>
      </c>
      <c r="H453" s="48">
        <f t="shared" si="29"/>
        <v>250000</v>
      </c>
      <c r="I453" s="48">
        <f t="shared" si="28"/>
        <v>25000</v>
      </c>
      <c r="J453" s="49">
        <f t="shared" si="27"/>
        <v>275000</v>
      </c>
    </row>
    <row r="454" spans="1:13" ht="19" customHeight="1">
      <c r="A454" s="62" t="s">
        <v>676</v>
      </c>
      <c r="C454" s="47" t="s">
        <v>556</v>
      </c>
      <c r="D454" s="47" t="s">
        <v>646</v>
      </c>
      <c r="E454" s="47" t="s">
        <v>677</v>
      </c>
      <c r="F454" s="48">
        <v>2</v>
      </c>
      <c r="G454" s="48">
        <f>VLOOKUP(D454,단가!B:D,3,0)</f>
        <v>10500</v>
      </c>
      <c r="H454" s="48">
        <f t="shared" si="29"/>
        <v>21000</v>
      </c>
      <c r="I454" s="48">
        <f t="shared" si="28"/>
        <v>2100</v>
      </c>
      <c r="J454" s="49">
        <f t="shared" si="27"/>
        <v>23100</v>
      </c>
    </row>
    <row r="455" spans="1:13" ht="19" customHeight="1">
      <c r="A455" s="62" t="s">
        <v>676</v>
      </c>
      <c r="C455" s="47" t="s">
        <v>556</v>
      </c>
      <c r="D455" s="47" t="s">
        <v>647</v>
      </c>
      <c r="E455" s="47" t="s">
        <v>677</v>
      </c>
      <c r="F455" s="48">
        <v>3</v>
      </c>
      <c r="G455" s="48">
        <f>VLOOKUP(D455,단가!B:D,3,0)</f>
        <v>14000</v>
      </c>
      <c r="H455" s="48">
        <f t="shared" si="29"/>
        <v>42000</v>
      </c>
      <c r="I455" s="48">
        <f t="shared" si="28"/>
        <v>4200</v>
      </c>
      <c r="J455" s="49">
        <f t="shared" si="27"/>
        <v>46200</v>
      </c>
      <c r="L455" s="56"/>
      <c r="M455" s="54"/>
    </row>
    <row r="456" spans="1:13" ht="19" customHeight="1">
      <c r="A456" s="62" t="s">
        <v>678</v>
      </c>
      <c r="C456" s="47" t="s">
        <v>375</v>
      </c>
      <c r="D456" s="47" t="s">
        <v>405</v>
      </c>
      <c r="F456" s="48">
        <v>1</v>
      </c>
      <c r="G456" s="48">
        <f>VLOOKUP(D456,단가!B:D,3,0)</f>
        <v>30000</v>
      </c>
      <c r="H456" s="48">
        <f t="shared" si="29"/>
        <v>30000</v>
      </c>
      <c r="I456" s="48">
        <f t="shared" si="28"/>
        <v>3000</v>
      </c>
      <c r="J456" s="49">
        <f t="shared" si="27"/>
        <v>33000</v>
      </c>
    </row>
    <row r="457" spans="1:13" ht="19" customHeight="1">
      <c r="A457" s="62" t="s">
        <v>678</v>
      </c>
      <c r="C457" s="47" t="s">
        <v>217</v>
      </c>
      <c r="D457" s="47" t="s">
        <v>627</v>
      </c>
      <c r="E457" s="47" t="s">
        <v>57</v>
      </c>
      <c r="F457" s="48">
        <v>3</v>
      </c>
      <c r="G457" s="48">
        <f>VLOOKUP(D457,단가!B:D,3,0)</f>
        <v>25000</v>
      </c>
      <c r="H457" s="48">
        <f t="shared" si="29"/>
        <v>75000</v>
      </c>
      <c r="I457" s="48">
        <f t="shared" si="28"/>
        <v>7500</v>
      </c>
      <c r="J457" s="49">
        <f t="shared" si="27"/>
        <v>82500</v>
      </c>
    </row>
    <row r="458" spans="1:13" ht="19" customHeight="1">
      <c r="A458" s="62" t="s">
        <v>678</v>
      </c>
      <c r="C458" s="47" t="s">
        <v>217</v>
      </c>
      <c r="D458" s="47" t="s">
        <v>153</v>
      </c>
      <c r="E458" s="47" t="s">
        <v>590</v>
      </c>
      <c r="F458" s="48">
        <v>5</v>
      </c>
      <c r="G458" s="48">
        <f>VLOOKUP(D458,단가!B:D,3,0)</f>
        <v>10500</v>
      </c>
      <c r="H458" s="48">
        <f t="shared" si="29"/>
        <v>52500</v>
      </c>
      <c r="I458" s="48">
        <f t="shared" si="28"/>
        <v>5250</v>
      </c>
      <c r="J458" s="49">
        <f t="shared" si="27"/>
        <v>57750</v>
      </c>
    </row>
    <row r="459" spans="1:13" ht="19" customHeight="1">
      <c r="A459" s="62" t="s">
        <v>678</v>
      </c>
      <c r="C459" s="47" t="s">
        <v>217</v>
      </c>
      <c r="D459" s="47" t="s">
        <v>152</v>
      </c>
      <c r="E459" s="47" t="s">
        <v>590</v>
      </c>
      <c r="F459" s="48">
        <v>5</v>
      </c>
      <c r="G459" s="48">
        <f>VLOOKUP(D459,단가!B:D,3,0)</f>
        <v>10500</v>
      </c>
      <c r="H459" s="48">
        <f t="shared" si="29"/>
        <v>52500</v>
      </c>
      <c r="I459" s="48">
        <f t="shared" si="28"/>
        <v>5250</v>
      </c>
      <c r="J459" s="49">
        <f t="shared" si="27"/>
        <v>57750</v>
      </c>
    </row>
    <row r="460" spans="1:13" ht="19" customHeight="1">
      <c r="A460" s="62" t="s">
        <v>678</v>
      </c>
      <c r="C460" s="47" t="s">
        <v>217</v>
      </c>
      <c r="D460" s="47" t="s">
        <v>149</v>
      </c>
      <c r="E460" s="47" t="s">
        <v>590</v>
      </c>
      <c r="F460" s="48">
        <v>5</v>
      </c>
      <c r="G460" s="48">
        <f>VLOOKUP(D460,단가!B:D,3,0)</f>
        <v>10500</v>
      </c>
      <c r="H460" s="48">
        <f t="shared" si="29"/>
        <v>52500</v>
      </c>
      <c r="I460" s="48">
        <f t="shared" si="28"/>
        <v>5250</v>
      </c>
      <c r="J460" s="49">
        <f t="shared" si="27"/>
        <v>57750</v>
      </c>
    </row>
    <row r="461" spans="1:13" ht="19" customHeight="1">
      <c r="A461" s="62" t="s">
        <v>678</v>
      </c>
      <c r="C461" s="47" t="s">
        <v>217</v>
      </c>
      <c r="D461" s="47" t="s">
        <v>146</v>
      </c>
      <c r="E461" s="47" t="s">
        <v>590</v>
      </c>
      <c r="F461" s="48">
        <v>5</v>
      </c>
      <c r="G461" s="48">
        <f>VLOOKUP(D461,단가!B:D,3,0)</f>
        <v>10500</v>
      </c>
      <c r="H461" s="48">
        <f t="shared" si="29"/>
        <v>52500</v>
      </c>
      <c r="I461" s="48">
        <f t="shared" si="28"/>
        <v>5250</v>
      </c>
      <c r="J461" s="49">
        <f t="shared" si="27"/>
        <v>57750</v>
      </c>
    </row>
    <row r="462" spans="1:13" ht="19" customHeight="1">
      <c r="A462" s="62" t="s">
        <v>678</v>
      </c>
      <c r="C462" s="47" t="s">
        <v>217</v>
      </c>
      <c r="D462" s="47" t="s">
        <v>147</v>
      </c>
      <c r="E462" s="47" t="s">
        <v>590</v>
      </c>
      <c r="F462" s="48">
        <v>5</v>
      </c>
      <c r="G462" s="48">
        <f>VLOOKUP(D462,단가!B:D,3,0)</f>
        <v>10500</v>
      </c>
      <c r="H462" s="48">
        <f t="shared" si="29"/>
        <v>52500</v>
      </c>
      <c r="I462" s="48">
        <f t="shared" si="28"/>
        <v>5250</v>
      </c>
      <c r="J462" s="49">
        <f t="shared" si="27"/>
        <v>57750</v>
      </c>
    </row>
    <row r="463" spans="1:13" ht="19" customHeight="1">
      <c r="A463" s="62" t="s">
        <v>679</v>
      </c>
      <c r="C463" s="47" t="s">
        <v>217</v>
      </c>
      <c r="D463" s="47" t="s">
        <v>627</v>
      </c>
      <c r="E463" s="47" t="s">
        <v>57</v>
      </c>
      <c r="F463" s="48">
        <v>10</v>
      </c>
      <c r="G463" s="48">
        <f>VLOOKUP(D463,단가!B:D,3,0)</f>
        <v>25000</v>
      </c>
      <c r="H463" s="48">
        <f t="shared" si="29"/>
        <v>250000</v>
      </c>
      <c r="I463" s="48">
        <f t="shared" si="28"/>
        <v>25000</v>
      </c>
      <c r="J463" s="49">
        <f t="shared" si="27"/>
        <v>275000</v>
      </c>
    </row>
    <row r="464" spans="1:13" ht="19" customHeight="1">
      <c r="A464" s="62" t="s">
        <v>679</v>
      </c>
      <c r="C464" s="47" t="s">
        <v>313</v>
      </c>
      <c r="D464" s="47" t="s">
        <v>302</v>
      </c>
      <c r="E464" s="47" t="s">
        <v>57</v>
      </c>
      <c r="F464" s="48">
        <v>10</v>
      </c>
      <c r="G464" s="48">
        <f>VLOOKUP(D464,단가!B:D,3,0)</f>
        <v>22000</v>
      </c>
      <c r="H464" s="48">
        <f t="shared" si="29"/>
        <v>220000</v>
      </c>
      <c r="I464" s="48">
        <f t="shared" si="28"/>
        <v>22000</v>
      </c>
      <c r="J464" s="49">
        <f t="shared" si="27"/>
        <v>242000</v>
      </c>
    </row>
    <row r="465" spans="1:12" ht="19" customHeight="1">
      <c r="A465" s="62" t="s">
        <v>680</v>
      </c>
      <c r="C465" s="47" t="s">
        <v>217</v>
      </c>
      <c r="D465" s="47" t="s">
        <v>302</v>
      </c>
      <c r="E465" s="47" t="s">
        <v>57</v>
      </c>
      <c r="F465" s="48">
        <v>1</v>
      </c>
      <c r="G465" s="48">
        <f>VLOOKUP(D465,단가!B:D,3,0)</f>
        <v>22000</v>
      </c>
      <c r="H465" s="48">
        <f t="shared" si="29"/>
        <v>22000</v>
      </c>
      <c r="I465" s="48">
        <f t="shared" si="28"/>
        <v>2200</v>
      </c>
      <c r="J465" s="49">
        <f t="shared" si="27"/>
        <v>24200</v>
      </c>
    </row>
    <row r="466" spans="1:12" ht="19" customHeight="1">
      <c r="A466" s="62" t="s">
        <v>680</v>
      </c>
      <c r="C466" s="47" t="s">
        <v>217</v>
      </c>
      <c r="D466" s="47" t="s">
        <v>627</v>
      </c>
      <c r="E466" s="47" t="s">
        <v>57</v>
      </c>
      <c r="F466" s="48">
        <v>4</v>
      </c>
      <c r="G466" s="48">
        <f>VLOOKUP(D466,단가!B:D,3,0)</f>
        <v>25000</v>
      </c>
      <c r="H466" s="48">
        <f t="shared" si="29"/>
        <v>100000</v>
      </c>
      <c r="I466" s="48">
        <f t="shared" si="28"/>
        <v>10000</v>
      </c>
      <c r="J466" s="49">
        <f t="shared" si="27"/>
        <v>110000</v>
      </c>
    </row>
    <row r="467" spans="1:12" ht="19" customHeight="1">
      <c r="A467" s="62" t="s">
        <v>680</v>
      </c>
      <c r="C467" s="47" t="s">
        <v>217</v>
      </c>
      <c r="D467" s="47" t="s">
        <v>153</v>
      </c>
      <c r="E467" s="47" t="s">
        <v>590</v>
      </c>
      <c r="F467" s="48">
        <v>5</v>
      </c>
      <c r="G467" s="48">
        <f>VLOOKUP(D467,단가!B:D,3,0)</f>
        <v>10500</v>
      </c>
      <c r="H467" s="48">
        <f t="shared" si="29"/>
        <v>52500</v>
      </c>
      <c r="I467" s="48">
        <f t="shared" si="28"/>
        <v>5250</v>
      </c>
      <c r="J467" s="49">
        <f t="shared" si="27"/>
        <v>57750</v>
      </c>
    </row>
    <row r="468" spans="1:12" ht="19" customHeight="1">
      <c r="A468" s="62" t="s">
        <v>680</v>
      </c>
      <c r="C468" s="47" t="s">
        <v>217</v>
      </c>
      <c r="D468" s="47" t="s">
        <v>154</v>
      </c>
      <c r="E468" s="47" t="s">
        <v>590</v>
      </c>
      <c r="F468" s="48">
        <v>5</v>
      </c>
      <c r="G468" s="48">
        <f>VLOOKUP(D468,단가!B:D,3,0)</f>
        <v>10500</v>
      </c>
      <c r="H468" s="48">
        <f t="shared" si="29"/>
        <v>52500</v>
      </c>
      <c r="I468" s="48">
        <f t="shared" si="28"/>
        <v>5250</v>
      </c>
      <c r="J468" s="49">
        <f t="shared" si="27"/>
        <v>57750</v>
      </c>
    </row>
    <row r="469" spans="1:12" ht="19" customHeight="1">
      <c r="A469" s="62" t="s">
        <v>680</v>
      </c>
      <c r="C469" s="47" t="s">
        <v>217</v>
      </c>
      <c r="D469" s="47" t="s">
        <v>152</v>
      </c>
      <c r="E469" s="47" t="s">
        <v>590</v>
      </c>
      <c r="F469" s="48">
        <v>5</v>
      </c>
      <c r="G469" s="48">
        <f>VLOOKUP(D469,단가!B:D,3,0)</f>
        <v>10500</v>
      </c>
      <c r="H469" s="48">
        <f t="shared" si="29"/>
        <v>52500</v>
      </c>
      <c r="I469" s="48">
        <f t="shared" si="28"/>
        <v>5250</v>
      </c>
      <c r="J469" s="49">
        <f t="shared" si="27"/>
        <v>57750</v>
      </c>
    </row>
    <row r="470" spans="1:12" ht="19" customHeight="1">
      <c r="A470" s="62" t="s">
        <v>680</v>
      </c>
      <c r="C470" s="47" t="s">
        <v>217</v>
      </c>
      <c r="D470" s="47" t="s">
        <v>151</v>
      </c>
      <c r="E470" s="47" t="s">
        <v>590</v>
      </c>
      <c r="F470" s="48">
        <v>5</v>
      </c>
      <c r="G470" s="48">
        <f>VLOOKUP(D470,단가!B:D,3,0)</f>
        <v>10500</v>
      </c>
      <c r="H470" s="48">
        <f t="shared" si="29"/>
        <v>52500</v>
      </c>
      <c r="I470" s="48">
        <f t="shared" si="28"/>
        <v>5250</v>
      </c>
      <c r="J470" s="49">
        <f t="shared" si="27"/>
        <v>57750</v>
      </c>
      <c r="K470" s="49"/>
    </row>
    <row r="471" spans="1:12" ht="19" customHeight="1">
      <c r="A471" s="62" t="s">
        <v>680</v>
      </c>
      <c r="C471" s="47" t="s">
        <v>217</v>
      </c>
      <c r="D471" s="47" t="s">
        <v>149</v>
      </c>
      <c r="E471" s="47" t="s">
        <v>590</v>
      </c>
      <c r="F471" s="48">
        <v>5</v>
      </c>
      <c r="G471" s="48">
        <f>VLOOKUP(D471,단가!B:D,3,0)</f>
        <v>10500</v>
      </c>
      <c r="H471" s="48">
        <f t="shared" si="29"/>
        <v>52500</v>
      </c>
      <c r="I471" s="48">
        <f t="shared" si="28"/>
        <v>5250</v>
      </c>
      <c r="J471" s="49">
        <f t="shared" si="27"/>
        <v>57750</v>
      </c>
    </row>
    <row r="472" spans="1:12" ht="19" customHeight="1">
      <c r="A472" s="62" t="s">
        <v>680</v>
      </c>
      <c r="C472" s="47" t="s">
        <v>217</v>
      </c>
      <c r="D472" s="47" t="s">
        <v>150</v>
      </c>
      <c r="E472" s="47" t="s">
        <v>590</v>
      </c>
      <c r="F472" s="48">
        <v>5</v>
      </c>
      <c r="G472" s="48">
        <f>VLOOKUP(D472,단가!B:D,3,0)</f>
        <v>10500</v>
      </c>
      <c r="H472" s="48">
        <f t="shared" si="29"/>
        <v>52500</v>
      </c>
      <c r="I472" s="48">
        <f t="shared" si="28"/>
        <v>5250</v>
      </c>
      <c r="J472" s="49">
        <f t="shared" si="27"/>
        <v>57750</v>
      </c>
    </row>
    <row r="473" spans="1:12" ht="19" customHeight="1">
      <c r="A473" s="62" t="s">
        <v>680</v>
      </c>
      <c r="C473" s="47" t="s">
        <v>217</v>
      </c>
      <c r="D473" s="47" t="s">
        <v>148</v>
      </c>
      <c r="E473" s="47" t="s">
        <v>590</v>
      </c>
      <c r="F473" s="48">
        <v>5</v>
      </c>
      <c r="G473" s="48">
        <f>VLOOKUP(D473,단가!B:D,3,0)</f>
        <v>10500</v>
      </c>
      <c r="H473" s="48">
        <f t="shared" si="29"/>
        <v>52500</v>
      </c>
      <c r="I473" s="48">
        <f t="shared" si="28"/>
        <v>5250</v>
      </c>
      <c r="J473" s="49">
        <f t="shared" si="27"/>
        <v>57750</v>
      </c>
    </row>
    <row r="474" spans="1:12" ht="19" customHeight="1">
      <c r="A474" s="62" t="s">
        <v>680</v>
      </c>
      <c r="C474" s="47" t="s">
        <v>217</v>
      </c>
      <c r="D474" s="47" t="s">
        <v>146</v>
      </c>
      <c r="E474" s="47" t="s">
        <v>590</v>
      </c>
      <c r="F474" s="48">
        <v>5</v>
      </c>
      <c r="G474" s="48">
        <f>VLOOKUP(D474,단가!B:D,3,0)</f>
        <v>10500</v>
      </c>
      <c r="H474" s="48">
        <f t="shared" si="29"/>
        <v>52500</v>
      </c>
      <c r="I474" s="48">
        <f t="shared" si="28"/>
        <v>5250</v>
      </c>
      <c r="J474" s="49">
        <f t="shared" si="27"/>
        <v>57750</v>
      </c>
    </row>
    <row r="475" spans="1:12" ht="19" customHeight="1">
      <c r="A475" s="62" t="s">
        <v>680</v>
      </c>
      <c r="C475" s="47" t="s">
        <v>217</v>
      </c>
      <c r="D475" s="47" t="s">
        <v>147</v>
      </c>
      <c r="E475" s="47" t="s">
        <v>590</v>
      </c>
      <c r="F475" s="48">
        <v>5</v>
      </c>
      <c r="G475" s="48">
        <f>VLOOKUP(D475,단가!B:D,3,0)</f>
        <v>10500</v>
      </c>
      <c r="H475" s="48">
        <f t="shared" si="29"/>
        <v>52500</v>
      </c>
      <c r="I475" s="48">
        <f t="shared" si="28"/>
        <v>5250</v>
      </c>
      <c r="J475" s="49">
        <f t="shared" si="27"/>
        <v>57750</v>
      </c>
    </row>
    <row r="476" spans="1:12" ht="19" customHeight="1">
      <c r="A476" s="62" t="s">
        <v>680</v>
      </c>
      <c r="C476" s="47" t="s">
        <v>217</v>
      </c>
      <c r="D476" s="47" t="s">
        <v>649</v>
      </c>
      <c r="E476" s="47" t="s">
        <v>92</v>
      </c>
      <c r="F476" s="48">
        <v>10</v>
      </c>
      <c r="G476" s="48">
        <f>VLOOKUP(D476,단가!B:D,3,0)</f>
        <v>14000</v>
      </c>
      <c r="H476" s="48">
        <f t="shared" si="29"/>
        <v>140000</v>
      </c>
      <c r="I476" s="48">
        <f t="shared" si="28"/>
        <v>14000</v>
      </c>
      <c r="J476" s="49">
        <f t="shared" si="27"/>
        <v>154000</v>
      </c>
    </row>
    <row r="477" spans="1:12" ht="19" customHeight="1">
      <c r="A477" s="62" t="s">
        <v>686</v>
      </c>
      <c r="C477" s="47" t="s">
        <v>687</v>
      </c>
      <c r="D477" s="47" t="s">
        <v>627</v>
      </c>
      <c r="E477" s="47" t="s">
        <v>57</v>
      </c>
      <c r="F477" s="48">
        <v>5</v>
      </c>
      <c r="G477" s="48">
        <f>VLOOKUP(D477,단가!B:D,3,0)</f>
        <v>25000</v>
      </c>
      <c r="H477" s="48">
        <f t="shared" si="29"/>
        <v>125000</v>
      </c>
      <c r="J477" s="49">
        <f t="shared" si="27"/>
        <v>125000</v>
      </c>
      <c r="L477" s="56"/>
    </row>
    <row r="478" spans="1:12" ht="19" customHeight="1">
      <c r="A478" s="62" t="s">
        <v>691</v>
      </c>
      <c r="C478" s="47" t="s">
        <v>692</v>
      </c>
      <c r="D478" s="47" t="s">
        <v>688</v>
      </c>
      <c r="E478" s="47" t="s">
        <v>57</v>
      </c>
      <c r="F478" s="48">
        <v>10</v>
      </c>
      <c r="G478" s="48">
        <f>VLOOKUP(D478,단가!B:D,3,0)</f>
        <v>26000</v>
      </c>
      <c r="H478" s="48">
        <f t="shared" si="29"/>
        <v>260000</v>
      </c>
      <c r="I478" s="48">
        <f t="shared" si="28"/>
        <v>26000</v>
      </c>
      <c r="J478" s="49">
        <f t="shared" si="27"/>
        <v>286000</v>
      </c>
    </row>
    <row r="479" spans="1:12" ht="19" customHeight="1">
      <c r="A479" s="62" t="s">
        <v>691</v>
      </c>
      <c r="C479" s="47" t="s">
        <v>692</v>
      </c>
      <c r="D479" s="47" t="s">
        <v>689</v>
      </c>
      <c r="E479" s="47" t="s">
        <v>131</v>
      </c>
      <c r="F479" s="48">
        <v>1</v>
      </c>
      <c r="G479" s="48">
        <f>VLOOKUP(D479,단가!B:D,3,0)</f>
        <v>11500</v>
      </c>
      <c r="H479" s="48">
        <f t="shared" si="29"/>
        <v>11500</v>
      </c>
      <c r="I479" s="48">
        <f t="shared" si="28"/>
        <v>1150</v>
      </c>
      <c r="J479" s="49">
        <f t="shared" si="27"/>
        <v>12650</v>
      </c>
    </row>
    <row r="480" spans="1:12" ht="19" customHeight="1">
      <c r="A480" s="62" t="s">
        <v>691</v>
      </c>
      <c r="C480" s="47" t="s">
        <v>692</v>
      </c>
      <c r="D480" s="47" t="s">
        <v>690</v>
      </c>
      <c r="E480" s="47" t="s">
        <v>131</v>
      </c>
      <c r="F480" s="48">
        <v>1</v>
      </c>
      <c r="G480" s="48">
        <f>VLOOKUP(D480,단가!B:D,3,0)</f>
        <v>15000</v>
      </c>
      <c r="H480" s="48">
        <f t="shared" si="29"/>
        <v>15000</v>
      </c>
      <c r="I480" s="48">
        <f t="shared" si="28"/>
        <v>1500</v>
      </c>
      <c r="J480" s="49">
        <f t="shared" si="27"/>
        <v>16500</v>
      </c>
    </row>
    <row r="481" spans="1:12" ht="19" customHeight="1">
      <c r="A481" s="62" t="s">
        <v>693</v>
      </c>
      <c r="C481" s="47" t="s">
        <v>217</v>
      </c>
      <c r="D481" s="47" t="s">
        <v>627</v>
      </c>
      <c r="E481" s="47" t="s">
        <v>57</v>
      </c>
      <c r="F481" s="48">
        <v>10</v>
      </c>
      <c r="G481" s="48">
        <f>VLOOKUP(D481,단가!B:D,3,0)</f>
        <v>25000</v>
      </c>
      <c r="H481" s="48">
        <f t="shared" si="29"/>
        <v>250000</v>
      </c>
      <c r="I481" s="48">
        <f t="shared" si="28"/>
        <v>25000</v>
      </c>
      <c r="J481" s="49">
        <f t="shared" si="27"/>
        <v>275000</v>
      </c>
    </row>
    <row r="482" spans="1:12" ht="19" customHeight="1">
      <c r="A482" s="62" t="s">
        <v>694</v>
      </c>
      <c r="C482" s="47" t="s">
        <v>217</v>
      </c>
      <c r="D482" s="47" t="s">
        <v>627</v>
      </c>
      <c r="E482" s="47" t="s">
        <v>57</v>
      </c>
      <c r="F482" s="48">
        <v>1</v>
      </c>
      <c r="G482" s="48">
        <f>VLOOKUP(D482,단가!B:D,3,0)</f>
        <v>25000</v>
      </c>
      <c r="H482" s="48">
        <f t="shared" si="29"/>
        <v>25000</v>
      </c>
      <c r="I482" s="48">
        <f t="shared" si="28"/>
        <v>2500</v>
      </c>
      <c r="J482" s="49">
        <f t="shared" ref="J482:J558" si="30">H482+I482</f>
        <v>27500</v>
      </c>
    </row>
    <row r="483" spans="1:12" ht="19" customHeight="1">
      <c r="A483" s="62" t="s">
        <v>694</v>
      </c>
      <c r="C483" s="47" t="s">
        <v>217</v>
      </c>
      <c r="D483" s="47" t="s">
        <v>152</v>
      </c>
      <c r="E483" s="47" t="s">
        <v>590</v>
      </c>
      <c r="F483" s="48">
        <v>5</v>
      </c>
      <c r="G483" s="48">
        <f>VLOOKUP(D483,단가!B:D,3,0)</f>
        <v>10500</v>
      </c>
      <c r="H483" s="48">
        <f t="shared" si="29"/>
        <v>52500</v>
      </c>
      <c r="I483" s="48">
        <f t="shared" ref="I483:I559" si="31">H483*0.1</f>
        <v>5250</v>
      </c>
      <c r="J483" s="49">
        <f t="shared" si="30"/>
        <v>57750</v>
      </c>
    </row>
    <row r="484" spans="1:12" ht="19" customHeight="1">
      <c r="A484" s="62" t="s">
        <v>694</v>
      </c>
      <c r="C484" s="47" t="s">
        <v>217</v>
      </c>
      <c r="D484" s="47" t="s">
        <v>149</v>
      </c>
      <c r="E484" s="47" t="s">
        <v>590</v>
      </c>
      <c r="F484" s="48">
        <v>5</v>
      </c>
      <c r="G484" s="48">
        <f>VLOOKUP(D484,단가!B:D,3,0)</f>
        <v>10500</v>
      </c>
      <c r="H484" s="48">
        <f t="shared" si="29"/>
        <v>52500</v>
      </c>
      <c r="I484" s="48">
        <f t="shared" si="31"/>
        <v>5250</v>
      </c>
      <c r="J484" s="49">
        <f t="shared" si="30"/>
        <v>57750</v>
      </c>
      <c r="K484" s="49"/>
    </row>
    <row r="485" spans="1:12" ht="19" customHeight="1">
      <c r="A485" s="62" t="s">
        <v>694</v>
      </c>
      <c r="C485" s="47" t="s">
        <v>217</v>
      </c>
      <c r="D485" s="47" t="s">
        <v>148</v>
      </c>
      <c r="E485" s="47" t="s">
        <v>590</v>
      </c>
      <c r="F485" s="48">
        <v>5</v>
      </c>
      <c r="G485" s="48">
        <f>VLOOKUP(D485,단가!B:D,3,0)</f>
        <v>10500</v>
      </c>
      <c r="H485" s="48">
        <f t="shared" si="29"/>
        <v>52500</v>
      </c>
      <c r="I485" s="48">
        <f t="shared" si="31"/>
        <v>5250</v>
      </c>
      <c r="J485" s="49">
        <f t="shared" si="30"/>
        <v>57750</v>
      </c>
    </row>
    <row r="486" spans="1:12" ht="19" customHeight="1">
      <c r="A486" s="62" t="s">
        <v>694</v>
      </c>
      <c r="C486" s="47" t="s">
        <v>217</v>
      </c>
      <c r="D486" s="47" t="s">
        <v>146</v>
      </c>
      <c r="E486" s="47" t="s">
        <v>590</v>
      </c>
      <c r="F486" s="48">
        <v>5</v>
      </c>
      <c r="G486" s="48">
        <f>VLOOKUP(D486,단가!B:D,3,0)</f>
        <v>10500</v>
      </c>
      <c r="H486" s="48">
        <f t="shared" si="29"/>
        <v>52500</v>
      </c>
      <c r="I486" s="48">
        <f t="shared" si="31"/>
        <v>5250</v>
      </c>
      <c r="J486" s="49">
        <f t="shared" si="30"/>
        <v>57750</v>
      </c>
    </row>
    <row r="487" spans="1:12" ht="19" customHeight="1">
      <c r="A487" s="62" t="s">
        <v>694</v>
      </c>
      <c r="C487" s="47" t="s">
        <v>217</v>
      </c>
      <c r="D487" s="47" t="s">
        <v>147</v>
      </c>
      <c r="E487" s="47" t="s">
        <v>590</v>
      </c>
      <c r="F487" s="48">
        <v>5</v>
      </c>
      <c r="G487" s="48">
        <f>VLOOKUP(D487,단가!B:D,3,0)</f>
        <v>10500</v>
      </c>
      <c r="H487" s="48">
        <f t="shared" si="29"/>
        <v>52500</v>
      </c>
      <c r="I487" s="48">
        <f t="shared" si="31"/>
        <v>5250</v>
      </c>
      <c r="J487" s="49">
        <f t="shared" si="30"/>
        <v>57750</v>
      </c>
    </row>
    <row r="488" spans="1:12" ht="19" customHeight="1">
      <c r="A488" s="62" t="s">
        <v>695</v>
      </c>
      <c r="C488" s="47" t="s">
        <v>126</v>
      </c>
      <c r="D488" s="47" t="s">
        <v>688</v>
      </c>
      <c r="E488" s="47" t="s">
        <v>57</v>
      </c>
      <c r="F488" s="48">
        <v>10</v>
      </c>
      <c r="G488" s="48">
        <f>VLOOKUP(D488,단가!B:D,3,0)</f>
        <v>26000</v>
      </c>
      <c r="H488" s="48">
        <f t="shared" si="29"/>
        <v>260000</v>
      </c>
      <c r="I488" s="48">
        <f t="shared" si="31"/>
        <v>26000</v>
      </c>
      <c r="J488" s="49">
        <f t="shared" si="30"/>
        <v>286000</v>
      </c>
    </row>
    <row r="489" spans="1:12" ht="19" customHeight="1">
      <c r="A489" s="62" t="s">
        <v>695</v>
      </c>
      <c r="C489" s="47" t="s">
        <v>126</v>
      </c>
      <c r="D489" s="47" t="s">
        <v>690</v>
      </c>
      <c r="E489" s="47" t="s">
        <v>131</v>
      </c>
      <c r="F489" s="48">
        <v>2</v>
      </c>
      <c r="G489" s="48">
        <f>VLOOKUP(D489,단가!B:D,3,0)</f>
        <v>15000</v>
      </c>
      <c r="H489" s="48">
        <f t="shared" si="29"/>
        <v>30000</v>
      </c>
      <c r="I489" s="48">
        <f t="shared" si="31"/>
        <v>3000</v>
      </c>
      <c r="J489" s="49">
        <f t="shared" si="30"/>
        <v>33000</v>
      </c>
    </row>
    <row r="490" spans="1:12" ht="19" customHeight="1">
      <c r="A490" s="62" t="s">
        <v>695</v>
      </c>
      <c r="C490" s="47" t="s">
        <v>480</v>
      </c>
      <c r="D490" s="47" t="s">
        <v>315</v>
      </c>
      <c r="E490" s="47" t="s">
        <v>57</v>
      </c>
      <c r="F490" s="48">
        <v>3</v>
      </c>
      <c r="G490" s="48">
        <f>VLOOKUP(D490,단가!B:D,3,0)</f>
        <v>32000</v>
      </c>
      <c r="H490" s="48">
        <f t="shared" si="29"/>
        <v>96000</v>
      </c>
      <c r="I490" s="48">
        <f t="shared" si="31"/>
        <v>9600</v>
      </c>
      <c r="J490" s="49">
        <f t="shared" si="30"/>
        <v>105600</v>
      </c>
      <c r="L490" s="56"/>
    </row>
    <row r="491" spans="1:12" ht="19" customHeight="1">
      <c r="A491" s="62" t="s">
        <v>695</v>
      </c>
      <c r="C491" s="47" t="s">
        <v>217</v>
      </c>
      <c r="D491" s="47" t="s">
        <v>627</v>
      </c>
      <c r="E491" s="47" t="s">
        <v>57</v>
      </c>
      <c r="F491" s="48">
        <v>4</v>
      </c>
      <c r="G491" s="48">
        <f>VLOOKUP(D491,단가!B:D,3,0)</f>
        <v>25000</v>
      </c>
      <c r="H491" s="48">
        <f t="shared" si="29"/>
        <v>100000</v>
      </c>
      <c r="I491" s="48">
        <f t="shared" si="31"/>
        <v>10000</v>
      </c>
      <c r="J491" s="49">
        <f t="shared" si="30"/>
        <v>110000</v>
      </c>
    </row>
    <row r="492" spans="1:12" ht="19" customHeight="1">
      <c r="A492" s="62" t="s">
        <v>695</v>
      </c>
      <c r="C492" s="47" t="s">
        <v>217</v>
      </c>
      <c r="D492" s="47" t="s">
        <v>146</v>
      </c>
      <c r="E492" s="47" t="s">
        <v>590</v>
      </c>
      <c r="F492" s="48">
        <v>10</v>
      </c>
      <c r="G492" s="48">
        <f>VLOOKUP(D492,단가!B:D,3,0)</f>
        <v>10500</v>
      </c>
      <c r="H492" s="48">
        <f t="shared" si="29"/>
        <v>105000</v>
      </c>
      <c r="I492" s="48">
        <f t="shared" si="31"/>
        <v>10500</v>
      </c>
      <c r="J492" s="49">
        <f t="shared" si="30"/>
        <v>115500</v>
      </c>
    </row>
    <row r="493" spans="1:12" ht="19" customHeight="1">
      <c r="A493" s="62" t="s">
        <v>695</v>
      </c>
      <c r="C493" s="47" t="s">
        <v>217</v>
      </c>
      <c r="D493" s="47" t="s">
        <v>148</v>
      </c>
      <c r="E493" s="47" t="s">
        <v>590</v>
      </c>
      <c r="F493" s="48">
        <v>5</v>
      </c>
      <c r="G493" s="48">
        <f>VLOOKUP(D493,단가!B:D,3,0)</f>
        <v>10500</v>
      </c>
      <c r="H493" s="48">
        <f t="shared" si="29"/>
        <v>52500</v>
      </c>
      <c r="I493" s="48">
        <f t="shared" si="31"/>
        <v>5250</v>
      </c>
      <c r="J493" s="49">
        <f t="shared" si="30"/>
        <v>57750</v>
      </c>
    </row>
    <row r="494" spans="1:12" ht="19" customHeight="1">
      <c r="A494" s="62" t="s">
        <v>695</v>
      </c>
      <c r="C494" s="47" t="s">
        <v>217</v>
      </c>
      <c r="D494" s="47" t="s">
        <v>154</v>
      </c>
      <c r="E494" s="47" t="s">
        <v>590</v>
      </c>
      <c r="F494" s="48">
        <v>5</v>
      </c>
      <c r="G494" s="48">
        <f>VLOOKUP(D494,단가!B:D,3,0)</f>
        <v>10500</v>
      </c>
      <c r="H494" s="48">
        <f t="shared" si="29"/>
        <v>52500</v>
      </c>
      <c r="I494" s="48">
        <f t="shared" si="31"/>
        <v>5250</v>
      </c>
      <c r="J494" s="49">
        <f t="shared" si="30"/>
        <v>57750</v>
      </c>
    </row>
    <row r="495" spans="1:12" ht="19" customHeight="1">
      <c r="A495" s="62" t="s">
        <v>695</v>
      </c>
      <c r="C495" s="47" t="s">
        <v>217</v>
      </c>
      <c r="D495" s="47" t="s">
        <v>150</v>
      </c>
      <c r="E495" s="47" t="s">
        <v>590</v>
      </c>
      <c r="F495" s="48">
        <v>5</v>
      </c>
      <c r="G495" s="48">
        <f>VLOOKUP(D495,단가!B:D,3,0)</f>
        <v>10500</v>
      </c>
      <c r="H495" s="48">
        <f t="shared" si="29"/>
        <v>52500</v>
      </c>
      <c r="I495" s="48">
        <f t="shared" si="31"/>
        <v>5250</v>
      </c>
      <c r="J495" s="49">
        <f t="shared" si="30"/>
        <v>57750</v>
      </c>
      <c r="L495" s="56"/>
    </row>
    <row r="496" spans="1:12" ht="19" customHeight="1">
      <c r="A496" s="62" t="s">
        <v>696</v>
      </c>
      <c r="C496" s="47" t="s">
        <v>217</v>
      </c>
      <c r="D496" s="47" t="s">
        <v>649</v>
      </c>
      <c r="E496" s="47" t="s">
        <v>92</v>
      </c>
      <c r="F496" s="48">
        <v>10</v>
      </c>
      <c r="G496" s="48">
        <f>VLOOKUP(D496,단가!B:D,3,0)</f>
        <v>14000</v>
      </c>
      <c r="H496" s="48">
        <f t="shared" si="29"/>
        <v>140000</v>
      </c>
      <c r="I496" s="48">
        <f t="shared" si="31"/>
        <v>14000</v>
      </c>
      <c r="J496" s="49">
        <f t="shared" si="30"/>
        <v>154000</v>
      </c>
    </row>
    <row r="497" spans="1:12" ht="19" customHeight="1">
      <c r="A497" s="62" t="s">
        <v>696</v>
      </c>
      <c r="C497" s="47" t="s">
        <v>217</v>
      </c>
      <c r="D497" s="47" t="s">
        <v>154</v>
      </c>
      <c r="E497" s="47" t="s">
        <v>590</v>
      </c>
      <c r="F497" s="48">
        <v>5</v>
      </c>
      <c r="G497" s="48">
        <f>VLOOKUP(D497,단가!B:D,3,0)</f>
        <v>10500</v>
      </c>
      <c r="H497" s="48">
        <f t="shared" si="29"/>
        <v>52500</v>
      </c>
      <c r="I497" s="48">
        <f t="shared" si="31"/>
        <v>5250</v>
      </c>
      <c r="J497" s="49">
        <f t="shared" si="30"/>
        <v>57750</v>
      </c>
    </row>
    <row r="498" spans="1:12" ht="19" customHeight="1">
      <c r="A498" s="62" t="s">
        <v>696</v>
      </c>
      <c r="C498" s="47" t="s">
        <v>217</v>
      </c>
      <c r="D498" s="47" t="s">
        <v>153</v>
      </c>
      <c r="E498" s="47" t="s">
        <v>590</v>
      </c>
      <c r="F498" s="48">
        <v>5</v>
      </c>
      <c r="G498" s="48">
        <f>VLOOKUP(D498,단가!B:D,3,0)</f>
        <v>10500</v>
      </c>
      <c r="H498" s="48">
        <f t="shared" si="29"/>
        <v>52500</v>
      </c>
      <c r="I498" s="48">
        <f t="shared" si="31"/>
        <v>5250</v>
      </c>
      <c r="J498" s="49">
        <f t="shared" si="30"/>
        <v>57750</v>
      </c>
    </row>
    <row r="499" spans="1:12" ht="19" customHeight="1">
      <c r="A499" s="62" t="s">
        <v>696</v>
      </c>
      <c r="C499" s="47" t="s">
        <v>217</v>
      </c>
      <c r="D499" s="47" t="s">
        <v>151</v>
      </c>
      <c r="E499" s="47" t="s">
        <v>590</v>
      </c>
      <c r="F499" s="48">
        <v>5</v>
      </c>
      <c r="G499" s="48">
        <f>VLOOKUP(D499,단가!B:D,3,0)</f>
        <v>10500</v>
      </c>
      <c r="H499" s="48">
        <f t="shared" si="29"/>
        <v>52500</v>
      </c>
      <c r="I499" s="48">
        <f t="shared" si="31"/>
        <v>5250</v>
      </c>
      <c r="J499" s="49">
        <f t="shared" si="30"/>
        <v>57750</v>
      </c>
    </row>
    <row r="500" spans="1:12" ht="19" customHeight="1">
      <c r="A500" s="62" t="s">
        <v>696</v>
      </c>
      <c r="C500" s="47" t="s">
        <v>217</v>
      </c>
      <c r="D500" s="47" t="s">
        <v>152</v>
      </c>
      <c r="E500" s="47" t="s">
        <v>590</v>
      </c>
      <c r="F500" s="48">
        <v>5</v>
      </c>
      <c r="G500" s="48">
        <f>VLOOKUP(D500,단가!B:D,3,0)</f>
        <v>10500</v>
      </c>
      <c r="H500" s="48">
        <f t="shared" si="29"/>
        <v>52500</v>
      </c>
      <c r="I500" s="48">
        <f t="shared" si="31"/>
        <v>5250</v>
      </c>
      <c r="J500" s="49">
        <f t="shared" si="30"/>
        <v>57750</v>
      </c>
    </row>
    <row r="501" spans="1:12" ht="19" customHeight="1">
      <c r="A501" s="62" t="s">
        <v>696</v>
      </c>
      <c r="C501" s="47" t="s">
        <v>217</v>
      </c>
      <c r="D501" s="47" t="s">
        <v>150</v>
      </c>
      <c r="E501" s="47" t="s">
        <v>590</v>
      </c>
      <c r="F501" s="48">
        <v>5</v>
      </c>
      <c r="G501" s="48">
        <f>VLOOKUP(D501,단가!B:D,3,0)</f>
        <v>10500</v>
      </c>
      <c r="H501" s="48">
        <f t="shared" si="29"/>
        <v>52500</v>
      </c>
      <c r="I501" s="48">
        <f t="shared" si="31"/>
        <v>5250</v>
      </c>
      <c r="J501" s="49">
        <f t="shared" si="30"/>
        <v>57750</v>
      </c>
    </row>
    <row r="502" spans="1:12" ht="19" customHeight="1">
      <c r="A502" s="62" t="s">
        <v>696</v>
      </c>
      <c r="C502" s="47" t="s">
        <v>217</v>
      </c>
      <c r="D502" s="47" t="s">
        <v>149</v>
      </c>
      <c r="E502" s="47" t="s">
        <v>590</v>
      </c>
      <c r="F502" s="48">
        <v>5</v>
      </c>
      <c r="G502" s="48">
        <f>VLOOKUP(D502,단가!B:D,3,0)</f>
        <v>10500</v>
      </c>
      <c r="H502" s="48">
        <f t="shared" si="29"/>
        <v>52500</v>
      </c>
      <c r="I502" s="48">
        <f t="shared" si="31"/>
        <v>5250</v>
      </c>
      <c r="J502" s="49">
        <f t="shared" si="30"/>
        <v>57750</v>
      </c>
    </row>
    <row r="503" spans="1:12" ht="19" customHeight="1">
      <c r="A503" s="62" t="s">
        <v>696</v>
      </c>
      <c r="C503" s="47" t="s">
        <v>217</v>
      </c>
      <c r="D503" s="47" t="s">
        <v>148</v>
      </c>
      <c r="E503" s="47" t="s">
        <v>590</v>
      </c>
      <c r="F503" s="48">
        <v>5</v>
      </c>
      <c r="G503" s="48">
        <f>VLOOKUP(D503,단가!B:D,3,0)</f>
        <v>10500</v>
      </c>
      <c r="H503" s="48">
        <f t="shared" si="29"/>
        <v>52500</v>
      </c>
      <c r="I503" s="48">
        <f t="shared" si="31"/>
        <v>5250</v>
      </c>
      <c r="J503" s="49">
        <f t="shared" si="30"/>
        <v>57750</v>
      </c>
    </row>
    <row r="504" spans="1:12" ht="19" customHeight="1">
      <c r="A504" s="62" t="s">
        <v>696</v>
      </c>
      <c r="C504" s="47" t="s">
        <v>217</v>
      </c>
      <c r="D504" s="47" t="s">
        <v>146</v>
      </c>
      <c r="E504" s="47" t="s">
        <v>590</v>
      </c>
      <c r="F504" s="48">
        <v>5</v>
      </c>
      <c r="G504" s="48">
        <f>VLOOKUP(D504,단가!B:D,3,0)</f>
        <v>10500</v>
      </c>
      <c r="H504" s="48">
        <f t="shared" si="29"/>
        <v>52500</v>
      </c>
      <c r="I504" s="48">
        <f t="shared" si="31"/>
        <v>5250</v>
      </c>
      <c r="J504" s="49">
        <f t="shared" si="30"/>
        <v>57750</v>
      </c>
    </row>
    <row r="505" spans="1:12" ht="19" customHeight="1">
      <c r="A505" s="62" t="s">
        <v>696</v>
      </c>
      <c r="C505" s="47" t="s">
        <v>217</v>
      </c>
      <c r="D505" s="47" t="s">
        <v>147</v>
      </c>
      <c r="E505" s="47" t="s">
        <v>590</v>
      </c>
      <c r="F505" s="48">
        <v>5</v>
      </c>
      <c r="G505" s="48">
        <f>VLOOKUP(D505,단가!B:D,3,0)</f>
        <v>10500</v>
      </c>
      <c r="H505" s="48">
        <f t="shared" ref="H505:H577" si="32">F505*G505</f>
        <v>52500</v>
      </c>
      <c r="I505" s="48">
        <f t="shared" si="31"/>
        <v>5250</v>
      </c>
      <c r="J505" s="49">
        <f t="shared" si="30"/>
        <v>57750</v>
      </c>
    </row>
    <row r="506" spans="1:12" ht="19" customHeight="1">
      <c r="A506" s="62" t="s">
        <v>697</v>
      </c>
      <c r="C506" s="47" t="s">
        <v>217</v>
      </c>
      <c r="D506" s="47" t="s">
        <v>146</v>
      </c>
      <c r="E506" s="47" t="s">
        <v>590</v>
      </c>
      <c r="F506" s="48">
        <v>5</v>
      </c>
      <c r="G506" s="48">
        <f>VLOOKUP(D506,단가!B:D,3,0)</f>
        <v>10500</v>
      </c>
      <c r="H506" s="48">
        <f t="shared" si="32"/>
        <v>52500</v>
      </c>
      <c r="I506" s="48">
        <f t="shared" si="31"/>
        <v>5250</v>
      </c>
      <c r="J506" s="49">
        <f t="shared" si="30"/>
        <v>57750</v>
      </c>
    </row>
    <row r="507" spans="1:12" ht="19" customHeight="1">
      <c r="A507" s="62" t="s">
        <v>697</v>
      </c>
      <c r="C507" s="47" t="s">
        <v>217</v>
      </c>
      <c r="D507" s="47" t="s">
        <v>627</v>
      </c>
      <c r="E507" s="47" t="s">
        <v>57</v>
      </c>
      <c r="F507" s="48">
        <v>10</v>
      </c>
      <c r="G507" s="48">
        <f>VLOOKUP(D507,단가!B:D,3,0)</f>
        <v>25000</v>
      </c>
      <c r="H507" s="48">
        <f t="shared" si="32"/>
        <v>250000</v>
      </c>
      <c r="I507" s="48">
        <f t="shared" si="31"/>
        <v>25000</v>
      </c>
      <c r="J507" s="49">
        <f t="shared" si="30"/>
        <v>275000</v>
      </c>
    </row>
    <row r="508" spans="1:12" ht="19" customHeight="1">
      <c r="A508" s="62" t="s">
        <v>697</v>
      </c>
      <c r="C508" s="47" t="s">
        <v>483</v>
      </c>
      <c r="D508" s="47" t="s">
        <v>315</v>
      </c>
      <c r="E508" s="47" t="s">
        <v>57</v>
      </c>
      <c r="F508" s="48">
        <v>4</v>
      </c>
      <c r="G508" s="48">
        <f>VLOOKUP(D508,단가!B:D,3,0)</f>
        <v>32000</v>
      </c>
      <c r="H508" s="48">
        <f t="shared" si="32"/>
        <v>128000</v>
      </c>
      <c r="I508" s="48">
        <f t="shared" si="31"/>
        <v>12800</v>
      </c>
      <c r="J508" s="49">
        <f t="shared" si="30"/>
        <v>140800</v>
      </c>
      <c r="L508" s="56"/>
    </row>
    <row r="509" spans="1:12" ht="19" customHeight="1">
      <c r="A509" s="62" t="s">
        <v>703</v>
      </c>
      <c r="C509" s="47" t="s">
        <v>316</v>
      </c>
      <c r="D509" s="47" t="s">
        <v>405</v>
      </c>
      <c r="F509" s="48">
        <v>1</v>
      </c>
      <c r="G509" s="48">
        <f>VLOOKUP(D509,단가!B:D,3,0)</f>
        <v>30000</v>
      </c>
      <c r="H509" s="48">
        <f t="shared" ref="H509:H519" si="33">F509*G509</f>
        <v>30000</v>
      </c>
      <c r="I509" s="48">
        <f t="shared" ref="I509:I519" si="34">H509*0.1</f>
        <v>3000</v>
      </c>
      <c r="J509" s="49">
        <f t="shared" ref="J509:J519" si="35">H509+I509</f>
        <v>33000</v>
      </c>
    </row>
    <row r="510" spans="1:12" ht="19" customHeight="1">
      <c r="A510" s="62" t="s">
        <v>703</v>
      </c>
      <c r="C510" s="47" t="s">
        <v>375</v>
      </c>
      <c r="D510" s="47" t="s">
        <v>405</v>
      </c>
      <c r="F510" s="48">
        <v>1</v>
      </c>
      <c r="G510" s="48">
        <f>VLOOKUP(D510,단가!B:D,3,0)</f>
        <v>30000</v>
      </c>
      <c r="H510" s="48">
        <f t="shared" si="33"/>
        <v>30000</v>
      </c>
      <c r="I510" s="48">
        <f t="shared" si="34"/>
        <v>3000</v>
      </c>
      <c r="J510" s="49">
        <f t="shared" si="35"/>
        <v>33000</v>
      </c>
    </row>
    <row r="511" spans="1:12" ht="19" customHeight="1">
      <c r="A511" s="62" t="s">
        <v>703</v>
      </c>
      <c r="C511" s="47" t="s">
        <v>394</v>
      </c>
      <c r="D511" s="47" t="s">
        <v>405</v>
      </c>
      <c r="F511" s="48">
        <v>1</v>
      </c>
      <c r="G511" s="48">
        <f>VLOOKUP(D511,단가!B:D,3,0)</f>
        <v>30000</v>
      </c>
      <c r="H511" s="48">
        <f t="shared" si="33"/>
        <v>30000</v>
      </c>
      <c r="I511" s="48">
        <f t="shared" si="34"/>
        <v>3000</v>
      </c>
      <c r="J511" s="49">
        <f t="shared" si="35"/>
        <v>33000</v>
      </c>
    </row>
    <row r="512" spans="1:12" ht="19" customHeight="1">
      <c r="A512" s="62" t="s">
        <v>703</v>
      </c>
      <c r="C512" s="47" t="s">
        <v>434</v>
      </c>
      <c r="D512" s="47" t="s">
        <v>405</v>
      </c>
      <c r="F512" s="48">
        <v>1</v>
      </c>
      <c r="G512" s="48">
        <f>VLOOKUP(D512,단가!B:D,3,0)</f>
        <v>30000</v>
      </c>
      <c r="H512" s="48">
        <f t="shared" si="33"/>
        <v>30000</v>
      </c>
      <c r="I512" s="48">
        <f t="shared" si="34"/>
        <v>3000</v>
      </c>
      <c r="J512" s="49">
        <f t="shared" si="35"/>
        <v>33000</v>
      </c>
    </row>
    <row r="513" spans="1:10" ht="19" customHeight="1">
      <c r="A513" s="62" t="s">
        <v>703</v>
      </c>
      <c r="C513" s="47" t="s">
        <v>467</v>
      </c>
      <c r="D513" s="47" t="s">
        <v>405</v>
      </c>
      <c r="F513" s="48">
        <v>1</v>
      </c>
      <c r="G513" s="48">
        <f>VLOOKUP(D513,단가!B:D,3,0)</f>
        <v>30000</v>
      </c>
      <c r="H513" s="48">
        <f t="shared" si="33"/>
        <v>30000</v>
      </c>
      <c r="I513" s="48">
        <f t="shared" si="34"/>
        <v>3000</v>
      </c>
      <c r="J513" s="49">
        <f t="shared" si="35"/>
        <v>33000</v>
      </c>
    </row>
    <row r="514" spans="1:10" ht="19" customHeight="1">
      <c r="A514" s="62" t="s">
        <v>703</v>
      </c>
      <c r="C514" s="47" t="s">
        <v>480</v>
      </c>
      <c r="D514" s="47" t="s">
        <v>405</v>
      </c>
      <c r="F514" s="48">
        <v>1</v>
      </c>
      <c r="G514" s="48">
        <f>VLOOKUP(D514,단가!B:D,3,0)</f>
        <v>30000</v>
      </c>
      <c r="H514" s="48">
        <f t="shared" si="33"/>
        <v>30000</v>
      </c>
      <c r="I514" s="48">
        <f t="shared" si="34"/>
        <v>3000</v>
      </c>
      <c r="J514" s="49">
        <f t="shared" si="35"/>
        <v>33000</v>
      </c>
    </row>
    <row r="515" spans="1:10" ht="19" customHeight="1">
      <c r="A515" s="62" t="s">
        <v>703</v>
      </c>
      <c r="C515" s="47" t="s">
        <v>483</v>
      </c>
      <c r="D515" s="47" t="s">
        <v>405</v>
      </c>
      <c r="F515" s="48">
        <v>1</v>
      </c>
      <c r="G515" s="48">
        <f>VLOOKUP(D515,단가!B:D,3,0)</f>
        <v>30000</v>
      </c>
      <c r="H515" s="48">
        <f t="shared" si="33"/>
        <v>30000</v>
      </c>
      <c r="I515" s="48">
        <f t="shared" si="34"/>
        <v>3000</v>
      </c>
      <c r="J515" s="49">
        <f t="shared" si="35"/>
        <v>33000</v>
      </c>
    </row>
    <row r="516" spans="1:10" ht="19" customHeight="1">
      <c r="A516" s="62" t="s">
        <v>703</v>
      </c>
      <c r="C516" s="47" t="s">
        <v>486</v>
      </c>
      <c r="D516" s="47" t="s">
        <v>405</v>
      </c>
      <c r="F516" s="48">
        <v>1</v>
      </c>
      <c r="G516" s="48">
        <f>VLOOKUP(D516,단가!B:D,3,0)</f>
        <v>30000</v>
      </c>
      <c r="H516" s="48">
        <f t="shared" si="33"/>
        <v>30000</v>
      </c>
      <c r="I516" s="48">
        <f t="shared" si="34"/>
        <v>3000</v>
      </c>
      <c r="J516" s="49">
        <f t="shared" si="35"/>
        <v>33000</v>
      </c>
    </row>
    <row r="517" spans="1:10" ht="19" customHeight="1">
      <c r="A517" s="62" t="s">
        <v>703</v>
      </c>
      <c r="C517" s="47" t="s">
        <v>501</v>
      </c>
      <c r="D517" s="47" t="s">
        <v>405</v>
      </c>
      <c r="F517" s="48">
        <v>1</v>
      </c>
      <c r="G517" s="48">
        <f>VLOOKUP(D517,단가!B:D,3,0)</f>
        <v>30000</v>
      </c>
      <c r="H517" s="48">
        <f t="shared" si="33"/>
        <v>30000</v>
      </c>
      <c r="I517" s="48">
        <f t="shared" si="34"/>
        <v>3000</v>
      </c>
      <c r="J517" s="49">
        <f t="shared" si="35"/>
        <v>33000</v>
      </c>
    </row>
    <row r="518" spans="1:10" ht="19" customHeight="1">
      <c r="A518" s="62" t="s">
        <v>703</v>
      </c>
      <c r="C518" s="47" t="s">
        <v>505</v>
      </c>
      <c r="D518" s="47" t="s">
        <v>405</v>
      </c>
      <c r="F518" s="48">
        <v>1</v>
      </c>
      <c r="G518" s="48">
        <f>VLOOKUP(D518,단가!B:D,3,0)</f>
        <v>30000</v>
      </c>
      <c r="H518" s="48">
        <f t="shared" si="33"/>
        <v>30000</v>
      </c>
      <c r="I518" s="48">
        <f t="shared" si="34"/>
        <v>3000</v>
      </c>
      <c r="J518" s="49">
        <f t="shared" si="35"/>
        <v>33000</v>
      </c>
    </row>
    <row r="519" spans="1:10" ht="19" customHeight="1">
      <c r="A519" s="62" t="s">
        <v>703</v>
      </c>
      <c r="C519" s="47" t="s">
        <v>508</v>
      </c>
      <c r="D519" s="47" t="s">
        <v>405</v>
      </c>
      <c r="F519" s="48">
        <v>1</v>
      </c>
      <c r="G519" s="48">
        <f>VLOOKUP(D519,단가!B:D,3,0)</f>
        <v>30000</v>
      </c>
      <c r="H519" s="48">
        <f t="shared" si="33"/>
        <v>30000</v>
      </c>
      <c r="I519" s="48">
        <f t="shared" si="34"/>
        <v>3000</v>
      </c>
      <c r="J519" s="49">
        <f t="shared" si="35"/>
        <v>33000</v>
      </c>
    </row>
    <row r="520" spans="1:10" ht="19" customHeight="1">
      <c r="A520" s="62" t="s">
        <v>698</v>
      </c>
      <c r="C520" s="47" t="s">
        <v>699</v>
      </c>
      <c r="D520" s="47" t="s">
        <v>627</v>
      </c>
      <c r="E520" s="47" t="s">
        <v>57</v>
      </c>
      <c r="F520" s="48">
        <v>3</v>
      </c>
      <c r="G520" s="48">
        <f>VLOOKUP(D520,단가!B:D,3,0)</f>
        <v>25000</v>
      </c>
      <c r="H520" s="48">
        <f t="shared" si="32"/>
        <v>75000</v>
      </c>
      <c r="I520" s="48">
        <f t="shared" si="31"/>
        <v>7500</v>
      </c>
      <c r="J520" s="49">
        <f t="shared" si="30"/>
        <v>82500</v>
      </c>
    </row>
    <row r="521" spans="1:10" ht="19" customHeight="1">
      <c r="A521" s="62" t="s">
        <v>700</v>
      </c>
      <c r="C521" s="47" t="s">
        <v>217</v>
      </c>
      <c r="D521" s="47" t="s">
        <v>627</v>
      </c>
      <c r="E521" s="47" t="s">
        <v>57</v>
      </c>
      <c r="F521" s="48">
        <v>5</v>
      </c>
      <c r="G521" s="48">
        <f>VLOOKUP(D521,단가!B:D,3,0)</f>
        <v>25000</v>
      </c>
      <c r="H521" s="48">
        <f t="shared" si="32"/>
        <v>125000</v>
      </c>
      <c r="I521" s="48">
        <f t="shared" si="31"/>
        <v>12500</v>
      </c>
      <c r="J521" s="49">
        <f t="shared" si="30"/>
        <v>137500</v>
      </c>
    </row>
    <row r="522" spans="1:10" ht="19" customHeight="1">
      <c r="A522" s="62" t="s">
        <v>700</v>
      </c>
      <c r="C522" s="47" t="s">
        <v>556</v>
      </c>
      <c r="D522" s="47" t="s">
        <v>688</v>
      </c>
      <c r="E522" s="47" t="s">
        <v>57</v>
      </c>
      <c r="F522" s="48">
        <v>10</v>
      </c>
      <c r="G522" s="48">
        <f>VLOOKUP(D522,단가!B:D,3,0)</f>
        <v>26000</v>
      </c>
      <c r="H522" s="48">
        <f t="shared" si="32"/>
        <v>260000</v>
      </c>
      <c r="I522" s="48">
        <f t="shared" si="31"/>
        <v>26000</v>
      </c>
      <c r="J522" s="49">
        <f t="shared" si="30"/>
        <v>286000</v>
      </c>
    </row>
    <row r="523" spans="1:10" ht="19" customHeight="1">
      <c r="A523" s="62" t="s">
        <v>701</v>
      </c>
      <c r="C523" s="47" t="s">
        <v>217</v>
      </c>
      <c r="D523" s="47" t="s">
        <v>627</v>
      </c>
      <c r="E523" s="47" t="s">
        <v>57</v>
      </c>
      <c r="F523" s="48">
        <v>5</v>
      </c>
      <c r="G523" s="48">
        <f>VLOOKUP(D523,단가!B:D,3,0)</f>
        <v>25000</v>
      </c>
      <c r="H523" s="48">
        <f t="shared" si="32"/>
        <v>125000</v>
      </c>
      <c r="I523" s="48">
        <f t="shared" si="31"/>
        <v>12500</v>
      </c>
      <c r="J523" s="49">
        <f t="shared" si="30"/>
        <v>137500</v>
      </c>
    </row>
    <row r="524" spans="1:10" ht="19" customHeight="1">
      <c r="A524" s="62" t="s">
        <v>701</v>
      </c>
      <c r="C524" s="47" t="s">
        <v>217</v>
      </c>
      <c r="D524" s="47" t="s">
        <v>148</v>
      </c>
      <c r="E524" s="47" t="s">
        <v>590</v>
      </c>
      <c r="F524" s="48">
        <v>5</v>
      </c>
      <c r="G524" s="48">
        <f>VLOOKUP(D524,단가!B:D,3,0)</f>
        <v>10500</v>
      </c>
      <c r="H524" s="48">
        <f t="shared" si="32"/>
        <v>52500</v>
      </c>
      <c r="I524" s="48">
        <f t="shared" si="31"/>
        <v>5250</v>
      </c>
      <c r="J524" s="49">
        <f t="shared" si="30"/>
        <v>57750</v>
      </c>
    </row>
    <row r="525" spans="1:10" ht="19" customHeight="1">
      <c r="A525" s="62" t="s">
        <v>701</v>
      </c>
      <c r="C525" s="47" t="s">
        <v>217</v>
      </c>
      <c r="D525" s="47" t="s">
        <v>149</v>
      </c>
      <c r="E525" s="47" t="s">
        <v>590</v>
      </c>
      <c r="F525" s="48">
        <v>5</v>
      </c>
      <c r="G525" s="48">
        <f>VLOOKUP(D525,단가!B:D,3,0)</f>
        <v>10500</v>
      </c>
      <c r="H525" s="48">
        <f t="shared" si="32"/>
        <v>52500</v>
      </c>
      <c r="I525" s="48">
        <f t="shared" si="31"/>
        <v>5250</v>
      </c>
      <c r="J525" s="49">
        <f t="shared" si="30"/>
        <v>57750</v>
      </c>
    </row>
    <row r="526" spans="1:10" ht="19" customHeight="1">
      <c r="A526" s="62" t="s">
        <v>701</v>
      </c>
      <c r="C526" s="47" t="s">
        <v>217</v>
      </c>
      <c r="D526" s="47" t="s">
        <v>153</v>
      </c>
      <c r="E526" s="47" t="s">
        <v>590</v>
      </c>
      <c r="F526" s="48">
        <v>5</v>
      </c>
      <c r="G526" s="48">
        <f>VLOOKUP(D526,단가!B:D,3,0)</f>
        <v>10500</v>
      </c>
      <c r="H526" s="48">
        <f t="shared" si="32"/>
        <v>52500</v>
      </c>
      <c r="I526" s="48">
        <f t="shared" si="31"/>
        <v>5250</v>
      </c>
      <c r="J526" s="49">
        <f t="shared" si="30"/>
        <v>57750</v>
      </c>
    </row>
    <row r="527" spans="1:10" ht="19" customHeight="1">
      <c r="A527" s="62" t="s">
        <v>702</v>
      </c>
      <c r="C527" s="47" t="s">
        <v>567</v>
      </c>
      <c r="D527" s="47" t="s">
        <v>627</v>
      </c>
      <c r="E527" s="47" t="s">
        <v>57</v>
      </c>
      <c r="F527" s="48">
        <v>3</v>
      </c>
      <c r="G527" s="48">
        <f>VLOOKUP(D527,단가!B:D,3,0)</f>
        <v>25000</v>
      </c>
      <c r="H527" s="48">
        <f t="shared" si="32"/>
        <v>75000</v>
      </c>
      <c r="J527" s="49">
        <f t="shared" si="30"/>
        <v>75000</v>
      </c>
    </row>
    <row r="528" spans="1:10" ht="19" customHeight="1">
      <c r="A528" s="62" t="s">
        <v>704</v>
      </c>
      <c r="C528" s="47" t="s">
        <v>313</v>
      </c>
      <c r="D528" s="47" t="s">
        <v>302</v>
      </c>
      <c r="E528" s="47" t="s">
        <v>57</v>
      </c>
      <c r="F528" s="48">
        <v>10</v>
      </c>
      <c r="G528" s="48">
        <f>VLOOKUP(D528,단가!B:D,3,0)</f>
        <v>22000</v>
      </c>
      <c r="H528" s="48">
        <f t="shared" si="32"/>
        <v>220000</v>
      </c>
      <c r="I528" s="48">
        <f t="shared" si="31"/>
        <v>22000</v>
      </c>
      <c r="J528" s="49">
        <f t="shared" si="30"/>
        <v>242000</v>
      </c>
    </row>
    <row r="529" spans="1:10" ht="19" customHeight="1">
      <c r="A529" s="62" t="s">
        <v>363</v>
      </c>
      <c r="C529" s="47" t="s">
        <v>217</v>
      </c>
      <c r="D529" s="47" t="s">
        <v>302</v>
      </c>
      <c r="E529" s="47" t="s">
        <v>57</v>
      </c>
      <c r="F529" s="48">
        <v>1</v>
      </c>
      <c r="G529" s="48">
        <f>VLOOKUP(D529,단가!B:D,3,0)</f>
        <v>22000</v>
      </c>
      <c r="H529" s="48">
        <f t="shared" si="32"/>
        <v>22000</v>
      </c>
      <c r="I529" s="48">
        <f t="shared" si="31"/>
        <v>2200</v>
      </c>
      <c r="J529" s="49">
        <f t="shared" si="30"/>
        <v>24200</v>
      </c>
    </row>
    <row r="530" spans="1:10" ht="19" customHeight="1">
      <c r="A530" s="62" t="s">
        <v>363</v>
      </c>
      <c r="C530" s="47" t="s">
        <v>217</v>
      </c>
      <c r="D530" s="47" t="s">
        <v>705</v>
      </c>
      <c r="E530" s="47" t="s">
        <v>57</v>
      </c>
      <c r="F530" s="48">
        <v>19</v>
      </c>
      <c r="G530" s="48">
        <f>VLOOKUP(D530,단가!B:D,3,0)</f>
        <v>25000</v>
      </c>
      <c r="H530" s="48">
        <f t="shared" si="32"/>
        <v>475000</v>
      </c>
      <c r="I530" s="48">
        <f t="shared" si="31"/>
        <v>47500</v>
      </c>
      <c r="J530" s="49">
        <f t="shared" si="30"/>
        <v>522500</v>
      </c>
    </row>
    <row r="531" spans="1:10" ht="19" customHeight="1">
      <c r="A531" s="62" t="s">
        <v>363</v>
      </c>
      <c r="C531" s="47" t="s">
        <v>217</v>
      </c>
      <c r="D531" s="47" t="s">
        <v>706</v>
      </c>
      <c r="E531" s="47" t="s">
        <v>590</v>
      </c>
      <c r="F531" s="48">
        <v>5</v>
      </c>
      <c r="G531" s="48">
        <f>VLOOKUP(D531,단가!B:D,3,0)</f>
        <v>10500</v>
      </c>
      <c r="H531" s="48">
        <f t="shared" si="32"/>
        <v>52500</v>
      </c>
      <c r="I531" s="48">
        <f t="shared" si="31"/>
        <v>5250</v>
      </c>
      <c r="J531" s="49">
        <f t="shared" si="30"/>
        <v>57750</v>
      </c>
    </row>
    <row r="532" spans="1:10" ht="19" customHeight="1">
      <c r="A532" s="62" t="s">
        <v>363</v>
      </c>
      <c r="C532" s="47" t="s">
        <v>217</v>
      </c>
      <c r="D532" s="47" t="s">
        <v>152</v>
      </c>
      <c r="E532" s="47" t="s">
        <v>590</v>
      </c>
      <c r="F532" s="48">
        <v>5</v>
      </c>
      <c r="G532" s="48">
        <f>VLOOKUP(D532,단가!B:D,3,0)</f>
        <v>10500</v>
      </c>
      <c r="H532" s="48">
        <f t="shared" si="32"/>
        <v>52500</v>
      </c>
      <c r="I532" s="48">
        <f t="shared" si="31"/>
        <v>5250</v>
      </c>
      <c r="J532" s="49">
        <f t="shared" si="30"/>
        <v>57750</v>
      </c>
    </row>
    <row r="533" spans="1:10" ht="19" customHeight="1">
      <c r="A533" s="62" t="s">
        <v>363</v>
      </c>
      <c r="C533" s="47" t="s">
        <v>217</v>
      </c>
      <c r="D533" s="47" t="s">
        <v>149</v>
      </c>
      <c r="E533" s="47" t="s">
        <v>590</v>
      </c>
      <c r="F533" s="48">
        <v>5</v>
      </c>
      <c r="G533" s="48">
        <f>VLOOKUP(D533,단가!B:D,3,0)</f>
        <v>10500</v>
      </c>
      <c r="H533" s="48">
        <f t="shared" si="32"/>
        <v>52500</v>
      </c>
      <c r="I533" s="48">
        <f t="shared" si="31"/>
        <v>5250</v>
      </c>
      <c r="J533" s="49">
        <f t="shared" si="30"/>
        <v>57750</v>
      </c>
    </row>
    <row r="534" spans="1:10" ht="19" customHeight="1">
      <c r="A534" s="62" t="s">
        <v>363</v>
      </c>
      <c r="C534" s="47" t="s">
        <v>217</v>
      </c>
      <c r="D534" s="47" t="s">
        <v>148</v>
      </c>
      <c r="E534" s="47" t="s">
        <v>590</v>
      </c>
      <c r="F534" s="48">
        <v>5</v>
      </c>
      <c r="G534" s="48">
        <f>VLOOKUP(D534,단가!B:D,3,0)</f>
        <v>10500</v>
      </c>
      <c r="H534" s="48">
        <f t="shared" si="32"/>
        <v>52500</v>
      </c>
      <c r="I534" s="48">
        <f t="shared" si="31"/>
        <v>5250</v>
      </c>
      <c r="J534" s="49">
        <f t="shared" si="30"/>
        <v>57750</v>
      </c>
    </row>
    <row r="535" spans="1:10" ht="19" customHeight="1">
      <c r="A535" s="62" t="s">
        <v>363</v>
      </c>
      <c r="C535" s="47" t="s">
        <v>217</v>
      </c>
      <c r="D535" s="47" t="s">
        <v>146</v>
      </c>
      <c r="E535" s="47" t="s">
        <v>590</v>
      </c>
      <c r="F535" s="48">
        <v>10</v>
      </c>
      <c r="G535" s="48">
        <f>VLOOKUP(D535,단가!B:D,3,0)</f>
        <v>10500</v>
      </c>
      <c r="H535" s="48">
        <f t="shared" si="32"/>
        <v>105000</v>
      </c>
      <c r="I535" s="48">
        <f t="shared" si="31"/>
        <v>10500</v>
      </c>
      <c r="J535" s="49">
        <f t="shared" si="30"/>
        <v>115500</v>
      </c>
    </row>
    <row r="536" spans="1:10" ht="19" customHeight="1">
      <c r="A536" s="62" t="s">
        <v>363</v>
      </c>
      <c r="C536" s="47" t="s">
        <v>217</v>
      </c>
      <c r="D536" s="47" t="s">
        <v>154</v>
      </c>
      <c r="E536" s="47" t="s">
        <v>590</v>
      </c>
      <c r="F536" s="48">
        <v>5</v>
      </c>
      <c r="G536" s="48">
        <f>VLOOKUP(D536,단가!B:D,3,0)</f>
        <v>10500</v>
      </c>
      <c r="H536" s="48">
        <f t="shared" si="32"/>
        <v>52500</v>
      </c>
      <c r="I536" s="48">
        <f t="shared" si="31"/>
        <v>5250</v>
      </c>
      <c r="J536" s="49">
        <f t="shared" si="30"/>
        <v>57750</v>
      </c>
    </row>
    <row r="537" spans="1:10" ht="19" customHeight="1">
      <c r="A537" s="62" t="s">
        <v>363</v>
      </c>
      <c r="C537" s="47" t="s">
        <v>217</v>
      </c>
      <c r="D537" s="47" t="s">
        <v>153</v>
      </c>
      <c r="E537" s="47" t="s">
        <v>590</v>
      </c>
      <c r="F537" s="48">
        <v>5</v>
      </c>
      <c r="G537" s="48">
        <f>VLOOKUP(D537,단가!B:D,3,0)</f>
        <v>10500</v>
      </c>
      <c r="H537" s="48">
        <f t="shared" si="32"/>
        <v>52500</v>
      </c>
      <c r="I537" s="48">
        <f t="shared" si="31"/>
        <v>5250</v>
      </c>
      <c r="J537" s="49">
        <f t="shared" si="30"/>
        <v>57750</v>
      </c>
    </row>
    <row r="538" spans="1:10" ht="19" customHeight="1">
      <c r="A538" s="62" t="s">
        <v>363</v>
      </c>
      <c r="C538" s="47" t="s">
        <v>217</v>
      </c>
      <c r="D538" s="47" t="s">
        <v>151</v>
      </c>
      <c r="E538" s="47" t="s">
        <v>590</v>
      </c>
      <c r="F538" s="48">
        <v>5</v>
      </c>
      <c r="G538" s="48">
        <f>VLOOKUP(D538,단가!B:D,3,0)</f>
        <v>10500</v>
      </c>
      <c r="H538" s="48">
        <f t="shared" si="32"/>
        <v>52500</v>
      </c>
      <c r="I538" s="48">
        <f t="shared" si="31"/>
        <v>5250</v>
      </c>
      <c r="J538" s="49">
        <f t="shared" si="30"/>
        <v>57750</v>
      </c>
    </row>
    <row r="539" spans="1:10" ht="19" customHeight="1">
      <c r="A539" s="62" t="s">
        <v>363</v>
      </c>
      <c r="C539" s="47" t="s">
        <v>217</v>
      </c>
      <c r="D539" s="47" t="s">
        <v>150</v>
      </c>
      <c r="E539" s="47" t="s">
        <v>590</v>
      </c>
      <c r="F539" s="48">
        <v>5</v>
      </c>
      <c r="G539" s="48">
        <f>VLOOKUP(D539,단가!B:D,3,0)</f>
        <v>10500</v>
      </c>
      <c r="H539" s="48">
        <f t="shared" si="32"/>
        <v>52500</v>
      </c>
      <c r="I539" s="48">
        <f t="shared" si="31"/>
        <v>5250</v>
      </c>
      <c r="J539" s="49">
        <f t="shared" si="30"/>
        <v>57750</v>
      </c>
    </row>
    <row r="540" spans="1:10" ht="19" customHeight="1">
      <c r="A540" s="62" t="s">
        <v>363</v>
      </c>
      <c r="C540" s="47" t="s">
        <v>217</v>
      </c>
      <c r="D540" s="47" t="s">
        <v>147</v>
      </c>
      <c r="E540" s="47" t="s">
        <v>590</v>
      </c>
      <c r="F540" s="48">
        <v>5</v>
      </c>
      <c r="G540" s="48">
        <f>VLOOKUP(D540,단가!B:D,3,0)</f>
        <v>10500</v>
      </c>
      <c r="H540" s="48">
        <f t="shared" si="32"/>
        <v>52500</v>
      </c>
      <c r="I540" s="48">
        <f t="shared" si="31"/>
        <v>5250</v>
      </c>
      <c r="J540" s="49">
        <f t="shared" si="30"/>
        <v>57750</v>
      </c>
    </row>
    <row r="541" spans="1:10" ht="19" customHeight="1">
      <c r="A541" s="62" t="s">
        <v>707</v>
      </c>
      <c r="C541" s="47" t="s">
        <v>708</v>
      </c>
      <c r="D541" s="47" t="s">
        <v>688</v>
      </c>
      <c r="E541" s="47" t="s">
        <v>57</v>
      </c>
      <c r="F541" s="48">
        <v>10</v>
      </c>
      <c r="G541" s="48">
        <f>VLOOKUP(D541,단가!B:D,3,0)</f>
        <v>26000</v>
      </c>
      <c r="H541" s="48">
        <f t="shared" si="32"/>
        <v>260000</v>
      </c>
      <c r="I541" s="48">
        <f t="shared" si="31"/>
        <v>26000</v>
      </c>
      <c r="J541" s="49">
        <f t="shared" si="30"/>
        <v>286000</v>
      </c>
    </row>
    <row r="542" spans="1:10" ht="19" customHeight="1">
      <c r="A542" s="62" t="s">
        <v>707</v>
      </c>
      <c r="C542" s="47" t="s">
        <v>708</v>
      </c>
      <c r="D542" s="47" t="s">
        <v>689</v>
      </c>
      <c r="E542" s="47" t="s">
        <v>709</v>
      </c>
      <c r="F542" s="48">
        <v>1</v>
      </c>
      <c r="G542" s="48">
        <f>VLOOKUP(D542,단가!B:D,3,0)</f>
        <v>11500</v>
      </c>
      <c r="H542" s="48">
        <f t="shared" si="32"/>
        <v>11500</v>
      </c>
      <c r="I542" s="48">
        <f t="shared" si="31"/>
        <v>1150</v>
      </c>
      <c r="J542" s="49">
        <f t="shared" si="30"/>
        <v>12650</v>
      </c>
    </row>
    <row r="543" spans="1:10" ht="19" customHeight="1">
      <c r="A543" s="62" t="s">
        <v>707</v>
      </c>
      <c r="C543" s="47" t="s">
        <v>708</v>
      </c>
      <c r="D543" s="47" t="s">
        <v>690</v>
      </c>
      <c r="E543" s="47" t="s">
        <v>709</v>
      </c>
      <c r="F543" s="48">
        <v>2</v>
      </c>
      <c r="G543" s="48">
        <f>VLOOKUP(D543,단가!B:D,3,0)</f>
        <v>15000</v>
      </c>
      <c r="H543" s="48">
        <f t="shared" si="32"/>
        <v>30000</v>
      </c>
      <c r="I543" s="48">
        <f t="shared" si="31"/>
        <v>3000</v>
      </c>
      <c r="J543" s="49">
        <f t="shared" si="30"/>
        <v>33000</v>
      </c>
    </row>
    <row r="544" spans="1:10" ht="19" customHeight="1">
      <c r="A544" s="62" t="s">
        <v>710</v>
      </c>
      <c r="C544" s="47" t="s">
        <v>217</v>
      </c>
      <c r="D544" s="47" t="s">
        <v>627</v>
      </c>
      <c r="E544" s="47" t="s">
        <v>57</v>
      </c>
      <c r="F544" s="48">
        <v>11</v>
      </c>
      <c r="G544" s="48">
        <f>VLOOKUP(D544,단가!B:D,3,0)</f>
        <v>25000</v>
      </c>
      <c r="H544" s="48">
        <f t="shared" si="32"/>
        <v>275000</v>
      </c>
      <c r="I544" s="48">
        <f t="shared" si="31"/>
        <v>27500</v>
      </c>
      <c r="J544" s="49">
        <f t="shared" si="30"/>
        <v>302500</v>
      </c>
    </row>
    <row r="545" spans="1:12" ht="19" customHeight="1">
      <c r="A545" s="62" t="s">
        <v>710</v>
      </c>
      <c r="C545" s="47" t="s">
        <v>217</v>
      </c>
      <c r="D545" s="47" t="s">
        <v>148</v>
      </c>
      <c r="E545" s="47" t="s">
        <v>590</v>
      </c>
      <c r="F545" s="48">
        <v>5</v>
      </c>
      <c r="G545" s="48">
        <f>VLOOKUP(D545,단가!B:D,3,0)</f>
        <v>10500</v>
      </c>
      <c r="H545" s="48">
        <f t="shared" si="32"/>
        <v>52500</v>
      </c>
      <c r="I545" s="48">
        <f t="shared" si="31"/>
        <v>5250</v>
      </c>
      <c r="J545" s="49">
        <f t="shared" si="30"/>
        <v>57750</v>
      </c>
    </row>
    <row r="546" spans="1:12" ht="19" customHeight="1">
      <c r="A546" s="62" t="s">
        <v>710</v>
      </c>
      <c r="C546" s="47" t="s">
        <v>217</v>
      </c>
      <c r="D546" s="47" t="s">
        <v>146</v>
      </c>
      <c r="E546" s="47" t="s">
        <v>590</v>
      </c>
      <c r="F546" s="48">
        <v>5</v>
      </c>
      <c r="G546" s="48">
        <f>VLOOKUP(D546,단가!B:D,3,0)</f>
        <v>10500</v>
      </c>
      <c r="H546" s="48">
        <f t="shared" si="32"/>
        <v>52500</v>
      </c>
      <c r="I546" s="48">
        <f t="shared" si="31"/>
        <v>5250</v>
      </c>
      <c r="J546" s="49">
        <f t="shared" si="30"/>
        <v>57750</v>
      </c>
    </row>
    <row r="547" spans="1:12" ht="19" customHeight="1">
      <c r="A547" s="62" t="s">
        <v>710</v>
      </c>
      <c r="C547" s="47" t="s">
        <v>217</v>
      </c>
      <c r="D547" s="47" t="s">
        <v>147</v>
      </c>
      <c r="E547" s="47" t="s">
        <v>590</v>
      </c>
      <c r="F547" s="48">
        <v>5</v>
      </c>
      <c r="G547" s="48">
        <f>VLOOKUP(D547,단가!B:D,3,0)</f>
        <v>10500</v>
      </c>
      <c r="H547" s="48">
        <f t="shared" si="32"/>
        <v>52500</v>
      </c>
      <c r="I547" s="48">
        <f t="shared" si="31"/>
        <v>5250</v>
      </c>
      <c r="J547" s="49">
        <f t="shared" si="30"/>
        <v>57750</v>
      </c>
    </row>
    <row r="548" spans="1:12" ht="19" customHeight="1">
      <c r="A548" s="62" t="s">
        <v>710</v>
      </c>
      <c r="C548" s="47" t="s">
        <v>217</v>
      </c>
      <c r="D548" s="47" t="s">
        <v>149</v>
      </c>
      <c r="E548" s="47" t="s">
        <v>590</v>
      </c>
      <c r="F548" s="48">
        <v>5</v>
      </c>
      <c r="G548" s="48">
        <f>VLOOKUP(D548,단가!B:D,3,0)</f>
        <v>10500</v>
      </c>
      <c r="H548" s="48">
        <f t="shared" si="32"/>
        <v>52500</v>
      </c>
      <c r="I548" s="48">
        <f t="shared" si="31"/>
        <v>5250</v>
      </c>
      <c r="J548" s="49">
        <f t="shared" si="30"/>
        <v>57750</v>
      </c>
    </row>
    <row r="549" spans="1:12" ht="19" customHeight="1">
      <c r="A549" s="62" t="s">
        <v>710</v>
      </c>
      <c r="C549" s="47" t="s">
        <v>217</v>
      </c>
      <c r="D549" s="47" t="s">
        <v>152</v>
      </c>
      <c r="E549" s="47" t="s">
        <v>590</v>
      </c>
      <c r="F549" s="48">
        <v>5</v>
      </c>
      <c r="G549" s="48">
        <f>VLOOKUP(D549,단가!B:D,3,0)</f>
        <v>10500</v>
      </c>
      <c r="H549" s="48">
        <f t="shared" si="32"/>
        <v>52500</v>
      </c>
      <c r="I549" s="48">
        <f t="shared" si="31"/>
        <v>5250</v>
      </c>
      <c r="J549" s="49">
        <f t="shared" si="30"/>
        <v>57750</v>
      </c>
    </row>
    <row r="550" spans="1:12" ht="19" customHeight="1">
      <c r="A550" s="62" t="s">
        <v>710</v>
      </c>
      <c r="C550" s="47" t="s">
        <v>217</v>
      </c>
      <c r="D550" s="47" t="s">
        <v>154</v>
      </c>
      <c r="E550" s="47" t="s">
        <v>590</v>
      </c>
      <c r="F550" s="48">
        <v>5</v>
      </c>
      <c r="G550" s="48">
        <f>VLOOKUP(D550,단가!B:D,3,0)</f>
        <v>10500</v>
      </c>
      <c r="H550" s="48">
        <f t="shared" si="32"/>
        <v>52500</v>
      </c>
      <c r="I550" s="48">
        <f t="shared" si="31"/>
        <v>5250</v>
      </c>
      <c r="J550" s="49">
        <f t="shared" si="30"/>
        <v>57750</v>
      </c>
    </row>
    <row r="551" spans="1:12" ht="19" customHeight="1">
      <c r="A551" s="62" t="s">
        <v>710</v>
      </c>
      <c r="C551" s="47" t="s">
        <v>217</v>
      </c>
      <c r="D551" s="47" t="s">
        <v>153</v>
      </c>
      <c r="E551" s="47" t="s">
        <v>590</v>
      </c>
      <c r="F551" s="48">
        <v>5</v>
      </c>
      <c r="G551" s="48">
        <f>VLOOKUP(D551,단가!B:D,3,0)</f>
        <v>10500</v>
      </c>
      <c r="H551" s="48">
        <f t="shared" si="32"/>
        <v>52500</v>
      </c>
      <c r="I551" s="48">
        <f t="shared" si="31"/>
        <v>5250</v>
      </c>
      <c r="J551" s="49">
        <f t="shared" si="30"/>
        <v>57750</v>
      </c>
    </row>
    <row r="552" spans="1:12" ht="19" customHeight="1">
      <c r="A552" s="62" t="s">
        <v>710</v>
      </c>
      <c r="C552" s="47" t="s">
        <v>217</v>
      </c>
      <c r="D552" s="47" t="s">
        <v>151</v>
      </c>
      <c r="E552" s="47" t="s">
        <v>590</v>
      </c>
      <c r="F552" s="48">
        <v>5</v>
      </c>
      <c r="G552" s="48">
        <f>VLOOKUP(D552,단가!B:D,3,0)</f>
        <v>10500</v>
      </c>
      <c r="H552" s="48">
        <f t="shared" si="32"/>
        <v>52500</v>
      </c>
      <c r="I552" s="48">
        <f t="shared" si="31"/>
        <v>5250</v>
      </c>
      <c r="J552" s="49">
        <f t="shared" si="30"/>
        <v>57750</v>
      </c>
    </row>
    <row r="553" spans="1:12" ht="19" customHeight="1">
      <c r="A553" s="62" t="s">
        <v>710</v>
      </c>
      <c r="C553" s="47" t="s">
        <v>217</v>
      </c>
      <c r="D553" s="47" t="s">
        <v>150</v>
      </c>
      <c r="E553" s="47" t="s">
        <v>590</v>
      </c>
      <c r="F553" s="48">
        <v>5</v>
      </c>
      <c r="G553" s="48">
        <f>VLOOKUP(D553,단가!B:D,3,0)</f>
        <v>10500</v>
      </c>
      <c r="H553" s="48">
        <f t="shared" si="32"/>
        <v>52500</v>
      </c>
      <c r="I553" s="48">
        <f t="shared" si="31"/>
        <v>5250</v>
      </c>
      <c r="J553" s="49">
        <f t="shared" si="30"/>
        <v>57750</v>
      </c>
    </row>
    <row r="554" spans="1:12" ht="19" customHeight="1">
      <c r="A554" s="62" t="s">
        <v>710</v>
      </c>
      <c r="C554" s="47" t="s">
        <v>217</v>
      </c>
      <c r="D554" s="47" t="s">
        <v>649</v>
      </c>
      <c r="E554" s="47" t="s">
        <v>92</v>
      </c>
      <c r="F554" s="48">
        <v>5</v>
      </c>
      <c r="G554" s="48">
        <f>VLOOKUP(D554,단가!B:D,3,0)</f>
        <v>14000</v>
      </c>
      <c r="H554" s="48">
        <f t="shared" si="32"/>
        <v>70000</v>
      </c>
      <c r="I554" s="48">
        <f t="shared" si="31"/>
        <v>7000</v>
      </c>
      <c r="J554" s="49">
        <f t="shared" si="30"/>
        <v>77000</v>
      </c>
      <c r="L554" s="56"/>
    </row>
    <row r="555" spans="1:12" ht="19" customHeight="1">
      <c r="A555" s="62" t="s">
        <v>711</v>
      </c>
      <c r="C555" s="47" t="s">
        <v>217</v>
      </c>
      <c r="D555" s="47" t="s">
        <v>627</v>
      </c>
      <c r="E555" s="47" t="s">
        <v>57</v>
      </c>
      <c r="F555" s="48">
        <v>25</v>
      </c>
      <c r="G555" s="48">
        <f>VLOOKUP(D555,단가!B:D,3,0)</f>
        <v>25000</v>
      </c>
      <c r="H555" s="48">
        <f t="shared" si="32"/>
        <v>625000</v>
      </c>
      <c r="I555" s="48">
        <f t="shared" si="31"/>
        <v>62500</v>
      </c>
      <c r="J555" s="49">
        <f t="shared" si="30"/>
        <v>687500</v>
      </c>
    </row>
    <row r="556" spans="1:12" ht="19" customHeight="1">
      <c r="A556" s="62" t="s">
        <v>712</v>
      </c>
      <c r="C556" s="47" t="s">
        <v>126</v>
      </c>
      <c r="D556" s="47" t="s">
        <v>688</v>
      </c>
      <c r="E556" s="47" t="s">
        <v>57</v>
      </c>
      <c r="F556" s="48">
        <v>10</v>
      </c>
      <c r="G556" s="48">
        <f>VLOOKUP(D556,단가!B:D,3,0)</f>
        <v>26000</v>
      </c>
      <c r="H556" s="48">
        <f t="shared" si="32"/>
        <v>260000</v>
      </c>
      <c r="I556" s="48">
        <f t="shared" si="31"/>
        <v>26000</v>
      </c>
      <c r="J556" s="49">
        <f t="shared" si="30"/>
        <v>286000</v>
      </c>
    </row>
    <row r="557" spans="1:12" ht="19" customHeight="1">
      <c r="A557" s="62" t="s">
        <v>712</v>
      </c>
      <c r="C557" s="47" t="s">
        <v>126</v>
      </c>
      <c r="D557" s="47" t="s">
        <v>690</v>
      </c>
      <c r="E557" s="47" t="s">
        <v>131</v>
      </c>
      <c r="F557" s="48">
        <v>2</v>
      </c>
      <c r="G557" s="48">
        <f>VLOOKUP(D557,단가!B:D,3,0)</f>
        <v>15000</v>
      </c>
      <c r="H557" s="48">
        <f t="shared" si="32"/>
        <v>30000</v>
      </c>
      <c r="I557" s="48">
        <f t="shared" si="31"/>
        <v>3000</v>
      </c>
      <c r="J557" s="49">
        <f t="shared" si="30"/>
        <v>33000</v>
      </c>
    </row>
    <row r="558" spans="1:12" ht="19" customHeight="1">
      <c r="A558" s="62" t="s">
        <v>370</v>
      </c>
      <c r="C558" s="47" t="s">
        <v>486</v>
      </c>
      <c r="D558" s="47" t="s">
        <v>315</v>
      </c>
      <c r="E558" s="47" t="s">
        <v>57</v>
      </c>
      <c r="F558" s="48">
        <v>2</v>
      </c>
      <c r="G558" s="48">
        <f>VLOOKUP(D558,단가!B:D,3,0)</f>
        <v>32000</v>
      </c>
      <c r="H558" s="48">
        <f t="shared" si="32"/>
        <v>64000</v>
      </c>
      <c r="I558" s="48">
        <f t="shared" si="31"/>
        <v>6400</v>
      </c>
      <c r="J558" s="49">
        <f t="shared" si="30"/>
        <v>70400</v>
      </c>
    </row>
    <row r="559" spans="1:12" ht="19" customHeight="1">
      <c r="A559" s="62" t="s">
        <v>713</v>
      </c>
      <c r="C559" s="47" t="s">
        <v>505</v>
      </c>
      <c r="D559" s="47" t="s">
        <v>315</v>
      </c>
      <c r="E559" s="47" t="s">
        <v>57</v>
      </c>
      <c r="F559" s="48">
        <v>2</v>
      </c>
      <c r="G559" s="48">
        <f>VLOOKUP(D559,단가!B:D,3,0)</f>
        <v>32000</v>
      </c>
      <c r="H559" s="48">
        <f t="shared" si="32"/>
        <v>64000</v>
      </c>
      <c r="I559" s="48">
        <f t="shared" si="31"/>
        <v>6400</v>
      </c>
      <c r="J559" s="49">
        <f t="shared" ref="J559:J629" si="36">H559+I559</f>
        <v>70400</v>
      </c>
    </row>
    <row r="560" spans="1:12" ht="19" customHeight="1">
      <c r="A560" s="62" t="s">
        <v>713</v>
      </c>
      <c r="C560" s="47" t="s">
        <v>505</v>
      </c>
      <c r="D560" s="47" t="s">
        <v>563</v>
      </c>
      <c r="E560" s="47" t="s">
        <v>565</v>
      </c>
      <c r="F560" s="48">
        <v>1</v>
      </c>
      <c r="G560" s="48">
        <v>3500</v>
      </c>
      <c r="H560" s="48">
        <f t="shared" si="32"/>
        <v>3500</v>
      </c>
      <c r="I560" s="48">
        <f t="shared" ref="I560" si="37">H560*0.1</f>
        <v>350</v>
      </c>
      <c r="J560" s="49">
        <f t="shared" si="36"/>
        <v>3850</v>
      </c>
    </row>
    <row r="561" spans="1:12" ht="19" customHeight="1">
      <c r="A561" s="62" t="s">
        <v>713</v>
      </c>
      <c r="C561" s="47" t="s">
        <v>217</v>
      </c>
      <c r="D561" s="47" t="s">
        <v>714</v>
      </c>
      <c r="E561" s="47" t="s">
        <v>57</v>
      </c>
      <c r="F561" s="48">
        <v>1</v>
      </c>
      <c r="G561" s="48">
        <f>VLOOKUP(D561,단가!B:D,3,0)</f>
        <v>22000</v>
      </c>
      <c r="H561" s="48">
        <f t="shared" si="32"/>
        <v>22000</v>
      </c>
      <c r="I561" s="48">
        <f t="shared" ref="I561:I630" si="38">H561*0.1</f>
        <v>2200</v>
      </c>
      <c r="J561" s="49">
        <f t="shared" si="36"/>
        <v>24200</v>
      </c>
    </row>
    <row r="562" spans="1:12" ht="19" customHeight="1">
      <c r="A562" s="62" t="s">
        <v>713</v>
      </c>
      <c r="C562" s="47" t="s">
        <v>217</v>
      </c>
      <c r="D562" s="47" t="s">
        <v>146</v>
      </c>
      <c r="E562" s="47" t="s">
        <v>590</v>
      </c>
      <c r="F562" s="48">
        <v>5</v>
      </c>
      <c r="G562" s="48">
        <f>VLOOKUP(D562,단가!B:D,3,0)</f>
        <v>10500</v>
      </c>
      <c r="H562" s="48">
        <f t="shared" si="32"/>
        <v>52500</v>
      </c>
      <c r="I562" s="48">
        <f t="shared" si="38"/>
        <v>5250</v>
      </c>
      <c r="J562" s="49">
        <f t="shared" si="36"/>
        <v>57750</v>
      </c>
    </row>
    <row r="563" spans="1:12" ht="19" customHeight="1">
      <c r="A563" s="62" t="s">
        <v>715</v>
      </c>
      <c r="C563" s="47" t="s">
        <v>567</v>
      </c>
      <c r="D563" s="47" t="s">
        <v>627</v>
      </c>
      <c r="E563" s="47" t="s">
        <v>57</v>
      </c>
      <c r="F563" s="48">
        <v>3</v>
      </c>
      <c r="G563" s="48">
        <f>VLOOKUP(D563,단가!B:D,3,0)</f>
        <v>25000</v>
      </c>
      <c r="H563" s="48">
        <f t="shared" si="32"/>
        <v>75000</v>
      </c>
      <c r="J563" s="49">
        <f t="shared" si="36"/>
        <v>75000</v>
      </c>
      <c r="L563" s="56"/>
    </row>
    <row r="564" spans="1:12" ht="19" customHeight="1">
      <c r="A564" s="62" t="s">
        <v>716</v>
      </c>
      <c r="C564" s="47" t="s">
        <v>508</v>
      </c>
      <c r="D564" s="47" t="s">
        <v>315</v>
      </c>
      <c r="E564" s="47" t="s">
        <v>57</v>
      </c>
      <c r="F564" s="48">
        <v>2</v>
      </c>
      <c r="G564" s="48">
        <f>VLOOKUP(D564,단가!B:D,3,0)</f>
        <v>32000</v>
      </c>
      <c r="H564" s="48">
        <f t="shared" si="32"/>
        <v>64000</v>
      </c>
      <c r="I564" s="48">
        <f t="shared" si="38"/>
        <v>6400</v>
      </c>
      <c r="J564" s="49">
        <f t="shared" si="36"/>
        <v>70400</v>
      </c>
      <c r="L564" s="56"/>
    </row>
    <row r="565" spans="1:12" ht="19" customHeight="1">
      <c r="A565" s="62" t="s">
        <v>717</v>
      </c>
      <c r="C565" s="47" t="s">
        <v>217</v>
      </c>
      <c r="D565" s="47" t="s">
        <v>627</v>
      </c>
      <c r="E565" s="47" t="s">
        <v>57</v>
      </c>
      <c r="F565" s="48">
        <v>6</v>
      </c>
      <c r="G565" s="48">
        <f>VLOOKUP(D565,단가!B:D,3,0)</f>
        <v>25000</v>
      </c>
      <c r="H565" s="48">
        <f t="shared" si="32"/>
        <v>150000</v>
      </c>
      <c r="I565" s="48">
        <f t="shared" si="38"/>
        <v>15000</v>
      </c>
      <c r="J565" s="49">
        <f t="shared" si="36"/>
        <v>165000</v>
      </c>
    </row>
    <row r="566" spans="1:12" ht="19" customHeight="1">
      <c r="A566" s="62" t="s">
        <v>717</v>
      </c>
      <c r="C566" s="47" t="s">
        <v>217</v>
      </c>
      <c r="D566" s="47" t="s">
        <v>302</v>
      </c>
      <c r="E566" s="47" t="s">
        <v>57</v>
      </c>
      <c r="F566" s="48">
        <v>2</v>
      </c>
      <c r="G566" s="48">
        <f>VLOOKUP(D566,단가!B:D,3,0)</f>
        <v>22000</v>
      </c>
      <c r="H566" s="48">
        <f t="shared" si="32"/>
        <v>44000</v>
      </c>
      <c r="I566" s="48">
        <f t="shared" si="38"/>
        <v>4400</v>
      </c>
      <c r="J566" s="49">
        <f t="shared" si="36"/>
        <v>48400</v>
      </c>
    </row>
    <row r="567" spans="1:12" ht="19" customHeight="1">
      <c r="A567" s="62" t="s">
        <v>717</v>
      </c>
      <c r="C567" s="47" t="s">
        <v>217</v>
      </c>
      <c r="D567" s="47" t="s">
        <v>153</v>
      </c>
      <c r="E567" s="47" t="s">
        <v>590</v>
      </c>
      <c r="F567" s="48">
        <v>5</v>
      </c>
      <c r="G567" s="48">
        <f>VLOOKUP(D567,단가!B:D,3,0)</f>
        <v>10500</v>
      </c>
      <c r="H567" s="48">
        <f t="shared" si="32"/>
        <v>52500</v>
      </c>
      <c r="I567" s="48">
        <f t="shared" si="38"/>
        <v>5250</v>
      </c>
      <c r="J567" s="49">
        <f t="shared" si="36"/>
        <v>57750</v>
      </c>
    </row>
    <row r="568" spans="1:12" ht="19" customHeight="1">
      <c r="A568" s="62" t="s">
        <v>717</v>
      </c>
      <c r="C568" s="47" t="s">
        <v>217</v>
      </c>
      <c r="D568" s="47" t="s">
        <v>151</v>
      </c>
      <c r="E568" s="47" t="s">
        <v>590</v>
      </c>
      <c r="F568" s="48">
        <v>5</v>
      </c>
      <c r="G568" s="48">
        <f>VLOOKUP(D568,단가!B:D,3,0)</f>
        <v>10500</v>
      </c>
      <c r="H568" s="48">
        <f t="shared" si="32"/>
        <v>52500</v>
      </c>
      <c r="I568" s="48">
        <f t="shared" si="38"/>
        <v>5250</v>
      </c>
      <c r="J568" s="49">
        <f t="shared" si="36"/>
        <v>57750</v>
      </c>
    </row>
    <row r="569" spans="1:12" ht="19" customHeight="1">
      <c r="A569" s="62" t="s">
        <v>717</v>
      </c>
      <c r="C569" s="47" t="s">
        <v>217</v>
      </c>
      <c r="D569" s="47" t="s">
        <v>152</v>
      </c>
      <c r="E569" s="47" t="s">
        <v>590</v>
      </c>
      <c r="F569" s="48">
        <v>5</v>
      </c>
      <c r="G569" s="48">
        <f>VLOOKUP(D569,단가!B:D,3,0)</f>
        <v>10500</v>
      </c>
      <c r="H569" s="48">
        <f t="shared" si="32"/>
        <v>52500</v>
      </c>
      <c r="I569" s="48">
        <f t="shared" si="38"/>
        <v>5250</v>
      </c>
      <c r="J569" s="49">
        <f t="shared" si="36"/>
        <v>57750</v>
      </c>
    </row>
    <row r="570" spans="1:12" ht="19" customHeight="1">
      <c r="A570" s="62" t="s">
        <v>717</v>
      </c>
      <c r="C570" s="47" t="s">
        <v>217</v>
      </c>
      <c r="D570" s="47" t="s">
        <v>149</v>
      </c>
      <c r="E570" s="47" t="s">
        <v>590</v>
      </c>
      <c r="F570" s="48">
        <v>5</v>
      </c>
      <c r="G570" s="48">
        <f>VLOOKUP(D570,단가!B:D,3,0)</f>
        <v>10500</v>
      </c>
      <c r="H570" s="48">
        <f t="shared" si="32"/>
        <v>52500</v>
      </c>
      <c r="I570" s="48">
        <f t="shared" si="38"/>
        <v>5250</v>
      </c>
      <c r="J570" s="49">
        <f t="shared" si="36"/>
        <v>57750</v>
      </c>
    </row>
    <row r="571" spans="1:12" ht="19" customHeight="1">
      <c r="A571" s="62" t="s">
        <v>717</v>
      </c>
      <c r="C571" s="47" t="s">
        <v>217</v>
      </c>
      <c r="D571" s="47" t="s">
        <v>148</v>
      </c>
      <c r="E571" s="47" t="s">
        <v>590</v>
      </c>
      <c r="F571" s="48">
        <v>5</v>
      </c>
      <c r="G571" s="48">
        <f>VLOOKUP(D571,단가!B:D,3,0)</f>
        <v>10500</v>
      </c>
      <c r="H571" s="48">
        <f t="shared" si="32"/>
        <v>52500</v>
      </c>
      <c r="I571" s="48">
        <f t="shared" si="38"/>
        <v>5250</v>
      </c>
      <c r="J571" s="49">
        <f t="shared" si="36"/>
        <v>57750</v>
      </c>
    </row>
    <row r="572" spans="1:12" ht="19" customHeight="1">
      <c r="A572" s="62" t="s">
        <v>718</v>
      </c>
      <c r="C572" s="47" t="s">
        <v>217</v>
      </c>
      <c r="D572" s="47" t="s">
        <v>154</v>
      </c>
      <c r="E572" s="47" t="s">
        <v>590</v>
      </c>
      <c r="F572" s="79">
        <v>5</v>
      </c>
      <c r="G572" s="79">
        <f>VLOOKUP(D572,단가!B:D,3,0)</f>
        <v>10500</v>
      </c>
      <c r="H572" s="79">
        <f t="shared" si="32"/>
        <v>52500</v>
      </c>
      <c r="I572" s="79">
        <f t="shared" si="38"/>
        <v>5250</v>
      </c>
      <c r="J572" s="49">
        <f t="shared" si="36"/>
        <v>57750</v>
      </c>
    </row>
    <row r="573" spans="1:12" ht="19" customHeight="1">
      <c r="A573" s="62" t="s">
        <v>718</v>
      </c>
      <c r="C573" s="47" t="s">
        <v>217</v>
      </c>
      <c r="D573" s="47" t="s">
        <v>150</v>
      </c>
      <c r="E573" s="47" t="s">
        <v>590</v>
      </c>
      <c r="F573" s="79">
        <v>5</v>
      </c>
      <c r="G573" s="79">
        <f>VLOOKUP(D573,단가!B:D,3,0)</f>
        <v>10500</v>
      </c>
      <c r="H573" s="79">
        <f t="shared" si="32"/>
        <v>52500</v>
      </c>
      <c r="I573" s="79">
        <f t="shared" si="38"/>
        <v>5250</v>
      </c>
      <c r="J573" s="49">
        <f t="shared" si="36"/>
        <v>57750</v>
      </c>
    </row>
    <row r="574" spans="1:12" ht="19" customHeight="1">
      <c r="A574" s="62" t="s">
        <v>718</v>
      </c>
      <c r="C574" s="47" t="s">
        <v>217</v>
      </c>
      <c r="D574" s="47" t="s">
        <v>148</v>
      </c>
      <c r="E574" s="47" t="s">
        <v>590</v>
      </c>
      <c r="F574" s="79">
        <v>5</v>
      </c>
      <c r="G574" s="79">
        <f>VLOOKUP(D574,단가!B:D,3,0)</f>
        <v>10500</v>
      </c>
      <c r="H574" s="79">
        <f t="shared" si="32"/>
        <v>52500</v>
      </c>
      <c r="I574" s="79">
        <f t="shared" si="38"/>
        <v>5250</v>
      </c>
      <c r="J574" s="49">
        <f t="shared" si="36"/>
        <v>57750</v>
      </c>
    </row>
    <row r="575" spans="1:12" ht="19" customHeight="1">
      <c r="A575" s="62" t="s">
        <v>718</v>
      </c>
      <c r="C575" s="47" t="s">
        <v>217</v>
      </c>
      <c r="D575" s="47" t="s">
        <v>146</v>
      </c>
      <c r="E575" s="47" t="s">
        <v>590</v>
      </c>
      <c r="F575" s="79">
        <v>5</v>
      </c>
      <c r="G575" s="79">
        <f>VLOOKUP(D575,단가!B:D,3,0)</f>
        <v>10500</v>
      </c>
      <c r="H575" s="79">
        <f t="shared" si="32"/>
        <v>52500</v>
      </c>
      <c r="I575" s="79">
        <f t="shared" si="38"/>
        <v>5250</v>
      </c>
      <c r="J575" s="49">
        <f t="shared" si="36"/>
        <v>57750</v>
      </c>
    </row>
    <row r="576" spans="1:12" ht="19" customHeight="1">
      <c r="A576" s="62" t="s">
        <v>718</v>
      </c>
      <c r="C576" s="47" t="s">
        <v>217</v>
      </c>
      <c r="D576" s="47" t="s">
        <v>147</v>
      </c>
      <c r="E576" s="47" t="s">
        <v>590</v>
      </c>
      <c r="F576" s="79">
        <v>5</v>
      </c>
      <c r="G576" s="79">
        <f>VLOOKUP(D576,단가!B:D,3,0)</f>
        <v>10500</v>
      </c>
      <c r="H576" s="79">
        <f t="shared" si="32"/>
        <v>52500</v>
      </c>
      <c r="I576" s="79">
        <f t="shared" si="38"/>
        <v>5250</v>
      </c>
      <c r="J576" s="49">
        <f t="shared" si="36"/>
        <v>57750</v>
      </c>
    </row>
    <row r="577" spans="1:10" ht="19" customHeight="1">
      <c r="A577" s="62" t="s">
        <v>727</v>
      </c>
      <c r="C577" s="47" t="s">
        <v>316</v>
      </c>
      <c r="D577" s="47" t="s">
        <v>405</v>
      </c>
      <c r="F577" s="79">
        <v>1</v>
      </c>
      <c r="G577" s="79">
        <f>VLOOKUP(D577,단가!B:D,3,0)</f>
        <v>30000</v>
      </c>
      <c r="H577" s="79">
        <f t="shared" si="32"/>
        <v>30000</v>
      </c>
      <c r="I577" s="79">
        <f t="shared" ref="I577:I587" si="39">H577*0.1</f>
        <v>3000</v>
      </c>
      <c r="J577" s="49">
        <f t="shared" ref="J577:J587" si="40">H577+I577</f>
        <v>33000</v>
      </c>
    </row>
    <row r="578" spans="1:10" ht="19" customHeight="1">
      <c r="A578" s="62" t="s">
        <v>727</v>
      </c>
      <c r="C578" s="47" t="s">
        <v>375</v>
      </c>
      <c r="D578" s="47" t="s">
        <v>405</v>
      </c>
      <c r="F578" s="79">
        <v>1</v>
      </c>
      <c r="G578" s="79">
        <f>VLOOKUP(D578,단가!B:D,3,0)</f>
        <v>30000</v>
      </c>
      <c r="H578" s="79">
        <f t="shared" ref="H578:H587" si="41">F578*G578</f>
        <v>30000</v>
      </c>
      <c r="I578" s="79">
        <f t="shared" si="39"/>
        <v>3000</v>
      </c>
      <c r="J578" s="49">
        <f t="shared" si="40"/>
        <v>33000</v>
      </c>
    </row>
    <row r="579" spans="1:10" ht="19" customHeight="1">
      <c r="A579" s="62" t="s">
        <v>727</v>
      </c>
      <c r="C579" s="47" t="s">
        <v>394</v>
      </c>
      <c r="D579" s="47" t="s">
        <v>405</v>
      </c>
      <c r="F579" s="79">
        <v>1</v>
      </c>
      <c r="G579" s="79">
        <f>VLOOKUP(D579,단가!B:D,3,0)</f>
        <v>30000</v>
      </c>
      <c r="H579" s="79">
        <f t="shared" si="41"/>
        <v>30000</v>
      </c>
      <c r="I579" s="79">
        <f t="shared" si="39"/>
        <v>3000</v>
      </c>
      <c r="J579" s="49">
        <f t="shared" si="40"/>
        <v>33000</v>
      </c>
    </row>
    <row r="580" spans="1:10" ht="19" customHeight="1">
      <c r="A580" s="62" t="s">
        <v>727</v>
      </c>
      <c r="C580" s="47" t="s">
        <v>434</v>
      </c>
      <c r="D580" s="47" t="s">
        <v>405</v>
      </c>
      <c r="F580" s="79">
        <v>1</v>
      </c>
      <c r="G580" s="79">
        <f>VLOOKUP(D580,단가!B:D,3,0)</f>
        <v>30000</v>
      </c>
      <c r="H580" s="79">
        <f t="shared" si="41"/>
        <v>30000</v>
      </c>
      <c r="I580" s="79">
        <f t="shared" si="39"/>
        <v>3000</v>
      </c>
      <c r="J580" s="49">
        <f t="shared" si="40"/>
        <v>33000</v>
      </c>
    </row>
    <row r="581" spans="1:10" ht="19" customHeight="1">
      <c r="A581" s="62" t="s">
        <v>727</v>
      </c>
      <c r="C581" s="47" t="s">
        <v>467</v>
      </c>
      <c r="D581" s="47" t="s">
        <v>405</v>
      </c>
      <c r="F581" s="79">
        <v>1</v>
      </c>
      <c r="G581" s="79">
        <f>VLOOKUP(D581,단가!B:D,3,0)</f>
        <v>30000</v>
      </c>
      <c r="H581" s="79">
        <f t="shared" si="41"/>
        <v>30000</v>
      </c>
      <c r="I581" s="79">
        <f t="shared" si="39"/>
        <v>3000</v>
      </c>
      <c r="J581" s="49">
        <f t="shared" si="40"/>
        <v>33000</v>
      </c>
    </row>
    <row r="582" spans="1:10" ht="19" customHeight="1">
      <c r="A582" s="62" t="s">
        <v>727</v>
      </c>
      <c r="C582" s="47" t="s">
        <v>480</v>
      </c>
      <c r="D582" s="47" t="s">
        <v>405</v>
      </c>
      <c r="F582" s="79">
        <v>1</v>
      </c>
      <c r="G582" s="79">
        <f>VLOOKUP(D582,단가!B:D,3,0)</f>
        <v>30000</v>
      </c>
      <c r="H582" s="79">
        <f t="shared" si="41"/>
        <v>30000</v>
      </c>
      <c r="I582" s="79">
        <f t="shared" si="39"/>
        <v>3000</v>
      </c>
      <c r="J582" s="49">
        <f t="shared" si="40"/>
        <v>33000</v>
      </c>
    </row>
    <row r="583" spans="1:10" ht="19" customHeight="1">
      <c r="A583" s="62" t="s">
        <v>727</v>
      </c>
      <c r="C583" s="47" t="s">
        <v>483</v>
      </c>
      <c r="D583" s="47" t="s">
        <v>405</v>
      </c>
      <c r="F583" s="79">
        <v>1</v>
      </c>
      <c r="G583" s="79">
        <f>VLOOKUP(D583,단가!B:D,3,0)</f>
        <v>30000</v>
      </c>
      <c r="H583" s="79">
        <f t="shared" si="41"/>
        <v>30000</v>
      </c>
      <c r="I583" s="79">
        <f t="shared" si="39"/>
        <v>3000</v>
      </c>
      <c r="J583" s="49">
        <f t="shared" si="40"/>
        <v>33000</v>
      </c>
    </row>
    <row r="584" spans="1:10" ht="19" customHeight="1">
      <c r="A584" s="62" t="s">
        <v>727</v>
      </c>
      <c r="C584" s="47" t="s">
        <v>486</v>
      </c>
      <c r="D584" s="47" t="s">
        <v>405</v>
      </c>
      <c r="F584" s="79">
        <v>1</v>
      </c>
      <c r="G584" s="79">
        <f>VLOOKUP(D584,단가!B:D,3,0)</f>
        <v>30000</v>
      </c>
      <c r="H584" s="79">
        <f t="shared" si="41"/>
        <v>30000</v>
      </c>
      <c r="I584" s="79">
        <f t="shared" si="39"/>
        <v>3000</v>
      </c>
      <c r="J584" s="49">
        <f t="shared" si="40"/>
        <v>33000</v>
      </c>
    </row>
    <row r="585" spans="1:10" ht="19" customHeight="1">
      <c r="A585" s="62" t="s">
        <v>727</v>
      </c>
      <c r="C585" s="47" t="s">
        <v>501</v>
      </c>
      <c r="D585" s="47" t="s">
        <v>405</v>
      </c>
      <c r="F585" s="79">
        <v>1</v>
      </c>
      <c r="G585" s="79">
        <f>VLOOKUP(D585,단가!B:D,3,0)</f>
        <v>30000</v>
      </c>
      <c r="H585" s="79">
        <f t="shared" si="41"/>
        <v>30000</v>
      </c>
      <c r="I585" s="79">
        <f t="shared" si="39"/>
        <v>3000</v>
      </c>
      <c r="J585" s="49">
        <f t="shared" si="40"/>
        <v>33000</v>
      </c>
    </row>
    <row r="586" spans="1:10" ht="19" customHeight="1">
      <c r="A586" s="62" t="s">
        <v>727</v>
      </c>
      <c r="C586" s="47" t="s">
        <v>505</v>
      </c>
      <c r="D586" s="47" t="s">
        <v>405</v>
      </c>
      <c r="F586" s="79">
        <v>1</v>
      </c>
      <c r="G586" s="79">
        <f>VLOOKUP(D586,단가!B:D,3,0)</f>
        <v>30000</v>
      </c>
      <c r="H586" s="79">
        <f t="shared" si="41"/>
        <v>30000</v>
      </c>
      <c r="I586" s="79">
        <f t="shared" si="39"/>
        <v>3000</v>
      </c>
      <c r="J586" s="49">
        <f t="shared" si="40"/>
        <v>33000</v>
      </c>
    </row>
    <row r="587" spans="1:10" ht="19" customHeight="1">
      <c r="A587" s="62" t="s">
        <v>727</v>
      </c>
      <c r="C587" s="47" t="s">
        <v>508</v>
      </c>
      <c r="D587" s="47" t="s">
        <v>405</v>
      </c>
      <c r="F587" s="79">
        <v>1</v>
      </c>
      <c r="G587" s="79">
        <f>VLOOKUP(D587,단가!B:D,3,0)</f>
        <v>30000</v>
      </c>
      <c r="H587" s="79">
        <f t="shared" si="41"/>
        <v>30000</v>
      </c>
      <c r="I587" s="79">
        <f t="shared" si="39"/>
        <v>3000</v>
      </c>
      <c r="J587" s="49">
        <f t="shared" si="40"/>
        <v>33000</v>
      </c>
    </row>
    <row r="588" spans="1:10" ht="19" customHeight="1">
      <c r="A588" s="62" t="s">
        <v>726</v>
      </c>
      <c r="C588" s="47" t="s">
        <v>467</v>
      </c>
      <c r="D588" s="47" t="s">
        <v>315</v>
      </c>
      <c r="E588" s="47" t="s">
        <v>57</v>
      </c>
      <c r="F588" s="48">
        <v>2</v>
      </c>
      <c r="G588" s="48">
        <f>VLOOKUP(D588,단가!B:D,3,0)</f>
        <v>32000</v>
      </c>
      <c r="H588" s="48">
        <f t="shared" ref="H588:H661" si="42">F588*G588</f>
        <v>64000</v>
      </c>
      <c r="I588" s="48">
        <f t="shared" si="38"/>
        <v>6400</v>
      </c>
      <c r="J588" s="49">
        <f t="shared" si="36"/>
        <v>70400</v>
      </c>
    </row>
    <row r="589" spans="1:10" ht="19" customHeight="1">
      <c r="A589" s="62" t="s">
        <v>726</v>
      </c>
      <c r="C589" s="17" t="s">
        <v>719</v>
      </c>
      <c r="D589" s="47" t="s">
        <v>627</v>
      </c>
      <c r="E589" s="47" t="s">
        <v>57</v>
      </c>
      <c r="F589" s="48">
        <v>2</v>
      </c>
      <c r="G589" s="48">
        <v>30000</v>
      </c>
      <c r="H589" s="48">
        <f t="shared" si="42"/>
        <v>60000</v>
      </c>
      <c r="I589" s="48">
        <f t="shared" si="38"/>
        <v>6000</v>
      </c>
      <c r="J589" s="49">
        <f t="shared" si="36"/>
        <v>66000</v>
      </c>
    </row>
    <row r="590" spans="1:10" ht="19" customHeight="1">
      <c r="A590" s="62" t="s">
        <v>728</v>
      </c>
      <c r="C590" s="47" t="s">
        <v>217</v>
      </c>
      <c r="D590" s="47" t="s">
        <v>146</v>
      </c>
      <c r="E590" s="47" t="s">
        <v>590</v>
      </c>
      <c r="F590" s="79">
        <v>5</v>
      </c>
      <c r="G590" s="79">
        <f>VLOOKUP(D590,단가!B:D,3,0)</f>
        <v>10500</v>
      </c>
      <c r="H590" s="79">
        <f t="shared" si="42"/>
        <v>52500</v>
      </c>
      <c r="I590" s="79">
        <f t="shared" si="38"/>
        <v>5250</v>
      </c>
      <c r="J590" s="49">
        <f t="shared" si="36"/>
        <v>57750</v>
      </c>
    </row>
    <row r="591" spans="1:10" ht="19" customHeight="1">
      <c r="A591" s="62" t="s">
        <v>729</v>
      </c>
      <c r="C591" s="47" t="s">
        <v>217</v>
      </c>
      <c r="D591" s="47" t="s">
        <v>627</v>
      </c>
      <c r="E591" s="47" t="s">
        <v>57</v>
      </c>
      <c r="F591" s="48">
        <v>5</v>
      </c>
      <c r="G591" s="48">
        <f>VLOOKUP(D591,단가!B:D,3,0)</f>
        <v>25000</v>
      </c>
      <c r="H591" s="48">
        <f t="shared" si="42"/>
        <v>125000</v>
      </c>
      <c r="I591" s="48">
        <f t="shared" si="38"/>
        <v>12500</v>
      </c>
      <c r="J591" s="49">
        <f t="shared" si="36"/>
        <v>137500</v>
      </c>
    </row>
    <row r="592" spans="1:10" ht="19" customHeight="1">
      <c r="A592" s="62" t="s">
        <v>729</v>
      </c>
      <c r="C592" s="47" t="s">
        <v>217</v>
      </c>
      <c r="D592" s="47" t="s">
        <v>153</v>
      </c>
      <c r="E592" s="47" t="s">
        <v>590</v>
      </c>
      <c r="F592" s="48">
        <v>5</v>
      </c>
      <c r="G592" s="48">
        <f>VLOOKUP(D592,단가!B:D,3,0)</f>
        <v>10500</v>
      </c>
      <c r="H592" s="48">
        <f t="shared" si="42"/>
        <v>52500</v>
      </c>
      <c r="I592" s="48">
        <f t="shared" si="38"/>
        <v>5250</v>
      </c>
      <c r="J592" s="49">
        <f t="shared" si="36"/>
        <v>57750</v>
      </c>
    </row>
    <row r="593" spans="1:10" ht="19" customHeight="1">
      <c r="A593" s="62" t="s">
        <v>729</v>
      </c>
      <c r="C593" s="47" t="s">
        <v>217</v>
      </c>
      <c r="D593" s="47" t="s">
        <v>149</v>
      </c>
      <c r="E593" s="47" t="s">
        <v>590</v>
      </c>
      <c r="F593" s="48">
        <v>5</v>
      </c>
      <c r="G593" s="48">
        <f>VLOOKUP(D593,단가!B:D,3,0)</f>
        <v>10500</v>
      </c>
      <c r="H593" s="48">
        <f t="shared" si="42"/>
        <v>52500</v>
      </c>
      <c r="I593" s="48">
        <f t="shared" si="38"/>
        <v>5250</v>
      </c>
      <c r="J593" s="49">
        <f t="shared" si="36"/>
        <v>57750</v>
      </c>
    </row>
    <row r="594" spans="1:10" ht="19" customHeight="1">
      <c r="A594" s="62" t="s">
        <v>729</v>
      </c>
      <c r="C594" s="47" t="s">
        <v>217</v>
      </c>
      <c r="D594" s="47" t="s">
        <v>148</v>
      </c>
      <c r="E594" s="47" t="s">
        <v>590</v>
      </c>
      <c r="F594" s="48">
        <v>10</v>
      </c>
      <c r="G594" s="48">
        <f>VLOOKUP(D594,단가!B:D,3,0)</f>
        <v>10500</v>
      </c>
      <c r="H594" s="48">
        <f t="shared" si="42"/>
        <v>105000</v>
      </c>
      <c r="I594" s="48">
        <f t="shared" si="38"/>
        <v>10500</v>
      </c>
      <c r="J594" s="49">
        <f t="shared" si="36"/>
        <v>115500</v>
      </c>
    </row>
    <row r="595" spans="1:10" ht="19" customHeight="1">
      <c r="A595" s="62" t="s">
        <v>729</v>
      </c>
      <c r="C595" s="47" t="s">
        <v>217</v>
      </c>
      <c r="D595" s="47" t="s">
        <v>147</v>
      </c>
      <c r="E595" s="47" t="s">
        <v>590</v>
      </c>
      <c r="F595" s="48">
        <v>5</v>
      </c>
      <c r="G595" s="48">
        <f>VLOOKUP(D595,단가!B:D,3,0)</f>
        <v>10500</v>
      </c>
      <c r="H595" s="48">
        <f t="shared" si="42"/>
        <v>52500</v>
      </c>
      <c r="I595" s="48">
        <f t="shared" si="38"/>
        <v>5250</v>
      </c>
      <c r="J595" s="49">
        <f t="shared" si="36"/>
        <v>57750</v>
      </c>
    </row>
    <row r="596" spans="1:10" ht="19" customHeight="1">
      <c r="A596" s="62" t="s">
        <v>730</v>
      </c>
      <c r="C596" s="47" t="s">
        <v>731</v>
      </c>
      <c r="D596" s="47" t="s">
        <v>627</v>
      </c>
      <c r="E596" s="47" t="s">
        <v>57</v>
      </c>
      <c r="F596" s="48">
        <v>3</v>
      </c>
      <c r="G596" s="48">
        <f>VLOOKUP(D596,단가!B:D,3,0)</f>
        <v>25000</v>
      </c>
      <c r="H596" s="48">
        <f t="shared" si="42"/>
        <v>75000</v>
      </c>
      <c r="J596" s="49">
        <f t="shared" si="36"/>
        <v>75000</v>
      </c>
    </row>
    <row r="597" spans="1:10" ht="19" customHeight="1">
      <c r="A597" s="62" t="s">
        <v>732</v>
      </c>
      <c r="C597" s="47" t="s">
        <v>217</v>
      </c>
      <c r="D597" s="47" t="s">
        <v>154</v>
      </c>
      <c r="E597" s="47" t="s">
        <v>590</v>
      </c>
      <c r="F597" s="48">
        <v>5</v>
      </c>
      <c r="G597" s="48">
        <f>VLOOKUP(D597,단가!B:D,3,0)</f>
        <v>10500</v>
      </c>
      <c r="H597" s="48">
        <f t="shared" si="42"/>
        <v>52500</v>
      </c>
      <c r="I597" s="48">
        <f t="shared" si="38"/>
        <v>5250</v>
      </c>
      <c r="J597" s="49">
        <f t="shared" si="36"/>
        <v>57750</v>
      </c>
    </row>
    <row r="598" spans="1:10" ht="19" customHeight="1">
      <c r="A598" s="62" t="s">
        <v>732</v>
      </c>
      <c r="C598" s="47" t="s">
        <v>217</v>
      </c>
      <c r="D598" s="47" t="s">
        <v>151</v>
      </c>
      <c r="E598" s="47" t="s">
        <v>590</v>
      </c>
      <c r="F598" s="48">
        <v>5</v>
      </c>
      <c r="G598" s="48">
        <f>VLOOKUP(D598,단가!B:D,3,0)</f>
        <v>10500</v>
      </c>
      <c r="H598" s="48">
        <f t="shared" si="42"/>
        <v>52500</v>
      </c>
      <c r="I598" s="48">
        <f t="shared" si="38"/>
        <v>5250</v>
      </c>
      <c r="J598" s="49">
        <f t="shared" si="36"/>
        <v>57750</v>
      </c>
    </row>
    <row r="599" spans="1:10" ht="19" customHeight="1">
      <c r="A599" s="62" t="s">
        <v>732</v>
      </c>
      <c r="C599" s="47" t="s">
        <v>217</v>
      </c>
      <c r="D599" s="47" t="s">
        <v>152</v>
      </c>
      <c r="E599" s="47" t="s">
        <v>590</v>
      </c>
      <c r="F599" s="48">
        <v>5</v>
      </c>
      <c r="G599" s="48">
        <f>VLOOKUP(D599,단가!B:D,3,0)</f>
        <v>10500</v>
      </c>
      <c r="H599" s="48">
        <f t="shared" si="42"/>
        <v>52500</v>
      </c>
      <c r="I599" s="48">
        <f t="shared" si="38"/>
        <v>5250</v>
      </c>
      <c r="J599" s="49">
        <f t="shared" si="36"/>
        <v>57750</v>
      </c>
    </row>
    <row r="600" spans="1:10" ht="19" customHeight="1">
      <c r="A600" s="62" t="s">
        <v>732</v>
      </c>
      <c r="C600" s="47" t="s">
        <v>217</v>
      </c>
      <c r="D600" s="47" t="s">
        <v>150</v>
      </c>
      <c r="E600" s="47" t="s">
        <v>590</v>
      </c>
      <c r="F600" s="48">
        <v>5</v>
      </c>
      <c r="G600" s="48">
        <f>VLOOKUP(D600,단가!B:D,3,0)</f>
        <v>10500</v>
      </c>
      <c r="H600" s="48">
        <f t="shared" si="42"/>
        <v>52500</v>
      </c>
      <c r="I600" s="48">
        <f t="shared" si="38"/>
        <v>5250</v>
      </c>
      <c r="J600" s="49">
        <f t="shared" si="36"/>
        <v>57750</v>
      </c>
    </row>
    <row r="601" spans="1:10" ht="19" customHeight="1">
      <c r="A601" s="62" t="s">
        <v>732</v>
      </c>
      <c r="C601" s="47" t="s">
        <v>217</v>
      </c>
      <c r="D601" s="47" t="s">
        <v>146</v>
      </c>
      <c r="E601" s="47" t="s">
        <v>590</v>
      </c>
      <c r="F601" s="48">
        <v>5</v>
      </c>
      <c r="G601" s="48">
        <f>VLOOKUP(D601,단가!B:D,3,0)</f>
        <v>10500</v>
      </c>
      <c r="H601" s="48">
        <f t="shared" si="42"/>
        <v>52500</v>
      </c>
      <c r="I601" s="48">
        <f t="shared" si="38"/>
        <v>5250</v>
      </c>
      <c r="J601" s="49">
        <f t="shared" si="36"/>
        <v>57750</v>
      </c>
    </row>
    <row r="602" spans="1:10" ht="19" customHeight="1">
      <c r="A602" s="62" t="s">
        <v>733</v>
      </c>
      <c r="C602" s="47" t="s">
        <v>217</v>
      </c>
      <c r="D602" s="47" t="s">
        <v>627</v>
      </c>
      <c r="E602" s="47" t="s">
        <v>57</v>
      </c>
      <c r="F602" s="48">
        <v>5</v>
      </c>
      <c r="G602" s="48">
        <f>VLOOKUP(D602,단가!B:D,3,0)</f>
        <v>25000</v>
      </c>
      <c r="H602" s="48">
        <f t="shared" si="42"/>
        <v>125000</v>
      </c>
      <c r="I602" s="48">
        <f t="shared" si="38"/>
        <v>12500</v>
      </c>
      <c r="J602" s="49">
        <f t="shared" si="36"/>
        <v>137500</v>
      </c>
    </row>
    <row r="603" spans="1:10" ht="19" customHeight="1">
      <c r="A603" s="62" t="s">
        <v>733</v>
      </c>
      <c r="C603" s="47" t="s">
        <v>217</v>
      </c>
      <c r="D603" s="47" t="s">
        <v>154</v>
      </c>
      <c r="E603" s="47" t="s">
        <v>590</v>
      </c>
      <c r="F603" s="48">
        <v>5</v>
      </c>
      <c r="G603" s="48">
        <f>VLOOKUP(D603,단가!B:D,3,0)</f>
        <v>10500</v>
      </c>
      <c r="H603" s="48">
        <f t="shared" si="42"/>
        <v>52500</v>
      </c>
      <c r="I603" s="48">
        <f t="shared" si="38"/>
        <v>5250</v>
      </c>
      <c r="J603" s="49">
        <f t="shared" si="36"/>
        <v>57750</v>
      </c>
    </row>
    <row r="604" spans="1:10" ht="19" customHeight="1">
      <c r="A604" s="62" t="s">
        <v>733</v>
      </c>
      <c r="C604" s="47" t="s">
        <v>217</v>
      </c>
      <c r="D604" s="47" t="s">
        <v>153</v>
      </c>
      <c r="E604" s="47" t="s">
        <v>590</v>
      </c>
      <c r="F604" s="48">
        <v>5</v>
      </c>
      <c r="G604" s="48">
        <f>VLOOKUP(D604,단가!B:D,3,0)</f>
        <v>10500</v>
      </c>
      <c r="H604" s="48">
        <f t="shared" si="42"/>
        <v>52500</v>
      </c>
      <c r="I604" s="48">
        <f t="shared" si="38"/>
        <v>5250</v>
      </c>
      <c r="J604" s="49">
        <f t="shared" si="36"/>
        <v>57750</v>
      </c>
    </row>
    <row r="605" spans="1:10" ht="19" customHeight="1">
      <c r="A605" s="62" t="s">
        <v>733</v>
      </c>
      <c r="C605" s="47" t="s">
        <v>217</v>
      </c>
      <c r="D605" s="47" t="s">
        <v>151</v>
      </c>
      <c r="E605" s="47" t="s">
        <v>590</v>
      </c>
      <c r="F605" s="48">
        <v>5</v>
      </c>
      <c r="G605" s="48">
        <f>VLOOKUP(D605,단가!B:D,3,0)</f>
        <v>10500</v>
      </c>
      <c r="H605" s="48">
        <f t="shared" si="42"/>
        <v>52500</v>
      </c>
      <c r="I605" s="48">
        <f t="shared" si="38"/>
        <v>5250</v>
      </c>
      <c r="J605" s="49">
        <f t="shared" si="36"/>
        <v>57750</v>
      </c>
    </row>
    <row r="606" spans="1:10" ht="19" customHeight="1">
      <c r="A606" s="62" t="s">
        <v>733</v>
      </c>
      <c r="C606" s="47" t="s">
        <v>217</v>
      </c>
      <c r="D606" s="47" t="s">
        <v>152</v>
      </c>
      <c r="E606" s="47" t="s">
        <v>590</v>
      </c>
      <c r="F606" s="48">
        <v>5</v>
      </c>
      <c r="G606" s="48">
        <f>VLOOKUP(D606,단가!B:D,3,0)</f>
        <v>10500</v>
      </c>
      <c r="H606" s="48">
        <f t="shared" si="42"/>
        <v>52500</v>
      </c>
      <c r="I606" s="48">
        <f t="shared" si="38"/>
        <v>5250</v>
      </c>
      <c r="J606" s="49">
        <f t="shared" si="36"/>
        <v>57750</v>
      </c>
    </row>
    <row r="607" spans="1:10" ht="19" customHeight="1">
      <c r="A607" s="62" t="s">
        <v>733</v>
      </c>
      <c r="C607" s="47" t="s">
        <v>217</v>
      </c>
      <c r="D607" s="47" t="s">
        <v>150</v>
      </c>
      <c r="E607" s="47" t="s">
        <v>590</v>
      </c>
      <c r="F607" s="48">
        <v>5</v>
      </c>
      <c r="G607" s="48">
        <f>VLOOKUP(D607,단가!B:D,3,0)</f>
        <v>10500</v>
      </c>
      <c r="H607" s="48">
        <f t="shared" si="42"/>
        <v>52500</v>
      </c>
      <c r="I607" s="48">
        <f t="shared" si="38"/>
        <v>5250</v>
      </c>
      <c r="J607" s="49">
        <f t="shared" si="36"/>
        <v>57750</v>
      </c>
    </row>
    <row r="608" spans="1:10" ht="19" customHeight="1">
      <c r="A608" s="62" t="s">
        <v>733</v>
      </c>
      <c r="C608" s="47" t="s">
        <v>217</v>
      </c>
      <c r="D608" s="47" t="s">
        <v>149</v>
      </c>
      <c r="E608" s="47" t="s">
        <v>590</v>
      </c>
      <c r="F608" s="48">
        <v>5</v>
      </c>
      <c r="G608" s="48">
        <f>VLOOKUP(D608,단가!B:D,3,0)</f>
        <v>10500</v>
      </c>
      <c r="H608" s="48">
        <f t="shared" si="42"/>
        <v>52500</v>
      </c>
      <c r="I608" s="48">
        <f t="shared" si="38"/>
        <v>5250</v>
      </c>
      <c r="J608" s="49">
        <f t="shared" si="36"/>
        <v>57750</v>
      </c>
    </row>
    <row r="609" spans="1:11" ht="19" customHeight="1">
      <c r="A609" s="62" t="s">
        <v>733</v>
      </c>
      <c r="C609" s="47" t="s">
        <v>217</v>
      </c>
      <c r="D609" s="47" t="s">
        <v>148</v>
      </c>
      <c r="E609" s="47" t="s">
        <v>590</v>
      </c>
      <c r="F609" s="48">
        <v>5</v>
      </c>
      <c r="G609" s="48">
        <f>VLOOKUP(D609,단가!B:D,3,0)</f>
        <v>10500</v>
      </c>
      <c r="H609" s="48">
        <f t="shared" si="42"/>
        <v>52500</v>
      </c>
      <c r="I609" s="48">
        <f t="shared" si="38"/>
        <v>5250</v>
      </c>
      <c r="J609" s="49">
        <f t="shared" si="36"/>
        <v>57750</v>
      </c>
    </row>
    <row r="610" spans="1:11" ht="19" customHeight="1">
      <c r="A610" s="62" t="s">
        <v>733</v>
      </c>
      <c r="C610" s="47" t="s">
        <v>217</v>
      </c>
      <c r="D610" s="47" t="s">
        <v>146</v>
      </c>
      <c r="E610" s="47" t="s">
        <v>590</v>
      </c>
      <c r="F610" s="48">
        <v>25</v>
      </c>
      <c r="G610" s="48">
        <f>VLOOKUP(D610,단가!B:D,3,0)</f>
        <v>10500</v>
      </c>
      <c r="H610" s="48">
        <f t="shared" si="42"/>
        <v>262500</v>
      </c>
      <c r="I610" s="48">
        <f t="shared" si="38"/>
        <v>26250</v>
      </c>
      <c r="J610" s="49">
        <f t="shared" si="36"/>
        <v>288750</v>
      </c>
    </row>
    <row r="611" spans="1:11" ht="19" customHeight="1">
      <c r="A611" s="62" t="s">
        <v>733</v>
      </c>
      <c r="C611" s="47" t="s">
        <v>217</v>
      </c>
      <c r="D611" s="47" t="s">
        <v>147</v>
      </c>
      <c r="E611" s="47" t="s">
        <v>590</v>
      </c>
      <c r="F611" s="48">
        <v>5</v>
      </c>
      <c r="G611" s="48">
        <f>VLOOKUP(D611,단가!B:D,3,0)</f>
        <v>10500</v>
      </c>
      <c r="H611" s="48">
        <f t="shared" si="42"/>
        <v>52500</v>
      </c>
      <c r="I611" s="48">
        <f t="shared" si="38"/>
        <v>5250</v>
      </c>
      <c r="J611" s="49">
        <f t="shared" si="36"/>
        <v>57750</v>
      </c>
    </row>
    <row r="612" spans="1:11" ht="19" customHeight="1">
      <c r="A612" s="62" t="s">
        <v>734</v>
      </c>
      <c r="C612" s="47" t="s">
        <v>735</v>
      </c>
      <c r="D612" s="47" t="s">
        <v>688</v>
      </c>
      <c r="E612" s="47" t="s">
        <v>57</v>
      </c>
      <c r="F612" s="48">
        <v>10</v>
      </c>
      <c r="G612" s="48">
        <f>VLOOKUP(D612,단가!B:D,3,0)</f>
        <v>26000</v>
      </c>
      <c r="H612" s="48">
        <f t="shared" si="42"/>
        <v>260000</v>
      </c>
      <c r="I612" s="48">
        <f t="shared" si="38"/>
        <v>26000</v>
      </c>
      <c r="J612" s="49">
        <f t="shared" si="36"/>
        <v>286000</v>
      </c>
    </row>
    <row r="613" spans="1:11" ht="19" customHeight="1">
      <c r="A613" s="62" t="s">
        <v>734</v>
      </c>
      <c r="C613" s="47" t="s">
        <v>735</v>
      </c>
      <c r="D613" s="47" t="s">
        <v>689</v>
      </c>
      <c r="E613" s="47" t="s">
        <v>131</v>
      </c>
      <c r="F613" s="48">
        <v>2</v>
      </c>
      <c r="G613" s="48">
        <f>VLOOKUP(D613,단가!B:D,3,0)</f>
        <v>11500</v>
      </c>
      <c r="H613" s="48">
        <f t="shared" si="42"/>
        <v>23000</v>
      </c>
      <c r="I613" s="48">
        <f t="shared" si="38"/>
        <v>2300</v>
      </c>
      <c r="J613" s="49">
        <f t="shared" si="36"/>
        <v>25300</v>
      </c>
    </row>
    <row r="614" spans="1:11" ht="19" customHeight="1">
      <c r="A614" s="62" t="s">
        <v>734</v>
      </c>
      <c r="C614" s="47" t="s">
        <v>735</v>
      </c>
      <c r="D614" s="47" t="s">
        <v>690</v>
      </c>
      <c r="E614" s="47" t="s">
        <v>131</v>
      </c>
      <c r="F614" s="48">
        <v>2</v>
      </c>
      <c r="G614" s="48">
        <f>VLOOKUP(D614,단가!B:D,3,0)</f>
        <v>15000</v>
      </c>
      <c r="H614" s="48">
        <f t="shared" si="42"/>
        <v>30000</v>
      </c>
      <c r="I614" s="48">
        <f t="shared" si="38"/>
        <v>3000</v>
      </c>
      <c r="J614" s="49">
        <f t="shared" si="36"/>
        <v>33000</v>
      </c>
    </row>
    <row r="615" spans="1:11" ht="19" customHeight="1">
      <c r="A615" s="62" t="s">
        <v>736</v>
      </c>
      <c r="C615" s="47" t="s">
        <v>737</v>
      </c>
      <c r="D615" s="47" t="s">
        <v>627</v>
      </c>
      <c r="E615" s="47" t="s">
        <v>57</v>
      </c>
      <c r="F615" s="48">
        <v>3</v>
      </c>
      <c r="G615" s="48">
        <f>VLOOKUP(D615,단가!B:D,3,0)</f>
        <v>25000</v>
      </c>
      <c r="H615" s="48">
        <f t="shared" si="42"/>
        <v>75000</v>
      </c>
      <c r="I615" s="48">
        <f t="shared" si="38"/>
        <v>7500</v>
      </c>
      <c r="J615" s="49">
        <f t="shared" si="36"/>
        <v>82500</v>
      </c>
    </row>
    <row r="616" spans="1:11" ht="19" customHeight="1">
      <c r="A616" s="62" t="s">
        <v>736</v>
      </c>
      <c r="C616" s="47" t="s">
        <v>737</v>
      </c>
      <c r="D616" s="47" t="s">
        <v>151</v>
      </c>
      <c r="E616" s="47" t="s">
        <v>590</v>
      </c>
      <c r="F616" s="48">
        <v>1</v>
      </c>
      <c r="G616" s="48">
        <f>VLOOKUP(D616,단가!B:D,3,0)</f>
        <v>10500</v>
      </c>
      <c r="H616" s="48">
        <f t="shared" si="42"/>
        <v>10500</v>
      </c>
      <c r="I616" s="48">
        <f t="shared" si="38"/>
        <v>1050</v>
      </c>
      <c r="J616" s="49">
        <f t="shared" si="36"/>
        <v>11550</v>
      </c>
    </row>
    <row r="617" spans="1:11" ht="19" customHeight="1">
      <c r="A617" s="62" t="s">
        <v>736</v>
      </c>
      <c r="C617" s="47" t="s">
        <v>737</v>
      </c>
      <c r="D617" s="47" t="s">
        <v>149</v>
      </c>
      <c r="E617" s="47" t="s">
        <v>590</v>
      </c>
      <c r="F617" s="48">
        <v>1</v>
      </c>
      <c r="G617" s="48">
        <f>VLOOKUP(D617,단가!B:D,3,0)</f>
        <v>10500</v>
      </c>
      <c r="H617" s="48">
        <f t="shared" si="42"/>
        <v>10500</v>
      </c>
      <c r="I617" s="48">
        <f t="shared" si="38"/>
        <v>1050</v>
      </c>
      <c r="J617" s="49">
        <f t="shared" si="36"/>
        <v>11550</v>
      </c>
    </row>
    <row r="618" spans="1:11" ht="19" customHeight="1">
      <c r="A618" s="62" t="s">
        <v>738</v>
      </c>
      <c r="C618" s="47" t="s">
        <v>737</v>
      </c>
      <c r="D618" s="47" t="s">
        <v>150</v>
      </c>
      <c r="E618" s="47" t="s">
        <v>590</v>
      </c>
      <c r="F618" s="48">
        <v>1</v>
      </c>
      <c r="G618" s="48">
        <f>VLOOKUP(D618,단가!B:D,3,0)</f>
        <v>10500</v>
      </c>
      <c r="H618" s="48">
        <f t="shared" si="42"/>
        <v>10500</v>
      </c>
      <c r="I618" s="48">
        <f t="shared" si="38"/>
        <v>1050</v>
      </c>
      <c r="J618" s="49">
        <f t="shared" si="36"/>
        <v>11550</v>
      </c>
      <c r="K618" s="48"/>
    </row>
    <row r="619" spans="1:11" ht="19" customHeight="1">
      <c r="A619" s="62" t="s">
        <v>739</v>
      </c>
      <c r="C619" s="47" t="s">
        <v>126</v>
      </c>
      <c r="D619" s="47" t="s">
        <v>688</v>
      </c>
      <c r="E619" s="47" t="s">
        <v>57</v>
      </c>
      <c r="F619" s="48">
        <v>10</v>
      </c>
      <c r="G619" s="48">
        <f>VLOOKUP(D619,단가!B:D,3,0)</f>
        <v>26000</v>
      </c>
      <c r="H619" s="48">
        <f t="shared" si="42"/>
        <v>260000</v>
      </c>
      <c r="I619" s="48">
        <f t="shared" si="38"/>
        <v>26000</v>
      </c>
      <c r="J619" s="49">
        <f t="shared" si="36"/>
        <v>286000</v>
      </c>
    </row>
    <row r="620" spans="1:11" ht="19" customHeight="1">
      <c r="A620" s="62" t="s">
        <v>739</v>
      </c>
      <c r="C620" s="47" t="s">
        <v>126</v>
      </c>
      <c r="D620" s="47" t="s">
        <v>690</v>
      </c>
      <c r="E620" s="47" t="s">
        <v>131</v>
      </c>
      <c r="F620" s="48">
        <v>2</v>
      </c>
      <c r="G620" s="48">
        <f>VLOOKUP(D620,단가!B:D,3,0)</f>
        <v>15000</v>
      </c>
      <c r="H620" s="48">
        <f t="shared" si="42"/>
        <v>30000</v>
      </c>
      <c r="I620" s="48">
        <f t="shared" si="38"/>
        <v>3000</v>
      </c>
      <c r="J620" s="49">
        <f t="shared" si="36"/>
        <v>33000</v>
      </c>
    </row>
    <row r="621" spans="1:11" ht="19" customHeight="1">
      <c r="A621" s="62" t="s">
        <v>739</v>
      </c>
      <c r="C621" s="47" t="s">
        <v>217</v>
      </c>
      <c r="D621" s="47" t="s">
        <v>627</v>
      </c>
      <c r="E621" s="47" t="s">
        <v>57</v>
      </c>
      <c r="F621" s="48">
        <v>17</v>
      </c>
      <c r="G621" s="48">
        <f>VLOOKUP(D621,단가!B:D,3,0)</f>
        <v>25000</v>
      </c>
      <c r="H621" s="48">
        <f t="shared" si="42"/>
        <v>425000</v>
      </c>
      <c r="I621" s="48">
        <f t="shared" si="38"/>
        <v>42500</v>
      </c>
      <c r="J621" s="49">
        <f t="shared" si="36"/>
        <v>467500</v>
      </c>
    </row>
    <row r="622" spans="1:11" ht="19" customHeight="1">
      <c r="A622" s="62" t="s">
        <v>739</v>
      </c>
      <c r="C622" s="47" t="s">
        <v>217</v>
      </c>
      <c r="D622" s="47" t="s">
        <v>152</v>
      </c>
      <c r="E622" s="47" t="s">
        <v>590</v>
      </c>
      <c r="F622" s="48">
        <v>5</v>
      </c>
      <c r="G622" s="48">
        <f>VLOOKUP(D622,단가!B:D,3,0)</f>
        <v>10500</v>
      </c>
      <c r="H622" s="48">
        <f t="shared" si="42"/>
        <v>52500</v>
      </c>
      <c r="I622" s="48">
        <f t="shared" si="38"/>
        <v>5250</v>
      </c>
      <c r="J622" s="49">
        <f t="shared" si="36"/>
        <v>57750</v>
      </c>
    </row>
    <row r="623" spans="1:11" ht="19" customHeight="1">
      <c r="A623" s="62" t="s">
        <v>739</v>
      </c>
      <c r="C623" s="47" t="s">
        <v>217</v>
      </c>
      <c r="D623" s="47" t="s">
        <v>149</v>
      </c>
      <c r="E623" s="47" t="s">
        <v>590</v>
      </c>
      <c r="F623" s="48">
        <v>5</v>
      </c>
      <c r="G623" s="48">
        <f>VLOOKUP(D623,단가!B:D,3,0)</f>
        <v>10500</v>
      </c>
      <c r="H623" s="48">
        <f t="shared" si="42"/>
        <v>52500</v>
      </c>
      <c r="I623" s="48">
        <f t="shared" si="38"/>
        <v>5250</v>
      </c>
      <c r="J623" s="49">
        <f t="shared" si="36"/>
        <v>57750</v>
      </c>
    </row>
    <row r="624" spans="1:11" ht="19" customHeight="1">
      <c r="A624" s="62" t="s">
        <v>739</v>
      </c>
      <c r="C624" s="47" t="s">
        <v>217</v>
      </c>
      <c r="D624" s="47" t="s">
        <v>148</v>
      </c>
      <c r="E624" s="47" t="s">
        <v>590</v>
      </c>
      <c r="F624" s="48">
        <v>5</v>
      </c>
      <c r="G624" s="48">
        <f>VLOOKUP(D624,단가!B:D,3,0)</f>
        <v>10500</v>
      </c>
      <c r="H624" s="48">
        <f t="shared" si="42"/>
        <v>52500</v>
      </c>
      <c r="I624" s="48">
        <f t="shared" si="38"/>
        <v>5250</v>
      </c>
      <c r="J624" s="49">
        <f t="shared" si="36"/>
        <v>57750</v>
      </c>
    </row>
    <row r="625" spans="1:10" ht="19" customHeight="1">
      <c r="A625" s="88" t="s">
        <v>740</v>
      </c>
      <c r="C625" s="47" t="s">
        <v>217</v>
      </c>
      <c r="D625" s="47" t="s">
        <v>627</v>
      </c>
      <c r="E625" s="47" t="s">
        <v>57</v>
      </c>
      <c r="F625" s="48">
        <v>5</v>
      </c>
      <c r="G625" s="48">
        <f>VLOOKUP(D625,단가!B:D,3,0)</f>
        <v>25000</v>
      </c>
      <c r="H625" s="48">
        <f t="shared" si="42"/>
        <v>125000</v>
      </c>
      <c r="I625" s="48">
        <f t="shared" si="38"/>
        <v>12500</v>
      </c>
      <c r="J625" s="49">
        <f t="shared" si="36"/>
        <v>137500</v>
      </c>
    </row>
    <row r="626" spans="1:10" ht="19" customHeight="1">
      <c r="A626" s="62" t="s">
        <v>741</v>
      </c>
      <c r="C626" s="47" t="s">
        <v>217</v>
      </c>
      <c r="D626" s="47" t="s">
        <v>742</v>
      </c>
      <c r="E626" s="47" t="s">
        <v>57</v>
      </c>
      <c r="F626" s="48">
        <v>2</v>
      </c>
      <c r="G626" s="48">
        <f>VLOOKUP(D626,단가!B:D,3,0)</f>
        <v>22000</v>
      </c>
      <c r="H626" s="48">
        <f t="shared" si="42"/>
        <v>44000</v>
      </c>
      <c r="I626" s="48">
        <f t="shared" si="38"/>
        <v>4400</v>
      </c>
      <c r="J626" s="49">
        <f t="shared" si="36"/>
        <v>48400</v>
      </c>
    </row>
    <row r="627" spans="1:10" ht="19" customHeight="1">
      <c r="A627" s="62" t="s">
        <v>741</v>
      </c>
      <c r="C627" s="47" t="s">
        <v>217</v>
      </c>
      <c r="D627" s="47" t="s">
        <v>154</v>
      </c>
      <c r="E627" s="47" t="s">
        <v>590</v>
      </c>
      <c r="F627" s="48">
        <v>5</v>
      </c>
      <c r="G627" s="48">
        <f>VLOOKUP(D627,단가!B:D,3,0)</f>
        <v>10500</v>
      </c>
      <c r="H627" s="48">
        <f t="shared" si="42"/>
        <v>52500</v>
      </c>
      <c r="I627" s="48">
        <f t="shared" si="38"/>
        <v>5250</v>
      </c>
      <c r="J627" s="49">
        <f t="shared" si="36"/>
        <v>57750</v>
      </c>
    </row>
    <row r="628" spans="1:10" ht="19" customHeight="1">
      <c r="A628" s="62" t="s">
        <v>741</v>
      </c>
      <c r="C628" s="47" t="s">
        <v>217</v>
      </c>
      <c r="D628" s="47" t="s">
        <v>153</v>
      </c>
      <c r="E628" s="47" t="s">
        <v>590</v>
      </c>
      <c r="F628" s="48">
        <v>5</v>
      </c>
      <c r="G628" s="48">
        <f>VLOOKUP(D628,단가!B:D,3,0)</f>
        <v>10500</v>
      </c>
      <c r="H628" s="48">
        <f t="shared" si="42"/>
        <v>52500</v>
      </c>
      <c r="I628" s="48">
        <f t="shared" si="38"/>
        <v>5250</v>
      </c>
      <c r="J628" s="49">
        <f t="shared" si="36"/>
        <v>57750</v>
      </c>
    </row>
    <row r="629" spans="1:10" ht="19" customHeight="1">
      <c r="A629" s="62" t="s">
        <v>741</v>
      </c>
      <c r="C629" s="47" t="s">
        <v>217</v>
      </c>
      <c r="D629" s="47" t="s">
        <v>151</v>
      </c>
      <c r="E629" s="47" t="s">
        <v>590</v>
      </c>
      <c r="F629" s="48">
        <v>5</v>
      </c>
      <c r="G629" s="48">
        <f>VLOOKUP(D629,단가!B:D,3,0)</f>
        <v>10500</v>
      </c>
      <c r="H629" s="48">
        <f t="shared" si="42"/>
        <v>52500</v>
      </c>
      <c r="I629" s="48">
        <f t="shared" si="38"/>
        <v>5250</v>
      </c>
      <c r="J629" s="49">
        <f t="shared" si="36"/>
        <v>57750</v>
      </c>
    </row>
    <row r="630" spans="1:10" ht="19" customHeight="1">
      <c r="A630" s="62" t="s">
        <v>741</v>
      </c>
      <c r="C630" s="47" t="s">
        <v>217</v>
      </c>
      <c r="D630" s="47" t="s">
        <v>152</v>
      </c>
      <c r="E630" s="47" t="s">
        <v>590</v>
      </c>
      <c r="F630" s="48">
        <v>5</v>
      </c>
      <c r="G630" s="48">
        <f>VLOOKUP(D630,단가!B:D,3,0)</f>
        <v>10500</v>
      </c>
      <c r="H630" s="48">
        <f t="shared" si="42"/>
        <v>52500</v>
      </c>
      <c r="I630" s="48">
        <f t="shared" si="38"/>
        <v>5250</v>
      </c>
      <c r="J630" s="49">
        <f t="shared" ref="J630:J715" si="43">H630+I630</f>
        <v>57750</v>
      </c>
    </row>
    <row r="631" spans="1:10" ht="19" customHeight="1">
      <c r="A631" s="62" t="s">
        <v>741</v>
      </c>
      <c r="C631" s="47" t="s">
        <v>217</v>
      </c>
      <c r="D631" s="47" t="s">
        <v>150</v>
      </c>
      <c r="E631" s="47" t="s">
        <v>590</v>
      </c>
      <c r="F631" s="48">
        <v>5</v>
      </c>
      <c r="G631" s="48">
        <f>VLOOKUP(D631,단가!B:D,3,0)</f>
        <v>10500</v>
      </c>
      <c r="H631" s="48">
        <f t="shared" si="42"/>
        <v>52500</v>
      </c>
      <c r="I631" s="48">
        <f t="shared" ref="I631:I716" si="44">H631*0.1</f>
        <v>5250</v>
      </c>
      <c r="J631" s="49">
        <f t="shared" si="43"/>
        <v>57750</v>
      </c>
    </row>
    <row r="632" spans="1:10" ht="19" customHeight="1">
      <c r="A632" s="62" t="s">
        <v>741</v>
      </c>
      <c r="C632" s="47" t="s">
        <v>217</v>
      </c>
      <c r="D632" s="47" t="s">
        <v>149</v>
      </c>
      <c r="E632" s="47" t="s">
        <v>590</v>
      </c>
      <c r="F632" s="48">
        <v>5</v>
      </c>
      <c r="G632" s="48">
        <f>VLOOKUP(D632,단가!B:D,3,0)</f>
        <v>10500</v>
      </c>
      <c r="H632" s="48">
        <f t="shared" si="42"/>
        <v>52500</v>
      </c>
      <c r="I632" s="48">
        <f t="shared" si="44"/>
        <v>5250</v>
      </c>
      <c r="J632" s="49">
        <f t="shared" si="43"/>
        <v>57750</v>
      </c>
    </row>
    <row r="633" spans="1:10" ht="19" customHeight="1">
      <c r="A633" s="62" t="s">
        <v>741</v>
      </c>
      <c r="C633" s="47" t="s">
        <v>217</v>
      </c>
      <c r="D633" s="47" t="s">
        <v>148</v>
      </c>
      <c r="E633" s="47" t="s">
        <v>590</v>
      </c>
      <c r="F633" s="48">
        <v>5</v>
      </c>
      <c r="G633" s="48">
        <f>VLOOKUP(D633,단가!B:D,3,0)</f>
        <v>10500</v>
      </c>
      <c r="H633" s="48">
        <f t="shared" si="42"/>
        <v>52500</v>
      </c>
      <c r="I633" s="48">
        <f t="shared" si="44"/>
        <v>5250</v>
      </c>
      <c r="J633" s="49">
        <f t="shared" si="43"/>
        <v>57750</v>
      </c>
    </row>
    <row r="634" spans="1:10" ht="19" customHeight="1">
      <c r="A634" s="62" t="s">
        <v>741</v>
      </c>
      <c r="C634" s="47" t="s">
        <v>217</v>
      </c>
      <c r="D634" s="47" t="s">
        <v>146</v>
      </c>
      <c r="E634" s="47" t="s">
        <v>590</v>
      </c>
      <c r="F634" s="48">
        <v>5</v>
      </c>
      <c r="G634" s="48">
        <f>VLOOKUP(D634,단가!B:D,3,0)</f>
        <v>10500</v>
      </c>
      <c r="H634" s="48">
        <f t="shared" si="42"/>
        <v>52500</v>
      </c>
      <c r="I634" s="48">
        <f t="shared" si="44"/>
        <v>5250</v>
      </c>
      <c r="J634" s="49">
        <f t="shared" si="43"/>
        <v>57750</v>
      </c>
    </row>
    <row r="635" spans="1:10" ht="19" customHeight="1">
      <c r="A635" s="62" t="s">
        <v>741</v>
      </c>
      <c r="C635" s="47" t="s">
        <v>217</v>
      </c>
      <c r="D635" s="47" t="s">
        <v>147</v>
      </c>
      <c r="E635" s="47" t="s">
        <v>590</v>
      </c>
      <c r="F635" s="48">
        <v>5</v>
      </c>
      <c r="G635" s="48">
        <f>VLOOKUP(D635,단가!B:D,3,0)</f>
        <v>10500</v>
      </c>
      <c r="H635" s="48">
        <f t="shared" si="42"/>
        <v>52500</v>
      </c>
      <c r="I635" s="48">
        <f t="shared" si="44"/>
        <v>5250</v>
      </c>
      <c r="J635" s="49">
        <f t="shared" si="43"/>
        <v>57750</v>
      </c>
    </row>
    <row r="636" spans="1:10" ht="19" customHeight="1">
      <c r="A636" s="62" t="s">
        <v>741</v>
      </c>
      <c r="C636" s="47" t="s">
        <v>567</v>
      </c>
      <c r="D636" s="47" t="s">
        <v>627</v>
      </c>
      <c r="E636" s="47" t="s">
        <v>57</v>
      </c>
      <c r="F636" s="48">
        <v>3</v>
      </c>
      <c r="G636" s="48">
        <f>VLOOKUP(D636,단가!B:D,3,0)</f>
        <v>25000</v>
      </c>
      <c r="H636" s="48">
        <f t="shared" si="42"/>
        <v>75000</v>
      </c>
      <c r="J636" s="49">
        <f t="shared" si="43"/>
        <v>75000</v>
      </c>
    </row>
    <row r="637" spans="1:10" ht="19" customHeight="1">
      <c r="A637" s="62" t="s">
        <v>745</v>
      </c>
      <c r="C637" s="47" t="s">
        <v>316</v>
      </c>
      <c r="D637" s="47" t="s">
        <v>405</v>
      </c>
      <c r="F637" s="48">
        <v>1</v>
      </c>
      <c r="G637" s="91">
        <f>VLOOKUP(D637,단가!B:D,3,0)</f>
        <v>30000</v>
      </c>
      <c r="H637" s="91">
        <f t="shared" ref="H637:H647" si="45">F637*G637</f>
        <v>30000</v>
      </c>
      <c r="I637" s="91">
        <f t="shared" ref="I637:I647" si="46">H637*0.1</f>
        <v>3000</v>
      </c>
      <c r="J637" s="92">
        <f t="shared" ref="J637:J647" si="47">H637+I637</f>
        <v>33000</v>
      </c>
    </row>
    <row r="638" spans="1:10" ht="19" customHeight="1">
      <c r="A638" s="62" t="s">
        <v>745</v>
      </c>
      <c r="C638" s="47" t="s">
        <v>375</v>
      </c>
      <c r="D638" s="47" t="s">
        <v>405</v>
      </c>
      <c r="F638" s="48">
        <v>1</v>
      </c>
      <c r="G638" s="91">
        <f>VLOOKUP(D638,단가!B:D,3,0)</f>
        <v>30000</v>
      </c>
      <c r="H638" s="91">
        <f t="shared" si="45"/>
        <v>30000</v>
      </c>
      <c r="I638" s="91">
        <f t="shared" si="46"/>
        <v>3000</v>
      </c>
      <c r="J638" s="92">
        <f t="shared" si="47"/>
        <v>33000</v>
      </c>
    </row>
    <row r="639" spans="1:10" ht="19" customHeight="1">
      <c r="A639" s="62" t="s">
        <v>745</v>
      </c>
      <c r="C639" s="47" t="s">
        <v>394</v>
      </c>
      <c r="D639" s="47" t="s">
        <v>405</v>
      </c>
      <c r="F639" s="48">
        <v>1</v>
      </c>
      <c r="G639" s="91">
        <f>VLOOKUP(D639,단가!B:D,3,0)</f>
        <v>30000</v>
      </c>
      <c r="H639" s="91">
        <f t="shared" si="45"/>
        <v>30000</v>
      </c>
      <c r="I639" s="91">
        <f t="shared" si="46"/>
        <v>3000</v>
      </c>
      <c r="J639" s="92">
        <f t="shared" si="47"/>
        <v>33000</v>
      </c>
    </row>
    <row r="640" spans="1:10" ht="19" customHeight="1">
      <c r="A640" s="62" t="s">
        <v>745</v>
      </c>
      <c r="C640" s="47" t="s">
        <v>434</v>
      </c>
      <c r="D640" s="47" t="s">
        <v>405</v>
      </c>
      <c r="F640" s="48">
        <v>1</v>
      </c>
      <c r="G640" s="91">
        <f>VLOOKUP(D640,단가!B:D,3,0)</f>
        <v>30000</v>
      </c>
      <c r="H640" s="91">
        <f t="shared" si="45"/>
        <v>30000</v>
      </c>
      <c r="I640" s="91">
        <f t="shared" si="46"/>
        <v>3000</v>
      </c>
      <c r="J640" s="92">
        <f t="shared" si="47"/>
        <v>33000</v>
      </c>
    </row>
    <row r="641" spans="1:10" ht="19" customHeight="1">
      <c r="A641" s="62" t="s">
        <v>745</v>
      </c>
      <c r="C641" s="47" t="s">
        <v>467</v>
      </c>
      <c r="D641" s="47" t="s">
        <v>405</v>
      </c>
      <c r="F641" s="48">
        <v>1</v>
      </c>
      <c r="G641" s="91">
        <f>VLOOKUP(D641,단가!B:D,3,0)</f>
        <v>30000</v>
      </c>
      <c r="H641" s="91">
        <f t="shared" si="45"/>
        <v>30000</v>
      </c>
      <c r="I641" s="91">
        <f t="shared" si="46"/>
        <v>3000</v>
      </c>
      <c r="J641" s="92">
        <f t="shared" si="47"/>
        <v>33000</v>
      </c>
    </row>
    <row r="642" spans="1:10" ht="19" customHeight="1">
      <c r="A642" s="62" t="s">
        <v>745</v>
      </c>
      <c r="C642" s="47" t="s">
        <v>480</v>
      </c>
      <c r="D642" s="47" t="s">
        <v>405</v>
      </c>
      <c r="F642" s="48">
        <v>1</v>
      </c>
      <c r="G642" s="91">
        <f>VLOOKUP(D642,단가!B:D,3,0)</f>
        <v>30000</v>
      </c>
      <c r="H642" s="91">
        <f t="shared" si="45"/>
        <v>30000</v>
      </c>
      <c r="I642" s="91">
        <f t="shared" si="46"/>
        <v>3000</v>
      </c>
      <c r="J642" s="92">
        <f t="shared" si="47"/>
        <v>33000</v>
      </c>
    </row>
    <row r="643" spans="1:10" ht="19" customHeight="1">
      <c r="A643" s="62" t="s">
        <v>745</v>
      </c>
      <c r="C643" s="47" t="s">
        <v>483</v>
      </c>
      <c r="D643" s="47" t="s">
        <v>405</v>
      </c>
      <c r="F643" s="48">
        <v>1</v>
      </c>
      <c r="G643" s="91">
        <f>VLOOKUP(D643,단가!B:D,3,0)</f>
        <v>30000</v>
      </c>
      <c r="H643" s="91">
        <f t="shared" si="45"/>
        <v>30000</v>
      </c>
      <c r="I643" s="91">
        <f t="shared" si="46"/>
        <v>3000</v>
      </c>
      <c r="J643" s="92">
        <f t="shared" si="47"/>
        <v>33000</v>
      </c>
    </row>
    <row r="644" spans="1:10" ht="19" customHeight="1">
      <c r="A644" s="62" t="s">
        <v>745</v>
      </c>
      <c r="C644" s="47" t="s">
        <v>486</v>
      </c>
      <c r="D644" s="47" t="s">
        <v>405</v>
      </c>
      <c r="F644" s="48">
        <v>1</v>
      </c>
      <c r="G644" s="91">
        <f>VLOOKUP(D644,단가!B:D,3,0)</f>
        <v>30000</v>
      </c>
      <c r="H644" s="91">
        <f t="shared" si="45"/>
        <v>30000</v>
      </c>
      <c r="I644" s="91">
        <f t="shared" si="46"/>
        <v>3000</v>
      </c>
      <c r="J644" s="92">
        <f t="shared" si="47"/>
        <v>33000</v>
      </c>
    </row>
    <row r="645" spans="1:10" ht="19" customHeight="1">
      <c r="A645" s="62" t="s">
        <v>745</v>
      </c>
      <c r="C645" s="47" t="s">
        <v>501</v>
      </c>
      <c r="D645" s="47" t="s">
        <v>405</v>
      </c>
      <c r="F645" s="48">
        <v>1</v>
      </c>
      <c r="G645" s="91">
        <f>VLOOKUP(D645,단가!B:D,3,0)</f>
        <v>30000</v>
      </c>
      <c r="H645" s="91">
        <f t="shared" si="45"/>
        <v>30000</v>
      </c>
      <c r="I645" s="91">
        <f t="shared" si="46"/>
        <v>3000</v>
      </c>
      <c r="J645" s="92">
        <f t="shared" si="47"/>
        <v>33000</v>
      </c>
    </row>
    <row r="646" spans="1:10" ht="19" customHeight="1">
      <c r="A646" s="62" t="s">
        <v>745</v>
      </c>
      <c r="C646" s="47" t="s">
        <v>505</v>
      </c>
      <c r="D646" s="47" t="s">
        <v>405</v>
      </c>
      <c r="F646" s="48">
        <v>1</v>
      </c>
      <c r="G646" s="91">
        <f>VLOOKUP(D646,단가!B:D,3,0)</f>
        <v>30000</v>
      </c>
      <c r="H646" s="91">
        <f t="shared" si="45"/>
        <v>30000</v>
      </c>
      <c r="I646" s="91">
        <f t="shared" si="46"/>
        <v>3000</v>
      </c>
      <c r="J646" s="92">
        <f t="shared" si="47"/>
        <v>33000</v>
      </c>
    </row>
    <row r="647" spans="1:10" ht="19" customHeight="1">
      <c r="A647" s="62" t="s">
        <v>745</v>
      </c>
      <c r="C647" s="47" t="s">
        <v>508</v>
      </c>
      <c r="D647" s="47" t="s">
        <v>405</v>
      </c>
      <c r="F647" s="48">
        <v>1</v>
      </c>
      <c r="G647" s="91">
        <f>VLOOKUP(D647,단가!B:D,3,0)</f>
        <v>30000</v>
      </c>
      <c r="H647" s="91">
        <f t="shared" si="45"/>
        <v>30000</v>
      </c>
      <c r="I647" s="91">
        <f t="shared" si="46"/>
        <v>3000</v>
      </c>
      <c r="J647" s="92">
        <f t="shared" si="47"/>
        <v>33000</v>
      </c>
    </row>
    <row r="648" spans="1:10" ht="19" customHeight="1">
      <c r="A648" s="89" t="s">
        <v>407</v>
      </c>
      <c r="B648" s="90"/>
      <c r="C648" s="90" t="s">
        <v>217</v>
      </c>
      <c r="D648" s="90" t="s">
        <v>627</v>
      </c>
      <c r="E648" s="90" t="s">
        <v>57</v>
      </c>
      <c r="F648" s="91">
        <v>13</v>
      </c>
      <c r="G648" s="91">
        <f>VLOOKUP(D648,단가!B:D,3,0)</f>
        <v>25000</v>
      </c>
      <c r="H648" s="91">
        <f t="shared" si="42"/>
        <v>325000</v>
      </c>
      <c r="I648" s="91">
        <f t="shared" si="44"/>
        <v>32500</v>
      </c>
      <c r="J648" s="92">
        <f t="shared" si="43"/>
        <v>357500</v>
      </c>
    </row>
    <row r="649" spans="1:10" ht="19" customHeight="1">
      <c r="A649" s="89" t="s">
        <v>407</v>
      </c>
      <c r="B649" s="90"/>
      <c r="C649" s="90" t="s">
        <v>217</v>
      </c>
      <c r="D649" s="90" t="s">
        <v>636</v>
      </c>
      <c r="E649" s="90" t="s">
        <v>60</v>
      </c>
      <c r="F649" s="91">
        <v>5</v>
      </c>
      <c r="G649" s="91">
        <f>VLOOKUP(D649,단가!B:D,3,0)</f>
        <v>14000</v>
      </c>
      <c r="H649" s="91">
        <f t="shared" si="42"/>
        <v>70000</v>
      </c>
      <c r="I649" s="91">
        <f t="shared" si="44"/>
        <v>7000</v>
      </c>
      <c r="J649" s="92">
        <f t="shared" si="43"/>
        <v>77000</v>
      </c>
    </row>
    <row r="650" spans="1:10" ht="19" customHeight="1">
      <c r="A650" s="89" t="s">
        <v>407</v>
      </c>
      <c r="B650" s="90"/>
      <c r="C650" s="90" t="s">
        <v>217</v>
      </c>
      <c r="D650" s="90" t="s">
        <v>151</v>
      </c>
      <c r="E650" s="90" t="s">
        <v>60</v>
      </c>
      <c r="F650" s="91">
        <v>5</v>
      </c>
      <c r="G650" s="91">
        <f>VLOOKUP(D650,단가!B:D,3,0)</f>
        <v>10500</v>
      </c>
      <c r="H650" s="91">
        <f t="shared" si="42"/>
        <v>52500</v>
      </c>
      <c r="I650" s="91">
        <f t="shared" si="44"/>
        <v>5250</v>
      </c>
      <c r="J650" s="92">
        <f t="shared" si="43"/>
        <v>57750</v>
      </c>
    </row>
    <row r="651" spans="1:10" ht="19" customHeight="1">
      <c r="A651" s="89" t="s">
        <v>407</v>
      </c>
      <c r="B651" s="90"/>
      <c r="C651" s="90" t="s">
        <v>217</v>
      </c>
      <c r="D651" s="90" t="s">
        <v>148</v>
      </c>
      <c r="E651" s="90" t="s">
        <v>60</v>
      </c>
      <c r="F651" s="91">
        <v>5</v>
      </c>
      <c r="G651" s="91">
        <f>VLOOKUP(D651,단가!B:D,3,0)</f>
        <v>10500</v>
      </c>
      <c r="H651" s="91">
        <f t="shared" si="42"/>
        <v>52500</v>
      </c>
      <c r="I651" s="91">
        <f t="shared" si="44"/>
        <v>5250</v>
      </c>
      <c r="J651" s="92">
        <f t="shared" si="43"/>
        <v>57750</v>
      </c>
    </row>
    <row r="652" spans="1:10" ht="19" customHeight="1">
      <c r="A652" s="89" t="s">
        <v>407</v>
      </c>
      <c r="B652" s="90"/>
      <c r="C652" s="90" t="s">
        <v>217</v>
      </c>
      <c r="D652" s="90" t="s">
        <v>146</v>
      </c>
      <c r="E652" s="90" t="s">
        <v>60</v>
      </c>
      <c r="F652" s="91">
        <v>5</v>
      </c>
      <c r="G652" s="91">
        <f>VLOOKUP(D652,단가!B:D,3,0)</f>
        <v>10500</v>
      </c>
      <c r="H652" s="91">
        <f t="shared" si="42"/>
        <v>52500</v>
      </c>
      <c r="I652" s="91">
        <f t="shared" si="44"/>
        <v>5250</v>
      </c>
      <c r="J652" s="92">
        <f t="shared" si="43"/>
        <v>57750</v>
      </c>
    </row>
    <row r="653" spans="1:10" ht="19" customHeight="1">
      <c r="A653" s="89" t="s">
        <v>743</v>
      </c>
      <c r="B653" s="90"/>
      <c r="C653" s="90" t="s">
        <v>217</v>
      </c>
      <c r="D653" s="90" t="s">
        <v>627</v>
      </c>
      <c r="E653" s="90" t="s">
        <v>57</v>
      </c>
      <c r="F653" s="91">
        <v>5</v>
      </c>
      <c r="G653" s="91">
        <f>VLOOKUP(D653,단가!B:D,3,0)</f>
        <v>25000</v>
      </c>
      <c r="H653" s="91">
        <f t="shared" si="42"/>
        <v>125000</v>
      </c>
      <c r="I653" s="91">
        <f t="shared" si="44"/>
        <v>12500</v>
      </c>
      <c r="J653" s="92">
        <f t="shared" si="43"/>
        <v>137500</v>
      </c>
    </row>
    <row r="654" spans="1:10" ht="19" customHeight="1">
      <c r="A654" s="62" t="s">
        <v>744</v>
      </c>
      <c r="C654" s="47" t="s">
        <v>217</v>
      </c>
      <c r="D654" s="47" t="s">
        <v>153</v>
      </c>
      <c r="E654" s="90" t="s">
        <v>60</v>
      </c>
      <c r="F654" s="48">
        <v>5</v>
      </c>
      <c r="G654" s="48">
        <f>VLOOKUP(D654,단가!B:D,3,0)</f>
        <v>10500</v>
      </c>
      <c r="H654" s="48">
        <f t="shared" si="42"/>
        <v>52500</v>
      </c>
      <c r="I654" s="48">
        <f t="shared" si="44"/>
        <v>5250</v>
      </c>
      <c r="J654" s="49">
        <f t="shared" si="43"/>
        <v>57750</v>
      </c>
    </row>
    <row r="655" spans="1:10" ht="19" customHeight="1">
      <c r="A655" s="62" t="s">
        <v>744</v>
      </c>
      <c r="C655" s="47" t="s">
        <v>217</v>
      </c>
      <c r="D655" s="47" t="s">
        <v>152</v>
      </c>
      <c r="E655" s="90" t="s">
        <v>60</v>
      </c>
      <c r="F655" s="48">
        <v>5</v>
      </c>
      <c r="G655" s="48">
        <f>VLOOKUP(D655,단가!B:D,3,0)</f>
        <v>10500</v>
      </c>
      <c r="H655" s="48">
        <f t="shared" si="42"/>
        <v>52500</v>
      </c>
      <c r="I655" s="48">
        <f t="shared" si="44"/>
        <v>5250</v>
      </c>
      <c r="J655" s="49">
        <f t="shared" si="43"/>
        <v>57750</v>
      </c>
    </row>
    <row r="656" spans="1:10" ht="19" customHeight="1">
      <c r="A656" s="62" t="s">
        <v>744</v>
      </c>
      <c r="C656" s="47" t="s">
        <v>217</v>
      </c>
      <c r="D656" s="47" t="s">
        <v>149</v>
      </c>
      <c r="E656" s="90" t="s">
        <v>60</v>
      </c>
      <c r="F656" s="48">
        <v>5</v>
      </c>
      <c r="G656" s="48">
        <f>VLOOKUP(D656,단가!B:D,3,0)</f>
        <v>10500</v>
      </c>
      <c r="H656" s="48">
        <f t="shared" si="42"/>
        <v>52500</v>
      </c>
      <c r="I656" s="48">
        <f t="shared" si="44"/>
        <v>5250</v>
      </c>
      <c r="J656" s="49">
        <f t="shared" si="43"/>
        <v>57750</v>
      </c>
    </row>
    <row r="657" spans="1:12" ht="19" customHeight="1">
      <c r="A657" s="62" t="s">
        <v>746</v>
      </c>
      <c r="C657" s="47" t="s">
        <v>483</v>
      </c>
      <c r="D657" s="47" t="s">
        <v>315</v>
      </c>
      <c r="E657" s="90" t="s">
        <v>57</v>
      </c>
      <c r="F657" s="48">
        <v>4</v>
      </c>
      <c r="G657" s="48">
        <f>VLOOKUP(D657,단가!B:D,3,0)</f>
        <v>32000</v>
      </c>
      <c r="H657" s="48">
        <f t="shared" si="42"/>
        <v>128000</v>
      </c>
      <c r="I657" s="48">
        <f t="shared" si="44"/>
        <v>12800</v>
      </c>
      <c r="J657" s="49">
        <f t="shared" si="43"/>
        <v>140800</v>
      </c>
      <c r="L657" s="56"/>
    </row>
    <row r="658" spans="1:12" ht="19" customHeight="1">
      <c r="A658" s="62" t="s">
        <v>410</v>
      </c>
      <c r="C658" s="47" t="s">
        <v>217</v>
      </c>
      <c r="D658" s="90" t="s">
        <v>627</v>
      </c>
      <c r="E658" s="90" t="s">
        <v>57</v>
      </c>
      <c r="F658" s="48">
        <v>20</v>
      </c>
      <c r="G658" s="48">
        <f>VLOOKUP(D658,단가!B:D,3,0)</f>
        <v>25000</v>
      </c>
      <c r="H658" s="48">
        <f t="shared" si="42"/>
        <v>500000</v>
      </c>
      <c r="I658" s="48">
        <f t="shared" si="44"/>
        <v>50000</v>
      </c>
      <c r="J658" s="49">
        <f t="shared" si="43"/>
        <v>550000</v>
      </c>
    </row>
    <row r="659" spans="1:12" ht="19" customHeight="1">
      <c r="A659" s="62" t="s">
        <v>410</v>
      </c>
      <c r="C659" s="47" t="s">
        <v>217</v>
      </c>
      <c r="D659" s="47" t="s">
        <v>152</v>
      </c>
      <c r="E659" s="90" t="s">
        <v>60</v>
      </c>
      <c r="F659" s="48">
        <v>5</v>
      </c>
      <c r="G659" s="48">
        <f>VLOOKUP(D659,단가!B:D,3,0)</f>
        <v>10500</v>
      </c>
      <c r="H659" s="48">
        <f t="shared" si="42"/>
        <v>52500</v>
      </c>
      <c r="I659" s="48">
        <f t="shared" si="44"/>
        <v>5250</v>
      </c>
      <c r="J659" s="49">
        <f t="shared" si="43"/>
        <v>57750</v>
      </c>
    </row>
    <row r="660" spans="1:12" ht="19" customHeight="1">
      <c r="A660" s="62" t="s">
        <v>410</v>
      </c>
      <c r="C660" s="47" t="s">
        <v>217</v>
      </c>
      <c r="D660" s="47" t="s">
        <v>148</v>
      </c>
      <c r="E660" s="90" t="s">
        <v>60</v>
      </c>
      <c r="F660" s="48">
        <v>5</v>
      </c>
      <c r="G660" s="48">
        <f>VLOOKUP(D660,단가!B:D,3,0)</f>
        <v>10500</v>
      </c>
      <c r="H660" s="48">
        <f t="shared" si="42"/>
        <v>52500</v>
      </c>
      <c r="I660" s="48">
        <f t="shared" si="44"/>
        <v>5250</v>
      </c>
      <c r="J660" s="49">
        <f t="shared" si="43"/>
        <v>57750</v>
      </c>
    </row>
    <row r="661" spans="1:12" ht="19" customHeight="1">
      <c r="A661" s="62" t="s">
        <v>410</v>
      </c>
      <c r="C661" s="47" t="s">
        <v>217</v>
      </c>
      <c r="D661" s="47" t="s">
        <v>146</v>
      </c>
      <c r="E661" s="90" t="s">
        <v>60</v>
      </c>
      <c r="F661" s="48">
        <v>5</v>
      </c>
      <c r="G661" s="48">
        <f>VLOOKUP(D661,단가!B:D,3,0)</f>
        <v>10500</v>
      </c>
      <c r="H661" s="48">
        <f t="shared" si="42"/>
        <v>52500</v>
      </c>
      <c r="I661" s="48">
        <f t="shared" si="44"/>
        <v>5250</v>
      </c>
      <c r="J661" s="49">
        <f t="shared" si="43"/>
        <v>57750</v>
      </c>
    </row>
    <row r="662" spans="1:12" ht="19" customHeight="1">
      <c r="A662" s="62" t="s">
        <v>410</v>
      </c>
      <c r="C662" s="47" t="s">
        <v>217</v>
      </c>
      <c r="D662" s="47" t="s">
        <v>147</v>
      </c>
      <c r="E662" s="90" t="s">
        <v>60</v>
      </c>
      <c r="F662" s="48">
        <v>5</v>
      </c>
      <c r="G662" s="48">
        <f>VLOOKUP(D662,단가!B:D,3,0)</f>
        <v>10500</v>
      </c>
      <c r="H662" s="48">
        <f t="shared" ref="H662:H736" si="48">F662*G662</f>
        <v>52500</v>
      </c>
      <c r="I662" s="48">
        <f t="shared" si="44"/>
        <v>5250</v>
      </c>
      <c r="J662" s="49">
        <f t="shared" si="43"/>
        <v>57750</v>
      </c>
    </row>
    <row r="663" spans="1:12" ht="19" customHeight="1">
      <c r="A663" s="62" t="s">
        <v>747</v>
      </c>
      <c r="C663" s="47" t="s">
        <v>505</v>
      </c>
      <c r="D663" s="47" t="s">
        <v>315</v>
      </c>
      <c r="E663" s="90" t="s">
        <v>57</v>
      </c>
      <c r="F663" s="48">
        <v>2</v>
      </c>
      <c r="G663" s="48">
        <f>VLOOKUP(D663,단가!B:D,3,0)</f>
        <v>32000</v>
      </c>
      <c r="H663" s="48">
        <f t="shared" si="48"/>
        <v>64000</v>
      </c>
      <c r="I663" s="48">
        <f t="shared" si="44"/>
        <v>6400</v>
      </c>
      <c r="J663" s="49">
        <f t="shared" si="43"/>
        <v>70400</v>
      </c>
    </row>
    <row r="664" spans="1:12" ht="19" customHeight="1">
      <c r="A664" s="62" t="s">
        <v>748</v>
      </c>
      <c r="C664" s="47" t="s">
        <v>183</v>
      </c>
      <c r="D664" s="47" t="s">
        <v>688</v>
      </c>
      <c r="E664" s="47" t="s">
        <v>57</v>
      </c>
      <c r="F664" s="48">
        <v>10</v>
      </c>
      <c r="G664" s="48">
        <f>VLOOKUP(D664,단가!B:D,3,0)</f>
        <v>26000</v>
      </c>
      <c r="H664" s="48">
        <f t="shared" si="48"/>
        <v>260000</v>
      </c>
      <c r="I664" s="48">
        <f t="shared" si="44"/>
        <v>26000</v>
      </c>
      <c r="J664" s="49">
        <f t="shared" si="43"/>
        <v>286000</v>
      </c>
    </row>
    <row r="665" spans="1:12" ht="19" customHeight="1">
      <c r="A665" s="62" t="s">
        <v>748</v>
      </c>
      <c r="C665" s="47" t="s">
        <v>567</v>
      </c>
      <c r="D665" s="90" t="s">
        <v>627</v>
      </c>
      <c r="E665" s="90" t="s">
        <v>57</v>
      </c>
      <c r="F665" s="48">
        <v>3</v>
      </c>
      <c r="G665" s="48">
        <f>VLOOKUP(D665,단가!B:D,3,0)</f>
        <v>25000</v>
      </c>
      <c r="H665" s="48">
        <f t="shared" si="48"/>
        <v>75000</v>
      </c>
      <c r="J665" s="49">
        <f t="shared" si="43"/>
        <v>75000</v>
      </c>
    </row>
    <row r="666" spans="1:12" ht="19" customHeight="1">
      <c r="A666" s="62" t="s">
        <v>749</v>
      </c>
      <c r="C666" s="47" t="s">
        <v>719</v>
      </c>
      <c r="D666" s="90" t="s">
        <v>627</v>
      </c>
      <c r="E666" s="90" t="s">
        <v>57</v>
      </c>
      <c r="F666" s="48">
        <v>2</v>
      </c>
      <c r="G666" s="48">
        <v>30000</v>
      </c>
      <c r="H666" s="48">
        <f t="shared" si="48"/>
        <v>60000</v>
      </c>
      <c r="I666" s="48">
        <f t="shared" si="44"/>
        <v>6000</v>
      </c>
      <c r="J666" s="49">
        <f t="shared" si="43"/>
        <v>66000</v>
      </c>
    </row>
    <row r="667" spans="1:12" ht="19" customHeight="1">
      <c r="A667" s="62" t="s">
        <v>749</v>
      </c>
      <c r="C667" s="47" t="s">
        <v>217</v>
      </c>
      <c r="D667" s="90" t="s">
        <v>627</v>
      </c>
      <c r="E667" s="90" t="s">
        <v>57</v>
      </c>
      <c r="F667" s="48">
        <v>5</v>
      </c>
      <c r="G667" s="48">
        <f>VLOOKUP(D667,단가!B:D,3,0)</f>
        <v>25000</v>
      </c>
      <c r="H667" s="48">
        <f t="shared" si="48"/>
        <v>125000</v>
      </c>
      <c r="I667" s="48">
        <f t="shared" si="44"/>
        <v>12500</v>
      </c>
      <c r="J667" s="49">
        <f t="shared" si="43"/>
        <v>137500</v>
      </c>
    </row>
    <row r="668" spans="1:12" ht="19" customHeight="1">
      <c r="A668" s="62" t="s">
        <v>749</v>
      </c>
      <c r="C668" s="47" t="s">
        <v>217</v>
      </c>
      <c r="D668" s="47" t="s">
        <v>154</v>
      </c>
      <c r="E668" s="90" t="s">
        <v>60</v>
      </c>
      <c r="F668" s="48">
        <v>5</v>
      </c>
      <c r="G668" s="48">
        <f>VLOOKUP(D668,단가!B:D,3,0)</f>
        <v>10500</v>
      </c>
      <c r="H668" s="48">
        <f t="shared" si="48"/>
        <v>52500</v>
      </c>
      <c r="I668" s="48">
        <f t="shared" si="44"/>
        <v>5250</v>
      </c>
      <c r="J668" s="49">
        <f t="shared" si="43"/>
        <v>57750</v>
      </c>
    </row>
    <row r="669" spans="1:12" ht="19" customHeight="1">
      <c r="A669" s="62" t="s">
        <v>749</v>
      </c>
      <c r="C669" s="47" t="s">
        <v>217</v>
      </c>
      <c r="D669" s="47" t="s">
        <v>153</v>
      </c>
      <c r="E669" s="90" t="s">
        <v>60</v>
      </c>
      <c r="F669" s="48">
        <v>5</v>
      </c>
      <c r="G669" s="48">
        <f>VLOOKUP(D669,단가!B:D,3,0)</f>
        <v>10500</v>
      </c>
      <c r="H669" s="48">
        <f t="shared" si="48"/>
        <v>52500</v>
      </c>
      <c r="I669" s="48">
        <f t="shared" si="44"/>
        <v>5250</v>
      </c>
      <c r="J669" s="49">
        <f t="shared" si="43"/>
        <v>57750</v>
      </c>
    </row>
    <row r="670" spans="1:12" ht="19" customHeight="1">
      <c r="A670" s="62" t="s">
        <v>749</v>
      </c>
      <c r="C670" s="47" t="s">
        <v>217</v>
      </c>
      <c r="D670" s="47" t="s">
        <v>151</v>
      </c>
      <c r="E670" s="90" t="s">
        <v>60</v>
      </c>
      <c r="F670" s="48">
        <v>5</v>
      </c>
      <c r="G670" s="48">
        <f>VLOOKUP(D670,단가!B:D,3,0)</f>
        <v>10500</v>
      </c>
      <c r="H670" s="48">
        <f t="shared" si="48"/>
        <v>52500</v>
      </c>
      <c r="I670" s="48">
        <f t="shared" si="44"/>
        <v>5250</v>
      </c>
      <c r="J670" s="49">
        <f t="shared" si="43"/>
        <v>57750</v>
      </c>
    </row>
    <row r="671" spans="1:12" ht="19" customHeight="1">
      <c r="A671" s="62" t="s">
        <v>749</v>
      </c>
      <c r="C671" s="47" t="s">
        <v>217</v>
      </c>
      <c r="D671" s="47" t="s">
        <v>152</v>
      </c>
      <c r="E671" s="90" t="s">
        <v>60</v>
      </c>
      <c r="F671" s="48">
        <v>5</v>
      </c>
      <c r="G671" s="48">
        <f>VLOOKUP(D671,단가!B:D,3,0)</f>
        <v>10500</v>
      </c>
      <c r="H671" s="48">
        <f t="shared" si="48"/>
        <v>52500</v>
      </c>
      <c r="I671" s="48">
        <f t="shared" si="44"/>
        <v>5250</v>
      </c>
      <c r="J671" s="49">
        <f t="shared" si="43"/>
        <v>57750</v>
      </c>
    </row>
    <row r="672" spans="1:12" ht="19" customHeight="1">
      <c r="A672" s="62" t="s">
        <v>749</v>
      </c>
      <c r="C672" s="47" t="s">
        <v>217</v>
      </c>
      <c r="D672" s="47" t="s">
        <v>150</v>
      </c>
      <c r="E672" s="90" t="s">
        <v>60</v>
      </c>
      <c r="F672" s="48">
        <v>5</v>
      </c>
      <c r="G672" s="48">
        <f>VLOOKUP(D672,단가!B:D,3,0)</f>
        <v>10500</v>
      </c>
      <c r="H672" s="48">
        <f t="shared" si="48"/>
        <v>52500</v>
      </c>
      <c r="I672" s="48">
        <f t="shared" si="44"/>
        <v>5250</v>
      </c>
      <c r="J672" s="49">
        <f t="shared" si="43"/>
        <v>57750</v>
      </c>
    </row>
    <row r="673" spans="1:12" ht="19" customHeight="1">
      <c r="A673" s="62" t="s">
        <v>749</v>
      </c>
      <c r="C673" s="47" t="s">
        <v>217</v>
      </c>
      <c r="D673" s="47" t="s">
        <v>149</v>
      </c>
      <c r="E673" s="90" t="s">
        <v>60</v>
      </c>
      <c r="F673" s="48">
        <v>5</v>
      </c>
      <c r="G673" s="48">
        <f>VLOOKUP(D673,단가!B:D,3,0)</f>
        <v>10500</v>
      </c>
      <c r="H673" s="48">
        <f t="shared" si="48"/>
        <v>52500</v>
      </c>
      <c r="I673" s="48">
        <f t="shared" si="44"/>
        <v>5250</v>
      </c>
      <c r="J673" s="49">
        <f t="shared" si="43"/>
        <v>57750</v>
      </c>
    </row>
    <row r="674" spans="1:12" ht="19" customHeight="1">
      <c r="A674" s="62" t="s">
        <v>749</v>
      </c>
      <c r="C674" s="47" t="s">
        <v>217</v>
      </c>
      <c r="D674" s="47" t="s">
        <v>148</v>
      </c>
      <c r="E674" s="90" t="s">
        <v>60</v>
      </c>
      <c r="F674" s="48">
        <v>10</v>
      </c>
      <c r="G674" s="48">
        <f>VLOOKUP(D674,단가!B:D,3,0)</f>
        <v>10500</v>
      </c>
      <c r="H674" s="48">
        <f t="shared" si="48"/>
        <v>105000</v>
      </c>
      <c r="I674" s="48">
        <f t="shared" si="44"/>
        <v>10500</v>
      </c>
      <c r="J674" s="49">
        <f t="shared" si="43"/>
        <v>115500</v>
      </c>
    </row>
    <row r="675" spans="1:12" ht="19" customHeight="1">
      <c r="A675" s="62" t="s">
        <v>749</v>
      </c>
      <c r="C675" s="47" t="s">
        <v>217</v>
      </c>
      <c r="D675" s="47" t="s">
        <v>146</v>
      </c>
      <c r="E675" s="90" t="s">
        <v>60</v>
      </c>
      <c r="F675" s="48">
        <v>5</v>
      </c>
      <c r="G675" s="48">
        <f>VLOOKUP(D675,단가!B:D,3,0)</f>
        <v>10500</v>
      </c>
      <c r="H675" s="48">
        <f t="shared" si="48"/>
        <v>52500</v>
      </c>
      <c r="I675" s="48">
        <f t="shared" si="44"/>
        <v>5250</v>
      </c>
      <c r="J675" s="49">
        <f t="shared" si="43"/>
        <v>57750</v>
      </c>
      <c r="L675" s="56"/>
    </row>
    <row r="676" spans="1:12" ht="19" customHeight="1">
      <c r="A676" s="62" t="s">
        <v>749</v>
      </c>
      <c r="C676" s="47" t="s">
        <v>217</v>
      </c>
      <c r="D676" s="47" t="s">
        <v>147</v>
      </c>
      <c r="E676" s="90" t="s">
        <v>60</v>
      </c>
      <c r="F676" s="48">
        <v>5</v>
      </c>
      <c r="G676" s="48">
        <f>VLOOKUP(D676,단가!B:D,3,0)</f>
        <v>10500</v>
      </c>
      <c r="H676" s="48">
        <f t="shared" si="48"/>
        <v>52500</v>
      </c>
      <c r="I676" s="48">
        <f t="shared" si="44"/>
        <v>5250</v>
      </c>
      <c r="J676" s="49">
        <f t="shared" si="43"/>
        <v>57750</v>
      </c>
    </row>
    <row r="677" spans="1:12" ht="19" customHeight="1">
      <c r="A677" s="62" t="s">
        <v>750</v>
      </c>
      <c r="C677" s="47" t="s">
        <v>217</v>
      </c>
      <c r="D677" s="90" t="s">
        <v>627</v>
      </c>
      <c r="E677" s="90" t="s">
        <v>57</v>
      </c>
      <c r="F677" s="48">
        <v>35</v>
      </c>
      <c r="G677" s="48">
        <f>VLOOKUP(D677,단가!B:D,3,0)</f>
        <v>25000</v>
      </c>
      <c r="H677" s="48">
        <f t="shared" si="48"/>
        <v>875000</v>
      </c>
      <c r="I677" s="48">
        <f t="shared" si="44"/>
        <v>87500</v>
      </c>
      <c r="J677" s="49">
        <f t="shared" si="43"/>
        <v>962500</v>
      </c>
      <c r="L677" s="56"/>
    </row>
    <row r="678" spans="1:12" ht="19" customHeight="1">
      <c r="A678" s="62" t="s">
        <v>751</v>
      </c>
      <c r="C678" s="47" t="s">
        <v>467</v>
      </c>
      <c r="D678" s="47" t="s">
        <v>315</v>
      </c>
      <c r="E678" s="47" t="s">
        <v>57</v>
      </c>
      <c r="F678" s="48">
        <v>2</v>
      </c>
      <c r="G678" s="48">
        <f>VLOOKUP(D678,단가!B:D,3,0)</f>
        <v>32000</v>
      </c>
      <c r="H678" s="48">
        <f t="shared" si="48"/>
        <v>64000</v>
      </c>
      <c r="I678" s="48">
        <f t="shared" si="44"/>
        <v>6400</v>
      </c>
      <c r="J678" s="49">
        <f t="shared" si="43"/>
        <v>70400</v>
      </c>
    </row>
    <row r="679" spans="1:12" ht="19" customHeight="1">
      <c r="A679" s="62" t="s">
        <v>753</v>
      </c>
      <c r="C679" s="47" t="s">
        <v>394</v>
      </c>
      <c r="D679" s="47" t="s">
        <v>315</v>
      </c>
      <c r="E679" s="47" t="s">
        <v>57</v>
      </c>
      <c r="F679" s="48">
        <v>5</v>
      </c>
      <c r="G679" s="48">
        <f>VLOOKUP(D679,단가!B:D,3,0)</f>
        <v>32000</v>
      </c>
      <c r="H679" s="48">
        <f t="shared" si="48"/>
        <v>160000</v>
      </c>
      <c r="I679" s="48">
        <f t="shared" si="44"/>
        <v>16000</v>
      </c>
      <c r="J679" s="49">
        <f t="shared" si="43"/>
        <v>176000</v>
      </c>
    </row>
    <row r="680" spans="1:12" ht="19" customHeight="1">
      <c r="A680" s="62" t="s">
        <v>753</v>
      </c>
      <c r="C680" s="47" t="s">
        <v>755</v>
      </c>
      <c r="D680" s="47" t="s">
        <v>154</v>
      </c>
      <c r="E680" s="90" t="s">
        <v>60</v>
      </c>
      <c r="F680" s="48">
        <v>5</v>
      </c>
      <c r="G680" s="48">
        <f>VLOOKUP(D680,단가!B:D,3,0)</f>
        <v>10500</v>
      </c>
      <c r="H680" s="48">
        <f t="shared" si="48"/>
        <v>52500</v>
      </c>
      <c r="I680" s="48">
        <f t="shared" si="44"/>
        <v>5250</v>
      </c>
      <c r="J680" s="49">
        <f t="shared" si="43"/>
        <v>57750</v>
      </c>
    </row>
    <row r="681" spans="1:12" ht="19" customHeight="1">
      <c r="A681" s="47" t="s">
        <v>752</v>
      </c>
      <c r="C681" s="47" t="s">
        <v>754</v>
      </c>
      <c r="D681" s="47" t="s">
        <v>153</v>
      </c>
      <c r="E681" s="90" t="s">
        <v>60</v>
      </c>
      <c r="F681" s="48">
        <v>5</v>
      </c>
      <c r="G681" s="48">
        <f>VLOOKUP(D681,단가!B:D,3,0)</f>
        <v>10500</v>
      </c>
      <c r="H681" s="48">
        <f t="shared" si="48"/>
        <v>52500</v>
      </c>
      <c r="I681" s="48">
        <f t="shared" si="44"/>
        <v>5250</v>
      </c>
      <c r="J681" s="49">
        <f t="shared" si="43"/>
        <v>57750</v>
      </c>
    </row>
    <row r="682" spans="1:12" ht="19" customHeight="1">
      <c r="A682" s="47" t="s">
        <v>752</v>
      </c>
      <c r="C682" s="47" t="s">
        <v>754</v>
      </c>
      <c r="D682" s="47" t="s">
        <v>151</v>
      </c>
      <c r="E682" s="90" t="s">
        <v>60</v>
      </c>
      <c r="F682" s="48">
        <v>5</v>
      </c>
      <c r="G682" s="48">
        <f>VLOOKUP(D682,단가!B:D,3,0)</f>
        <v>10500</v>
      </c>
      <c r="H682" s="48">
        <f t="shared" si="48"/>
        <v>52500</v>
      </c>
      <c r="I682" s="48">
        <f t="shared" si="44"/>
        <v>5250</v>
      </c>
      <c r="J682" s="49">
        <f t="shared" si="43"/>
        <v>57750</v>
      </c>
    </row>
    <row r="683" spans="1:12" ht="19" customHeight="1">
      <c r="A683" s="47" t="s">
        <v>752</v>
      </c>
      <c r="C683" s="47" t="s">
        <v>754</v>
      </c>
      <c r="D683" s="47" t="s">
        <v>152</v>
      </c>
      <c r="E683" s="90" t="s">
        <v>60</v>
      </c>
      <c r="F683" s="48">
        <v>5</v>
      </c>
      <c r="G683" s="48">
        <f>VLOOKUP(D683,단가!B:D,3,0)</f>
        <v>10500</v>
      </c>
      <c r="H683" s="48">
        <f t="shared" si="48"/>
        <v>52500</v>
      </c>
      <c r="I683" s="48">
        <f t="shared" si="44"/>
        <v>5250</v>
      </c>
      <c r="J683" s="49">
        <f t="shared" si="43"/>
        <v>57750</v>
      </c>
    </row>
    <row r="684" spans="1:12" ht="19" customHeight="1">
      <c r="A684" s="47" t="s">
        <v>752</v>
      </c>
      <c r="C684" s="47" t="s">
        <v>754</v>
      </c>
      <c r="D684" s="47" t="s">
        <v>150</v>
      </c>
      <c r="E684" s="90" t="s">
        <v>60</v>
      </c>
      <c r="F684" s="48">
        <v>5</v>
      </c>
      <c r="G684" s="48">
        <f>VLOOKUP(D684,단가!B:D,3,0)</f>
        <v>10500</v>
      </c>
      <c r="H684" s="48">
        <f t="shared" si="48"/>
        <v>52500</v>
      </c>
      <c r="I684" s="48">
        <f t="shared" si="44"/>
        <v>5250</v>
      </c>
      <c r="J684" s="49">
        <f t="shared" si="43"/>
        <v>57750</v>
      </c>
    </row>
    <row r="685" spans="1:12" ht="19" customHeight="1">
      <c r="A685" s="47" t="s">
        <v>752</v>
      </c>
      <c r="C685" s="47" t="s">
        <v>754</v>
      </c>
      <c r="D685" s="47" t="s">
        <v>149</v>
      </c>
      <c r="E685" s="90" t="s">
        <v>60</v>
      </c>
      <c r="F685" s="48">
        <v>5</v>
      </c>
      <c r="G685" s="48">
        <f>VLOOKUP(D685,단가!B:D,3,0)</f>
        <v>10500</v>
      </c>
      <c r="H685" s="48">
        <f t="shared" si="48"/>
        <v>52500</v>
      </c>
      <c r="I685" s="48">
        <f t="shared" si="44"/>
        <v>5250</v>
      </c>
      <c r="J685" s="49">
        <f t="shared" si="43"/>
        <v>57750</v>
      </c>
    </row>
    <row r="686" spans="1:12" ht="19" customHeight="1">
      <c r="A686" s="47" t="s">
        <v>752</v>
      </c>
      <c r="C686" s="47" t="s">
        <v>754</v>
      </c>
      <c r="D686" s="47" t="s">
        <v>148</v>
      </c>
      <c r="E686" s="90" t="s">
        <v>60</v>
      </c>
      <c r="F686" s="48">
        <v>5</v>
      </c>
      <c r="G686" s="48">
        <f>VLOOKUP(D686,단가!B:D,3,0)</f>
        <v>10500</v>
      </c>
      <c r="H686" s="48">
        <f t="shared" si="48"/>
        <v>52500</v>
      </c>
      <c r="I686" s="48">
        <f t="shared" si="44"/>
        <v>5250</v>
      </c>
      <c r="J686" s="49">
        <f t="shared" si="43"/>
        <v>57750</v>
      </c>
    </row>
    <row r="687" spans="1:12" ht="19" customHeight="1">
      <c r="A687" s="47" t="s">
        <v>752</v>
      </c>
      <c r="C687" s="47" t="s">
        <v>754</v>
      </c>
      <c r="D687" s="47" t="s">
        <v>146</v>
      </c>
      <c r="E687" s="90" t="s">
        <v>60</v>
      </c>
      <c r="F687" s="48">
        <v>5</v>
      </c>
      <c r="G687" s="48">
        <f>VLOOKUP(D687,단가!B:D,3,0)</f>
        <v>10500</v>
      </c>
      <c r="H687" s="48">
        <f t="shared" si="48"/>
        <v>52500</v>
      </c>
      <c r="I687" s="48">
        <f t="shared" si="44"/>
        <v>5250</v>
      </c>
      <c r="J687" s="49">
        <f t="shared" si="43"/>
        <v>57750</v>
      </c>
    </row>
    <row r="688" spans="1:12" ht="19" customHeight="1">
      <c r="A688" s="47" t="s">
        <v>752</v>
      </c>
      <c r="C688" s="47" t="s">
        <v>754</v>
      </c>
      <c r="D688" s="47" t="s">
        <v>147</v>
      </c>
      <c r="E688" s="90" t="s">
        <v>60</v>
      </c>
      <c r="F688" s="48">
        <v>5</v>
      </c>
      <c r="G688" s="48">
        <f>VLOOKUP(D688,단가!B:D,3,0)</f>
        <v>10500</v>
      </c>
      <c r="H688" s="48">
        <f t="shared" si="48"/>
        <v>52500</v>
      </c>
      <c r="I688" s="48">
        <f t="shared" si="44"/>
        <v>5250</v>
      </c>
      <c r="J688" s="49">
        <f t="shared" si="43"/>
        <v>57750</v>
      </c>
      <c r="L688" s="56"/>
    </row>
    <row r="689" spans="1:10" ht="19" customHeight="1">
      <c r="A689" s="62" t="s">
        <v>756</v>
      </c>
      <c r="C689" s="47" t="s">
        <v>567</v>
      </c>
      <c r="D689" s="90" t="s">
        <v>627</v>
      </c>
      <c r="E689" s="90" t="s">
        <v>57</v>
      </c>
      <c r="F689" s="48">
        <v>3</v>
      </c>
      <c r="G689" s="48">
        <f>VLOOKUP(D689,단가!B:D,3,0)</f>
        <v>25000</v>
      </c>
      <c r="H689" s="48">
        <f t="shared" si="48"/>
        <v>75000</v>
      </c>
      <c r="J689" s="49">
        <f t="shared" si="43"/>
        <v>75000</v>
      </c>
    </row>
    <row r="690" spans="1:10" ht="19" customHeight="1">
      <c r="A690" s="62" t="s">
        <v>756</v>
      </c>
      <c r="C690" s="47" t="s">
        <v>126</v>
      </c>
      <c r="D690" s="47" t="s">
        <v>688</v>
      </c>
      <c r="E690" s="47" t="s">
        <v>57</v>
      </c>
      <c r="F690" s="48">
        <v>10</v>
      </c>
      <c r="G690" s="48">
        <f>VLOOKUP(D690,단가!B:D,3,0)</f>
        <v>26000</v>
      </c>
      <c r="H690" s="48">
        <f t="shared" si="48"/>
        <v>260000</v>
      </c>
      <c r="I690" s="48">
        <f t="shared" si="44"/>
        <v>26000</v>
      </c>
      <c r="J690" s="49">
        <f t="shared" si="43"/>
        <v>286000</v>
      </c>
    </row>
    <row r="691" spans="1:10" ht="19" customHeight="1">
      <c r="A691" s="62" t="s">
        <v>756</v>
      </c>
      <c r="C691" s="47" t="s">
        <v>217</v>
      </c>
      <c r="D691" s="90" t="s">
        <v>627</v>
      </c>
      <c r="E691" s="90" t="s">
        <v>57</v>
      </c>
      <c r="F691" s="48">
        <v>5</v>
      </c>
      <c r="G691" s="48">
        <f>VLOOKUP(D691,단가!B:D,3,0)</f>
        <v>25000</v>
      </c>
      <c r="H691" s="48">
        <f t="shared" si="48"/>
        <v>125000</v>
      </c>
      <c r="I691" s="48">
        <f t="shared" si="44"/>
        <v>12500</v>
      </c>
      <c r="J691" s="49">
        <f t="shared" si="43"/>
        <v>137500</v>
      </c>
    </row>
    <row r="692" spans="1:10" ht="19" customHeight="1">
      <c r="A692" s="62" t="s">
        <v>455</v>
      </c>
      <c r="C692" s="47" t="s">
        <v>316</v>
      </c>
      <c r="D692" s="90" t="s">
        <v>405</v>
      </c>
      <c r="E692" s="90"/>
      <c r="F692" s="48">
        <v>1</v>
      </c>
      <c r="G692" s="48">
        <f>VLOOKUP(D692,단가!B:D,3,0)</f>
        <v>30000</v>
      </c>
      <c r="H692" s="48">
        <f t="shared" ref="H692:H702" si="49">F692*G692</f>
        <v>30000</v>
      </c>
      <c r="I692" s="48">
        <f t="shared" ref="I692:I702" si="50">H692*0.1</f>
        <v>3000</v>
      </c>
      <c r="J692" s="49">
        <f t="shared" ref="J692:J702" si="51">H692+I692</f>
        <v>33000</v>
      </c>
    </row>
    <row r="693" spans="1:10" ht="19" customHeight="1">
      <c r="A693" s="62" t="s">
        <v>455</v>
      </c>
      <c r="C693" s="47" t="s">
        <v>375</v>
      </c>
      <c r="D693" s="90" t="s">
        <v>405</v>
      </c>
      <c r="E693" s="90"/>
      <c r="F693" s="48">
        <v>1</v>
      </c>
      <c r="G693" s="48">
        <f>VLOOKUP(D693,단가!B:D,3,0)</f>
        <v>30000</v>
      </c>
      <c r="H693" s="48">
        <f t="shared" si="49"/>
        <v>30000</v>
      </c>
      <c r="I693" s="48">
        <f t="shared" si="50"/>
        <v>3000</v>
      </c>
      <c r="J693" s="49">
        <f t="shared" si="51"/>
        <v>33000</v>
      </c>
    </row>
    <row r="694" spans="1:10" ht="19" customHeight="1">
      <c r="A694" s="62" t="s">
        <v>455</v>
      </c>
      <c r="C694" s="47" t="s">
        <v>394</v>
      </c>
      <c r="D694" s="90" t="s">
        <v>405</v>
      </c>
      <c r="E694" s="90"/>
      <c r="F694" s="48">
        <v>1</v>
      </c>
      <c r="G694" s="48">
        <f>VLOOKUP(D694,단가!B:D,3,0)</f>
        <v>30000</v>
      </c>
      <c r="H694" s="48">
        <f t="shared" si="49"/>
        <v>30000</v>
      </c>
      <c r="I694" s="48">
        <f t="shared" si="50"/>
        <v>3000</v>
      </c>
      <c r="J694" s="49">
        <f t="shared" si="51"/>
        <v>33000</v>
      </c>
    </row>
    <row r="695" spans="1:10" ht="19" customHeight="1">
      <c r="A695" s="62" t="s">
        <v>455</v>
      </c>
      <c r="C695" s="47" t="s">
        <v>434</v>
      </c>
      <c r="D695" s="90" t="s">
        <v>405</v>
      </c>
      <c r="E695" s="90"/>
      <c r="F695" s="48">
        <v>1</v>
      </c>
      <c r="G695" s="48">
        <f>VLOOKUP(D695,단가!B:D,3,0)</f>
        <v>30000</v>
      </c>
      <c r="H695" s="48">
        <f t="shared" si="49"/>
        <v>30000</v>
      </c>
      <c r="I695" s="48">
        <f t="shared" si="50"/>
        <v>3000</v>
      </c>
      <c r="J695" s="49">
        <f t="shared" si="51"/>
        <v>33000</v>
      </c>
    </row>
    <row r="696" spans="1:10" ht="19" customHeight="1">
      <c r="A696" s="62" t="s">
        <v>455</v>
      </c>
      <c r="C696" s="47" t="s">
        <v>467</v>
      </c>
      <c r="D696" s="90" t="s">
        <v>405</v>
      </c>
      <c r="E696" s="90"/>
      <c r="F696" s="48">
        <v>1</v>
      </c>
      <c r="G696" s="48">
        <f>VLOOKUP(D696,단가!B:D,3,0)</f>
        <v>30000</v>
      </c>
      <c r="H696" s="48">
        <f t="shared" si="49"/>
        <v>30000</v>
      </c>
      <c r="I696" s="48">
        <f t="shared" si="50"/>
        <v>3000</v>
      </c>
      <c r="J696" s="49">
        <f t="shared" si="51"/>
        <v>33000</v>
      </c>
    </row>
    <row r="697" spans="1:10" ht="19" customHeight="1">
      <c r="A697" s="62" t="s">
        <v>455</v>
      </c>
      <c r="C697" s="47" t="s">
        <v>480</v>
      </c>
      <c r="D697" s="90" t="s">
        <v>405</v>
      </c>
      <c r="E697" s="90"/>
      <c r="F697" s="48">
        <v>1</v>
      </c>
      <c r="G697" s="48">
        <f>VLOOKUP(D697,단가!B:D,3,0)</f>
        <v>30000</v>
      </c>
      <c r="H697" s="48">
        <f t="shared" si="49"/>
        <v>30000</v>
      </c>
      <c r="I697" s="48">
        <f t="shared" si="50"/>
        <v>3000</v>
      </c>
      <c r="J697" s="49">
        <f t="shared" si="51"/>
        <v>33000</v>
      </c>
    </row>
    <row r="698" spans="1:10" ht="19" customHeight="1">
      <c r="A698" s="62" t="s">
        <v>455</v>
      </c>
      <c r="C698" s="47" t="s">
        <v>483</v>
      </c>
      <c r="D698" s="90" t="s">
        <v>405</v>
      </c>
      <c r="E698" s="90"/>
      <c r="F698" s="48">
        <v>1</v>
      </c>
      <c r="G698" s="48">
        <f>VLOOKUP(D698,단가!B:D,3,0)</f>
        <v>30000</v>
      </c>
      <c r="H698" s="48">
        <f t="shared" si="49"/>
        <v>30000</v>
      </c>
      <c r="I698" s="48">
        <f t="shared" si="50"/>
        <v>3000</v>
      </c>
      <c r="J698" s="49">
        <f t="shared" si="51"/>
        <v>33000</v>
      </c>
    </row>
    <row r="699" spans="1:10" ht="19" customHeight="1">
      <c r="A699" s="62" t="s">
        <v>455</v>
      </c>
      <c r="C699" s="47" t="s">
        <v>486</v>
      </c>
      <c r="D699" s="90" t="s">
        <v>405</v>
      </c>
      <c r="E699" s="90"/>
      <c r="F699" s="48">
        <v>1</v>
      </c>
      <c r="G699" s="48">
        <f>VLOOKUP(D699,단가!B:D,3,0)</f>
        <v>30000</v>
      </c>
      <c r="H699" s="48">
        <f t="shared" si="49"/>
        <v>30000</v>
      </c>
      <c r="I699" s="48">
        <f t="shared" si="50"/>
        <v>3000</v>
      </c>
      <c r="J699" s="49">
        <f t="shared" si="51"/>
        <v>33000</v>
      </c>
    </row>
    <row r="700" spans="1:10" ht="19" customHeight="1">
      <c r="A700" s="62" t="s">
        <v>455</v>
      </c>
      <c r="C700" s="47" t="s">
        <v>501</v>
      </c>
      <c r="D700" s="90" t="s">
        <v>405</v>
      </c>
      <c r="E700" s="90"/>
      <c r="F700" s="48">
        <v>1</v>
      </c>
      <c r="G700" s="48">
        <f>VLOOKUP(D700,단가!B:D,3,0)</f>
        <v>30000</v>
      </c>
      <c r="H700" s="48">
        <f t="shared" si="49"/>
        <v>30000</v>
      </c>
      <c r="I700" s="48">
        <f t="shared" si="50"/>
        <v>3000</v>
      </c>
      <c r="J700" s="49">
        <f t="shared" si="51"/>
        <v>33000</v>
      </c>
    </row>
    <row r="701" spans="1:10" ht="19" customHeight="1">
      <c r="A701" s="62" t="s">
        <v>455</v>
      </c>
      <c r="C701" s="47" t="s">
        <v>505</v>
      </c>
      <c r="D701" s="90" t="s">
        <v>405</v>
      </c>
      <c r="E701" s="90"/>
      <c r="F701" s="48">
        <v>1</v>
      </c>
      <c r="G701" s="48">
        <f>VLOOKUP(D701,단가!B:D,3,0)</f>
        <v>30000</v>
      </c>
      <c r="H701" s="48">
        <f t="shared" si="49"/>
        <v>30000</v>
      </c>
      <c r="I701" s="48">
        <f t="shared" si="50"/>
        <v>3000</v>
      </c>
      <c r="J701" s="49">
        <f t="shared" si="51"/>
        <v>33000</v>
      </c>
    </row>
    <row r="702" spans="1:10" ht="19" customHeight="1">
      <c r="A702" s="62" t="s">
        <v>455</v>
      </c>
      <c r="C702" s="47" t="s">
        <v>508</v>
      </c>
      <c r="D702" s="90" t="s">
        <v>405</v>
      </c>
      <c r="E702" s="90"/>
      <c r="F702" s="48">
        <v>1</v>
      </c>
      <c r="G702" s="48">
        <f>VLOOKUP(D702,단가!B:D,3,0)</f>
        <v>30000</v>
      </c>
      <c r="H702" s="48">
        <f t="shared" si="49"/>
        <v>30000</v>
      </c>
      <c r="I702" s="48">
        <f t="shared" si="50"/>
        <v>3000</v>
      </c>
      <c r="J702" s="49">
        <f t="shared" si="51"/>
        <v>33000</v>
      </c>
    </row>
    <row r="703" spans="1:10" ht="19" customHeight="1">
      <c r="A703" s="62" t="s">
        <v>757</v>
      </c>
      <c r="C703" s="47" t="s">
        <v>217</v>
      </c>
      <c r="D703" s="90" t="s">
        <v>627</v>
      </c>
      <c r="E703" s="90" t="s">
        <v>57</v>
      </c>
      <c r="F703" s="48">
        <v>10</v>
      </c>
      <c r="G703" s="48">
        <f>VLOOKUP(D703,단가!B:D,3,0)</f>
        <v>25000</v>
      </c>
      <c r="H703" s="48">
        <f t="shared" si="48"/>
        <v>250000</v>
      </c>
      <c r="I703" s="48">
        <f t="shared" si="44"/>
        <v>25000</v>
      </c>
      <c r="J703" s="49">
        <f t="shared" si="43"/>
        <v>275000</v>
      </c>
    </row>
    <row r="704" spans="1:10" ht="19" customHeight="1">
      <c r="A704" s="62" t="s">
        <v>757</v>
      </c>
      <c r="C704" s="47" t="s">
        <v>217</v>
      </c>
      <c r="D704" s="47" t="s">
        <v>146</v>
      </c>
      <c r="E704" s="90" t="s">
        <v>60</v>
      </c>
      <c r="F704" s="48">
        <v>5</v>
      </c>
      <c r="G704" s="48">
        <f>VLOOKUP(D704,단가!B:D,3,0)</f>
        <v>10500</v>
      </c>
      <c r="H704" s="48">
        <f t="shared" si="48"/>
        <v>52500</v>
      </c>
      <c r="I704" s="48">
        <f t="shared" si="44"/>
        <v>5250</v>
      </c>
      <c r="J704" s="49">
        <f t="shared" si="43"/>
        <v>57750</v>
      </c>
    </row>
    <row r="705" spans="1:10" ht="19" customHeight="1">
      <c r="A705" s="62" t="s">
        <v>757</v>
      </c>
      <c r="C705" s="47" t="s">
        <v>217</v>
      </c>
      <c r="D705" s="47" t="s">
        <v>148</v>
      </c>
      <c r="E705" s="90" t="s">
        <v>60</v>
      </c>
      <c r="F705" s="48">
        <v>5</v>
      </c>
      <c r="G705" s="48">
        <f>VLOOKUP(D705,단가!B:D,3,0)</f>
        <v>10500</v>
      </c>
      <c r="H705" s="48">
        <f t="shared" si="48"/>
        <v>52500</v>
      </c>
      <c r="I705" s="48">
        <f t="shared" si="44"/>
        <v>5250</v>
      </c>
      <c r="J705" s="49">
        <f t="shared" si="43"/>
        <v>57750</v>
      </c>
    </row>
    <row r="706" spans="1:10" ht="19" customHeight="1">
      <c r="A706" s="62" t="s">
        <v>757</v>
      </c>
      <c r="C706" s="47" t="s">
        <v>217</v>
      </c>
      <c r="D706" s="47" t="s">
        <v>152</v>
      </c>
      <c r="E706" s="90" t="s">
        <v>60</v>
      </c>
      <c r="F706" s="48">
        <v>5</v>
      </c>
      <c r="G706" s="48">
        <f>VLOOKUP(D706,단가!B:D,3,0)</f>
        <v>10500</v>
      </c>
      <c r="H706" s="48">
        <f t="shared" si="48"/>
        <v>52500</v>
      </c>
      <c r="I706" s="48">
        <f t="shared" si="44"/>
        <v>5250</v>
      </c>
      <c r="J706" s="49">
        <f t="shared" si="43"/>
        <v>57750</v>
      </c>
    </row>
    <row r="707" spans="1:10" ht="19" customHeight="1">
      <c r="A707" s="62" t="s">
        <v>757</v>
      </c>
      <c r="C707" s="47" t="s">
        <v>217</v>
      </c>
      <c r="D707" s="47" t="s">
        <v>149</v>
      </c>
      <c r="E707" s="90" t="s">
        <v>60</v>
      </c>
      <c r="F707" s="48">
        <v>5</v>
      </c>
      <c r="G707" s="48">
        <f>VLOOKUP(D707,단가!B:D,3,0)</f>
        <v>10500</v>
      </c>
      <c r="H707" s="48">
        <f t="shared" si="48"/>
        <v>52500</v>
      </c>
      <c r="I707" s="48">
        <f t="shared" si="44"/>
        <v>5250</v>
      </c>
      <c r="J707" s="49">
        <f t="shared" si="43"/>
        <v>57750</v>
      </c>
    </row>
    <row r="708" spans="1:10" ht="19" customHeight="1">
      <c r="A708" s="62" t="s">
        <v>757</v>
      </c>
      <c r="C708" s="47" t="s">
        <v>217</v>
      </c>
      <c r="D708" s="47" t="s">
        <v>148</v>
      </c>
      <c r="E708" s="90" t="s">
        <v>60</v>
      </c>
      <c r="F708" s="48">
        <v>5</v>
      </c>
      <c r="G708" s="48">
        <f>VLOOKUP(D708,단가!B:D,3,0)</f>
        <v>10500</v>
      </c>
      <c r="H708" s="48">
        <f t="shared" si="48"/>
        <v>52500</v>
      </c>
      <c r="I708" s="48">
        <f t="shared" si="44"/>
        <v>5250</v>
      </c>
      <c r="J708" s="49">
        <f t="shared" si="43"/>
        <v>57750</v>
      </c>
    </row>
    <row r="709" spans="1:10" ht="19" customHeight="1">
      <c r="A709" s="62" t="s">
        <v>757</v>
      </c>
      <c r="C709" s="47" t="s">
        <v>217</v>
      </c>
      <c r="D709" s="47" t="s">
        <v>147</v>
      </c>
      <c r="E709" s="90" t="s">
        <v>60</v>
      </c>
      <c r="F709" s="48">
        <v>5</v>
      </c>
      <c r="G709" s="48">
        <f>VLOOKUP(D709,단가!B:D,3,0)</f>
        <v>10500</v>
      </c>
      <c r="H709" s="48">
        <f t="shared" si="48"/>
        <v>52500</v>
      </c>
      <c r="I709" s="48">
        <f t="shared" si="44"/>
        <v>5250</v>
      </c>
      <c r="J709" s="49">
        <f t="shared" si="43"/>
        <v>57750</v>
      </c>
    </row>
    <row r="710" spans="1:10" ht="19" customHeight="1">
      <c r="A710" s="62" t="s">
        <v>757</v>
      </c>
      <c r="C710" s="47" t="s">
        <v>217</v>
      </c>
      <c r="D710" s="90" t="s">
        <v>627</v>
      </c>
      <c r="E710" s="90" t="s">
        <v>57</v>
      </c>
      <c r="F710" s="48">
        <v>1</v>
      </c>
      <c r="G710" s="48">
        <f>VLOOKUP(D710,단가!B:D,3,0)</f>
        <v>25000</v>
      </c>
      <c r="H710" s="48">
        <f t="shared" si="48"/>
        <v>25000</v>
      </c>
      <c r="I710" s="48">
        <f t="shared" si="44"/>
        <v>2500</v>
      </c>
      <c r="J710" s="49">
        <f t="shared" si="43"/>
        <v>27500</v>
      </c>
    </row>
    <row r="711" spans="1:10" ht="18.5" customHeight="1">
      <c r="A711" s="62" t="s">
        <v>758</v>
      </c>
      <c r="C711" s="47" t="s">
        <v>217</v>
      </c>
      <c r="D711" s="90" t="s">
        <v>627</v>
      </c>
      <c r="E711" s="90" t="s">
        <v>57</v>
      </c>
      <c r="F711" s="48">
        <v>10</v>
      </c>
      <c r="G711" s="48">
        <f>VLOOKUP(D711,단가!B:D,3,0)</f>
        <v>25000</v>
      </c>
      <c r="H711" s="48">
        <f t="shared" si="48"/>
        <v>250000</v>
      </c>
      <c r="I711" s="48">
        <f t="shared" si="44"/>
        <v>25000</v>
      </c>
      <c r="J711" s="49">
        <f t="shared" si="43"/>
        <v>275000</v>
      </c>
    </row>
    <row r="712" spans="1:10" ht="19" customHeight="1">
      <c r="A712" s="62" t="s">
        <v>758</v>
      </c>
      <c r="C712" s="47" t="s">
        <v>217</v>
      </c>
      <c r="D712" s="47" t="s">
        <v>148</v>
      </c>
      <c r="E712" s="90" t="s">
        <v>60</v>
      </c>
      <c r="F712" s="48">
        <v>5</v>
      </c>
      <c r="G712" s="48">
        <f>VLOOKUP(D712,단가!B:D,3,0)</f>
        <v>10500</v>
      </c>
      <c r="H712" s="48">
        <f t="shared" si="48"/>
        <v>52500</v>
      </c>
      <c r="I712" s="48">
        <f t="shared" si="44"/>
        <v>5250</v>
      </c>
      <c r="J712" s="49">
        <f t="shared" si="43"/>
        <v>57750</v>
      </c>
    </row>
    <row r="713" spans="1:10" ht="19" customHeight="1">
      <c r="A713" s="62" t="s">
        <v>758</v>
      </c>
      <c r="C713" s="47" t="s">
        <v>217</v>
      </c>
      <c r="D713" s="47" t="s">
        <v>146</v>
      </c>
      <c r="E713" s="90" t="s">
        <v>60</v>
      </c>
      <c r="F713" s="48">
        <v>5</v>
      </c>
      <c r="G713" s="48">
        <f>VLOOKUP(D713,단가!B:D,3,0)</f>
        <v>10500</v>
      </c>
      <c r="H713" s="48">
        <f t="shared" si="48"/>
        <v>52500</v>
      </c>
      <c r="I713" s="48">
        <f t="shared" si="44"/>
        <v>5250</v>
      </c>
      <c r="J713" s="49">
        <f t="shared" si="43"/>
        <v>57750</v>
      </c>
    </row>
    <row r="714" spans="1:10" ht="19" customHeight="1">
      <c r="A714" s="62" t="s">
        <v>758</v>
      </c>
      <c r="C714" s="47" t="s">
        <v>217</v>
      </c>
      <c r="D714" s="47" t="s">
        <v>147</v>
      </c>
      <c r="E714" s="90" t="s">
        <v>60</v>
      </c>
      <c r="F714" s="48">
        <v>5</v>
      </c>
      <c r="G714" s="48">
        <f>VLOOKUP(D714,단가!B:D,3,0)</f>
        <v>10500</v>
      </c>
      <c r="H714" s="48">
        <f t="shared" si="48"/>
        <v>52500</v>
      </c>
      <c r="I714" s="48">
        <f t="shared" si="44"/>
        <v>5250</v>
      </c>
      <c r="J714" s="49">
        <f t="shared" si="43"/>
        <v>57750</v>
      </c>
    </row>
    <row r="715" spans="1:10" ht="19" customHeight="1">
      <c r="A715" s="62" t="s">
        <v>758</v>
      </c>
      <c r="C715" s="47" t="s">
        <v>217</v>
      </c>
      <c r="D715" s="47" t="s">
        <v>149</v>
      </c>
      <c r="E715" s="90" t="s">
        <v>60</v>
      </c>
      <c r="F715" s="48">
        <v>5</v>
      </c>
      <c r="G715" s="48">
        <f>VLOOKUP(D715,단가!B:D,3,0)</f>
        <v>10500</v>
      </c>
      <c r="H715" s="48">
        <f t="shared" si="48"/>
        <v>52500</v>
      </c>
      <c r="I715" s="48">
        <f t="shared" si="44"/>
        <v>5250</v>
      </c>
      <c r="J715" s="49">
        <f t="shared" si="43"/>
        <v>57750</v>
      </c>
    </row>
    <row r="716" spans="1:10" ht="19" customHeight="1">
      <c r="A716" s="62" t="s">
        <v>758</v>
      </c>
      <c r="C716" s="47" t="s">
        <v>217</v>
      </c>
      <c r="D716" s="47" t="s">
        <v>152</v>
      </c>
      <c r="E716" s="90" t="s">
        <v>60</v>
      </c>
      <c r="F716" s="48">
        <v>5</v>
      </c>
      <c r="G716" s="48">
        <f>VLOOKUP(D716,단가!B:D,3,0)</f>
        <v>10500</v>
      </c>
      <c r="H716" s="48">
        <f t="shared" si="48"/>
        <v>52500</v>
      </c>
      <c r="I716" s="48">
        <f t="shared" si="44"/>
        <v>5250</v>
      </c>
      <c r="J716" s="49">
        <f t="shared" ref="J716:J779" si="52">H716+I716</f>
        <v>57750</v>
      </c>
    </row>
    <row r="717" spans="1:10" ht="19" customHeight="1">
      <c r="A717" s="62" t="s">
        <v>759</v>
      </c>
      <c r="C717" s="47" t="s">
        <v>501</v>
      </c>
      <c r="D717" s="47" t="s">
        <v>315</v>
      </c>
      <c r="E717" s="90" t="s">
        <v>57</v>
      </c>
      <c r="F717" s="48">
        <v>4</v>
      </c>
      <c r="G717" s="48">
        <f>VLOOKUP(D717,단가!B:D,3,0)</f>
        <v>32000</v>
      </c>
      <c r="H717" s="48">
        <f t="shared" si="48"/>
        <v>128000</v>
      </c>
      <c r="I717" s="48">
        <f t="shared" ref="I717:I780" si="53">H717*0.1</f>
        <v>12800</v>
      </c>
      <c r="J717" s="49">
        <f t="shared" si="52"/>
        <v>140800</v>
      </c>
    </row>
    <row r="718" spans="1:10" ht="19" customHeight="1">
      <c r="A718" s="62" t="s">
        <v>760</v>
      </c>
      <c r="C718" s="47" t="s">
        <v>217</v>
      </c>
      <c r="D718" s="90" t="s">
        <v>627</v>
      </c>
      <c r="E718" s="90" t="s">
        <v>57</v>
      </c>
      <c r="F718" s="48">
        <v>2</v>
      </c>
      <c r="G718" s="48">
        <f>VLOOKUP(D718,단가!B:D,3,0)</f>
        <v>25000</v>
      </c>
      <c r="H718" s="48">
        <f t="shared" si="48"/>
        <v>50000</v>
      </c>
      <c r="I718" s="48">
        <f t="shared" si="53"/>
        <v>5000</v>
      </c>
      <c r="J718" s="49">
        <f t="shared" si="52"/>
        <v>55000</v>
      </c>
    </row>
    <row r="719" spans="1:10" ht="19" customHeight="1">
      <c r="A719" s="62" t="s">
        <v>760</v>
      </c>
      <c r="C719" s="47" t="s">
        <v>217</v>
      </c>
      <c r="D719" s="47" t="s">
        <v>154</v>
      </c>
      <c r="E719" s="90" t="s">
        <v>60</v>
      </c>
      <c r="F719" s="48">
        <v>5</v>
      </c>
      <c r="G719" s="48">
        <f>VLOOKUP(D719,단가!B:D,3,0)</f>
        <v>10500</v>
      </c>
      <c r="H719" s="48">
        <f t="shared" si="48"/>
        <v>52500</v>
      </c>
      <c r="I719" s="48">
        <f t="shared" si="53"/>
        <v>5250</v>
      </c>
      <c r="J719" s="49">
        <f t="shared" si="52"/>
        <v>57750</v>
      </c>
    </row>
    <row r="720" spans="1:10" ht="19" customHeight="1">
      <c r="A720" s="62" t="s">
        <v>760</v>
      </c>
      <c r="C720" s="47" t="s">
        <v>217</v>
      </c>
      <c r="D720" s="47" t="s">
        <v>153</v>
      </c>
      <c r="E720" s="90" t="s">
        <v>60</v>
      </c>
      <c r="F720" s="48">
        <v>5</v>
      </c>
      <c r="G720" s="48">
        <f>VLOOKUP(D720,단가!B:D,3,0)</f>
        <v>10500</v>
      </c>
      <c r="H720" s="48">
        <f t="shared" si="48"/>
        <v>52500</v>
      </c>
      <c r="I720" s="48">
        <f t="shared" si="53"/>
        <v>5250</v>
      </c>
      <c r="J720" s="49">
        <f t="shared" si="52"/>
        <v>57750</v>
      </c>
    </row>
    <row r="721" spans="1:10" ht="19" customHeight="1">
      <c r="A721" s="62" t="s">
        <v>760</v>
      </c>
      <c r="C721" s="47" t="s">
        <v>217</v>
      </c>
      <c r="D721" s="47" t="s">
        <v>151</v>
      </c>
      <c r="E721" s="90" t="s">
        <v>60</v>
      </c>
      <c r="F721" s="48">
        <v>5</v>
      </c>
      <c r="G721" s="48">
        <f>VLOOKUP(D721,단가!B:D,3,0)</f>
        <v>10500</v>
      </c>
      <c r="H721" s="48">
        <f t="shared" si="48"/>
        <v>52500</v>
      </c>
      <c r="I721" s="48">
        <f t="shared" si="53"/>
        <v>5250</v>
      </c>
      <c r="J721" s="49">
        <f t="shared" si="52"/>
        <v>57750</v>
      </c>
    </row>
    <row r="722" spans="1:10" ht="19" customHeight="1">
      <c r="A722" s="62" t="s">
        <v>760</v>
      </c>
      <c r="C722" s="47" t="s">
        <v>217</v>
      </c>
      <c r="D722" s="47" t="s">
        <v>152</v>
      </c>
      <c r="E722" s="90" t="s">
        <v>60</v>
      </c>
      <c r="F722" s="48">
        <v>5</v>
      </c>
      <c r="G722" s="48">
        <f>VLOOKUP(D722,단가!B:D,3,0)</f>
        <v>10500</v>
      </c>
      <c r="H722" s="48">
        <f t="shared" si="48"/>
        <v>52500</v>
      </c>
      <c r="I722" s="48">
        <f t="shared" si="53"/>
        <v>5250</v>
      </c>
      <c r="J722" s="49">
        <f t="shared" si="52"/>
        <v>57750</v>
      </c>
    </row>
    <row r="723" spans="1:10" ht="19" customHeight="1">
      <c r="A723" s="62" t="s">
        <v>760</v>
      </c>
      <c r="C723" s="47" t="s">
        <v>217</v>
      </c>
      <c r="D723" s="47" t="s">
        <v>150</v>
      </c>
      <c r="E723" s="90" t="s">
        <v>60</v>
      </c>
      <c r="F723" s="48">
        <v>5</v>
      </c>
      <c r="G723" s="48">
        <f>VLOOKUP(D723,단가!B:D,3,0)</f>
        <v>10500</v>
      </c>
      <c r="H723" s="48">
        <f t="shared" si="48"/>
        <v>52500</v>
      </c>
      <c r="I723" s="48">
        <f t="shared" si="53"/>
        <v>5250</v>
      </c>
      <c r="J723" s="49">
        <f t="shared" si="52"/>
        <v>57750</v>
      </c>
    </row>
    <row r="724" spans="1:10" ht="19" customHeight="1">
      <c r="A724" s="62" t="s">
        <v>760</v>
      </c>
      <c r="C724" s="47" t="s">
        <v>217</v>
      </c>
      <c r="D724" s="47" t="s">
        <v>149</v>
      </c>
      <c r="E724" s="90" t="s">
        <v>60</v>
      </c>
      <c r="F724" s="48">
        <v>5</v>
      </c>
      <c r="G724" s="48">
        <f>VLOOKUP(D724,단가!B:D,3,0)</f>
        <v>10500</v>
      </c>
      <c r="H724" s="48">
        <f t="shared" si="48"/>
        <v>52500</v>
      </c>
      <c r="I724" s="48">
        <f t="shared" si="53"/>
        <v>5250</v>
      </c>
      <c r="J724" s="49">
        <f t="shared" si="52"/>
        <v>57750</v>
      </c>
    </row>
    <row r="725" spans="1:10" ht="19" customHeight="1">
      <c r="A725" s="62" t="s">
        <v>760</v>
      </c>
      <c r="C725" s="47" t="s">
        <v>217</v>
      </c>
      <c r="D725" s="47" t="s">
        <v>148</v>
      </c>
      <c r="E725" s="90" t="s">
        <v>60</v>
      </c>
      <c r="F725" s="48">
        <v>5</v>
      </c>
      <c r="G725" s="48">
        <f>VLOOKUP(D725,단가!B:D,3,0)</f>
        <v>10500</v>
      </c>
      <c r="H725" s="48">
        <f t="shared" si="48"/>
        <v>52500</v>
      </c>
      <c r="I725" s="48">
        <f t="shared" si="53"/>
        <v>5250</v>
      </c>
      <c r="J725" s="49">
        <f t="shared" si="52"/>
        <v>57750</v>
      </c>
    </row>
    <row r="726" spans="1:10" ht="19" customHeight="1">
      <c r="A726" s="62" t="s">
        <v>760</v>
      </c>
      <c r="C726" s="47" t="s">
        <v>217</v>
      </c>
      <c r="D726" s="47" t="s">
        <v>146</v>
      </c>
      <c r="E726" s="90" t="s">
        <v>60</v>
      </c>
      <c r="F726" s="48">
        <v>5</v>
      </c>
      <c r="G726" s="48">
        <f>VLOOKUP(D726,단가!B:D,3,0)</f>
        <v>10500</v>
      </c>
      <c r="H726" s="48">
        <f t="shared" si="48"/>
        <v>52500</v>
      </c>
      <c r="I726" s="48">
        <f t="shared" si="53"/>
        <v>5250</v>
      </c>
      <c r="J726" s="49">
        <f t="shared" si="52"/>
        <v>57750</v>
      </c>
    </row>
    <row r="727" spans="1:10" ht="19" customHeight="1">
      <c r="A727" s="62" t="s">
        <v>760</v>
      </c>
      <c r="C727" s="47" t="s">
        <v>217</v>
      </c>
      <c r="D727" s="47" t="s">
        <v>147</v>
      </c>
      <c r="E727" s="90" t="s">
        <v>60</v>
      </c>
      <c r="F727" s="48">
        <v>5</v>
      </c>
      <c r="G727" s="48">
        <f>VLOOKUP(D727,단가!B:D,3,0)</f>
        <v>10500</v>
      </c>
      <c r="H727" s="48">
        <f t="shared" si="48"/>
        <v>52500</v>
      </c>
      <c r="I727" s="48">
        <f t="shared" si="53"/>
        <v>5250</v>
      </c>
      <c r="J727" s="49">
        <f t="shared" si="52"/>
        <v>57750</v>
      </c>
    </row>
    <row r="728" spans="1:10" ht="19" customHeight="1">
      <c r="A728" s="62" t="s">
        <v>761</v>
      </c>
      <c r="C728" s="47" t="s">
        <v>762</v>
      </c>
      <c r="D728" s="47" t="s">
        <v>763</v>
      </c>
      <c r="E728" s="90" t="s">
        <v>57</v>
      </c>
      <c r="F728" s="48">
        <v>10</v>
      </c>
      <c r="G728" s="48">
        <f>VLOOKUP(D728,단가!B:D,3,0)</f>
        <v>22000</v>
      </c>
      <c r="H728" s="48">
        <f t="shared" si="48"/>
        <v>220000</v>
      </c>
      <c r="I728" s="48">
        <f t="shared" si="53"/>
        <v>22000</v>
      </c>
      <c r="J728" s="49">
        <f t="shared" si="52"/>
        <v>242000</v>
      </c>
    </row>
    <row r="729" spans="1:10" ht="19" customHeight="1">
      <c r="A729" s="62" t="s">
        <v>764</v>
      </c>
      <c r="C729" s="47" t="s">
        <v>567</v>
      </c>
      <c r="D729" s="90" t="s">
        <v>627</v>
      </c>
      <c r="E729" s="90" t="s">
        <v>57</v>
      </c>
      <c r="F729" s="48">
        <v>3</v>
      </c>
      <c r="G729" s="48">
        <f>VLOOKUP(D729,단가!B:D,3,0)</f>
        <v>25000</v>
      </c>
      <c r="H729" s="48">
        <f t="shared" si="48"/>
        <v>75000</v>
      </c>
      <c r="J729" s="49">
        <f t="shared" si="52"/>
        <v>75000</v>
      </c>
    </row>
    <row r="730" spans="1:10" ht="19" customHeight="1">
      <c r="A730" s="62" t="s">
        <v>764</v>
      </c>
      <c r="C730" s="47" t="s">
        <v>508</v>
      </c>
      <c r="D730" s="47" t="s">
        <v>315</v>
      </c>
      <c r="E730" s="47" t="s">
        <v>57</v>
      </c>
      <c r="F730" s="48">
        <v>2</v>
      </c>
      <c r="G730" s="48">
        <f>VLOOKUP(D730,단가!B:D,3,0)</f>
        <v>32000</v>
      </c>
      <c r="H730" s="48">
        <f t="shared" si="48"/>
        <v>64000</v>
      </c>
      <c r="I730" s="48">
        <f t="shared" si="53"/>
        <v>6400</v>
      </c>
      <c r="J730" s="49">
        <f t="shared" si="52"/>
        <v>70400</v>
      </c>
    </row>
    <row r="731" spans="1:10" ht="19" customHeight="1">
      <c r="A731" s="62" t="s">
        <v>765</v>
      </c>
      <c r="C731" s="47" t="s">
        <v>766</v>
      </c>
      <c r="D731" s="90" t="s">
        <v>627</v>
      </c>
      <c r="E731" s="90" t="s">
        <v>57</v>
      </c>
      <c r="F731" s="48">
        <v>17</v>
      </c>
      <c r="G731" s="48">
        <f>VLOOKUP(D731,단가!B:D,3,0)</f>
        <v>25000</v>
      </c>
      <c r="H731" s="48">
        <f t="shared" si="48"/>
        <v>425000</v>
      </c>
      <c r="I731" s="48">
        <f t="shared" si="53"/>
        <v>42500</v>
      </c>
      <c r="J731" s="49">
        <f t="shared" si="52"/>
        <v>467500</v>
      </c>
    </row>
    <row r="732" spans="1:10" ht="19" customHeight="1">
      <c r="A732" s="62" t="s">
        <v>765</v>
      </c>
      <c r="C732" s="47" t="s">
        <v>766</v>
      </c>
      <c r="D732" s="47" t="s">
        <v>154</v>
      </c>
      <c r="E732" s="47" t="s">
        <v>60</v>
      </c>
      <c r="F732" s="48">
        <v>5</v>
      </c>
      <c r="G732" s="48">
        <f>VLOOKUP(D732,단가!B:D,3,0)</f>
        <v>10500</v>
      </c>
      <c r="H732" s="48">
        <f t="shared" si="48"/>
        <v>52500</v>
      </c>
      <c r="I732" s="48">
        <f t="shared" si="53"/>
        <v>5250</v>
      </c>
      <c r="J732" s="49">
        <f t="shared" si="52"/>
        <v>57750</v>
      </c>
    </row>
    <row r="733" spans="1:10" ht="19" customHeight="1">
      <c r="A733" s="62" t="s">
        <v>765</v>
      </c>
      <c r="C733" s="47" t="s">
        <v>766</v>
      </c>
      <c r="D733" s="47" t="s">
        <v>153</v>
      </c>
      <c r="E733" s="47" t="s">
        <v>60</v>
      </c>
      <c r="F733" s="48">
        <v>5</v>
      </c>
      <c r="G733" s="48">
        <f>VLOOKUP(D733,단가!B:D,3,0)</f>
        <v>10500</v>
      </c>
      <c r="H733" s="48">
        <f t="shared" si="48"/>
        <v>52500</v>
      </c>
      <c r="I733" s="48">
        <f t="shared" si="53"/>
        <v>5250</v>
      </c>
      <c r="J733" s="49">
        <f t="shared" si="52"/>
        <v>57750</v>
      </c>
    </row>
    <row r="734" spans="1:10" ht="19" customHeight="1">
      <c r="A734" s="62" t="s">
        <v>765</v>
      </c>
      <c r="C734" s="47" t="s">
        <v>766</v>
      </c>
      <c r="D734" s="47" t="s">
        <v>151</v>
      </c>
      <c r="E734" s="47" t="s">
        <v>60</v>
      </c>
      <c r="F734" s="48">
        <v>5</v>
      </c>
      <c r="G734" s="48">
        <f>VLOOKUP(D734,단가!B:D,3,0)</f>
        <v>10500</v>
      </c>
      <c r="H734" s="48">
        <f t="shared" si="48"/>
        <v>52500</v>
      </c>
      <c r="I734" s="48">
        <f t="shared" si="53"/>
        <v>5250</v>
      </c>
      <c r="J734" s="49">
        <f t="shared" si="52"/>
        <v>57750</v>
      </c>
    </row>
    <row r="735" spans="1:10" ht="19" customHeight="1">
      <c r="A735" s="62" t="s">
        <v>765</v>
      </c>
      <c r="C735" s="47" t="s">
        <v>766</v>
      </c>
      <c r="D735" s="47" t="s">
        <v>152</v>
      </c>
      <c r="E735" s="47" t="s">
        <v>60</v>
      </c>
      <c r="F735" s="48">
        <v>5</v>
      </c>
      <c r="G735" s="48">
        <f>VLOOKUP(D735,단가!B:D,3,0)</f>
        <v>10500</v>
      </c>
      <c r="H735" s="48">
        <f t="shared" si="48"/>
        <v>52500</v>
      </c>
      <c r="I735" s="48">
        <f t="shared" si="53"/>
        <v>5250</v>
      </c>
      <c r="J735" s="49">
        <f t="shared" si="52"/>
        <v>57750</v>
      </c>
    </row>
    <row r="736" spans="1:10" ht="19" customHeight="1">
      <c r="A736" s="62" t="s">
        <v>765</v>
      </c>
      <c r="C736" s="47" t="s">
        <v>766</v>
      </c>
      <c r="D736" s="47" t="s">
        <v>150</v>
      </c>
      <c r="E736" s="47" t="s">
        <v>60</v>
      </c>
      <c r="F736" s="48">
        <v>5</v>
      </c>
      <c r="G736" s="48">
        <f>VLOOKUP(D736,단가!B:D,3,0)</f>
        <v>10500</v>
      </c>
      <c r="H736" s="48">
        <f t="shared" si="48"/>
        <v>52500</v>
      </c>
      <c r="I736" s="48">
        <f t="shared" si="53"/>
        <v>5250</v>
      </c>
      <c r="J736" s="49">
        <f t="shared" si="52"/>
        <v>57750</v>
      </c>
    </row>
    <row r="737" spans="1:10" ht="19" customHeight="1">
      <c r="A737" s="62" t="s">
        <v>765</v>
      </c>
      <c r="C737" s="47" t="s">
        <v>766</v>
      </c>
      <c r="D737" s="47" t="s">
        <v>149</v>
      </c>
      <c r="E737" s="47" t="s">
        <v>60</v>
      </c>
      <c r="F737" s="48">
        <v>5</v>
      </c>
      <c r="G737" s="48">
        <f>VLOOKUP(D737,단가!B:D,3,0)</f>
        <v>10500</v>
      </c>
      <c r="H737" s="48">
        <f t="shared" ref="H737:H800" si="54">F737*G737</f>
        <v>52500</v>
      </c>
      <c r="I737" s="48">
        <f t="shared" si="53"/>
        <v>5250</v>
      </c>
      <c r="J737" s="49">
        <f t="shared" si="52"/>
        <v>57750</v>
      </c>
    </row>
    <row r="738" spans="1:10" ht="19" customHeight="1">
      <c r="A738" s="62" t="s">
        <v>765</v>
      </c>
      <c r="C738" s="47" t="s">
        <v>766</v>
      </c>
      <c r="D738" s="47" t="s">
        <v>148</v>
      </c>
      <c r="E738" s="47" t="s">
        <v>60</v>
      </c>
      <c r="F738" s="48">
        <v>5</v>
      </c>
      <c r="G738" s="48">
        <f>VLOOKUP(D738,단가!B:D,3,0)</f>
        <v>10500</v>
      </c>
      <c r="H738" s="48">
        <f t="shared" si="54"/>
        <v>52500</v>
      </c>
      <c r="I738" s="48">
        <f t="shared" si="53"/>
        <v>5250</v>
      </c>
      <c r="J738" s="49">
        <f t="shared" si="52"/>
        <v>57750</v>
      </c>
    </row>
    <row r="739" spans="1:10" ht="19" customHeight="1">
      <c r="A739" s="62" t="s">
        <v>765</v>
      </c>
      <c r="C739" s="47" t="s">
        <v>766</v>
      </c>
      <c r="D739" s="47" t="s">
        <v>146</v>
      </c>
      <c r="E739" s="47" t="s">
        <v>60</v>
      </c>
      <c r="F739" s="48">
        <v>25</v>
      </c>
      <c r="G739" s="48">
        <f>VLOOKUP(D739,단가!B:D,3,0)</f>
        <v>10500</v>
      </c>
      <c r="H739" s="48">
        <f t="shared" si="54"/>
        <v>262500</v>
      </c>
      <c r="I739" s="48">
        <f t="shared" si="53"/>
        <v>26250</v>
      </c>
      <c r="J739" s="49">
        <f t="shared" si="52"/>
        <v>288750</v>
      </c>
    </row>
    <row r="740" spans="1:10" ht="19" customHeight="1">
      <c r="A740" s="62" t="s">
        <v>765</v>
      </c>
      <c r="C740" s="47" t="s">
        <v>766</v>
      </c>
      <c r="D740" s="47" t="s">
        <v>147</v>
      </c>
      <c r="E740" s="47" t="s">
        <v>60</v>
      </c>
      <c r="F740" s="48">
        <v>5</v>
      </c>
      <c r="G740" s="48">
        <f>VLOOKUP(D740,단가!B:D,3,0)</f>
        <v>10500</v>
      </c>
      <c r="H740" s="48">
        <f t="shared" si="54"/>
        <v>52500</v>
      </c>
      <c r="I740" s="48">
        <f t="shared" si="53"/>
        <v>5250</v>
      </c>
      <c r="J740" s="49">
        <f t="shared" si="52"/>
        <v>57750</v>
      </c>
    </row>
    <row r="741" spans="1:10" ht="19" customHeight="1">
      <c r="A741" s="62" t="s">
        <v>765</v>
      </c>
      <c r="C741" s="47" t="s">
        <v>766</v>
      </c>
      <c r="D741" s="47" t="s">
        <v>636</v>
      </c>
      <c r="E741" s="47" t="s">
        <v>60</v>
      </c>
      <c r="F741" s="48">
        <v>25</v>
      </c>
      <c r="G741" s="48">
        <f>VLOOKUP(D741,단가!B:D,3,0)</f>
        <v>14000</v>
      </c>
      <c r="H741" s="48">
        <f t="shared" si="54"/>
        <v>350000</v>
      </c>
      <c r="I741" s="48">
        <f t="shared" si="53"/>
        <v>35000</v>
      </c>
      <c r="J741" s="49">
        <f t="shared" si="52"/>
        <v>385000</v>
      </c>
    </row>
    <row r="742" spans="1:10" ht="19" customHeight="1">
      <c r="A742" s="62" t="s">
        <v>767</v>
      </c>
      <c r="C742" s="47" t="s">
        <v>768</v>
      </c>
      <c r="D742" s="47" t="s">
        <v>688</v>
      </c>
      <c r="E742" s="47" t="s">
        <v>57</v>
      </c>
      <c r="F742" s="48">
        <v>10</v>
      </c>
      <c r="G742" s="48">
        <f>VLOOKUP(D742,단가!B:D,3,0)</f>
        <v>26000</v>
      </c>
      <c r="H742" s="48">
        <f t="shared" si="54"/>
        <v>260000</v>
      </c>
      <c r="I742" s="48">
        <f t="shared" si="53"/>
        <v>26000</v>
      </c>
      <c r="J742" s="49">
        <f t="shared" si="52"/>
        <v>286000</v>
      </c>
    </row>
    <row r="743" spans="1:10" ht="19" customHeight="1">
      <c r="A743" s="62" t="s">
        <v>767</v>
      </c>
      <c r="C743" s="47" t="s">
        <v>768</v>
      </c>
      <c r="D743" s="47" t="s">
        <v>689</v>
      </c>
      <c r="E743" s="47" t="s">
        <v>131</v>
      </c>
      <c r="F743" s="48">
        <v>2</v>
      </c>
      <c r="G743" s="48">
        <f>VLOOKUP(D743,단가!B:D,3,0)</f>
        <v>11500</v>
      </c>
      <c r="H743" s="48">
        <f t="shared" si="54"/>
        <v>23000</v>
      </c>
      <c r="I743" s="48">
        <f t="shared" si="53"/>
        <v>2300</v>
      </c>
      <c r="J743" s="49">
        <f t="shared" si="52"/>
        <v>25300</v>
      </c>
    </row>
    <row r="744" spans="1:10" ht="19" customHeight="1">
      <c r="A744" s="62" t="s">
        <v>477</v>
      </c>
      <c r="C744" s="47" t="s">
        <v>217</v>
      </c>
      <c r="D744" s="47" t="s">
        <v>627</v>
      </c>
      <c r="E744" s="47" t="s">
        <v>57</v>
      </c>
      <c r="F744" s="79">
        <v>5</v>
      </c>
      <c r="G744" s="79">
        <f>VLOOKUP(D744,단가!B:D,3,0)</f>
        <v>25000</v>
      </c>
      <c r="H744" s="79">
        <f t="shared" si="54"/>
        <v>125000</v>
      </c>
      <c r="I744" s="79">
        <f t="shared" si="53"/>
        <v>12500</v>
      </c>
      <c r="J744" s="49">
        <f t="shared" si="52"/>
        <v>137500</v>
      </c>
    </row>
    <row r="745" spans="1:10" ht="19" customHeight="1">
      <c r="A745" s="62" t="s">
        <v>769</v>
      </c>
      <c r="C745" s="47" t="s">
        <v>217</v>
      </c>
      <c r="D745" s="47" t="s">
        <v>152</v>
      </c>
      <c r="E745" s="47" t="s">
        <v>60</v>
      </c>
      <c r="F745" s="79">
        <v>5</v>
      </c>
      <c r="G745" s="79">
        <f>VLOOKUP(D745,단가!B:D,3,0)</f>
        <v>10500</v>
      </c>
      <c r="H745" s="79">
        <f t="shared" si="54"/>
        <v>52500</v>
      </c>
      <c r="I745" s="79">
        <f t="shared" si="53"/>
        <v>5250</v>
      </c>
      <c r="J745" s="49">
        <f t="shared" si="52"/>
        <v>57750</v>
      </c>
    </row>
    <row r="746" spans="1:10" ht="19" customHeight="1">
      <c r="A746" s="62" t="s">
        <v>769</v>
      </c>
      <c r="C746" s="47" t="s">
        <v>217</v>
      </c>
      <c r="D746" s="47" t="s">
        <v>148</v>
      </c>
      <c r="E746" s="47" t="s">
        <v>60</v>
      </c>
      <c r="F746" s="79">
        <v>5</v>
      </c>
      <c r="G746" s="79">
        <f>VLOOKUP(D746,단가!B:D,3,0)</f>
        <v>10500</v>
      </c>
      <c r="H746" s="79">
        <f t="shared" si="54"/>
        <v>52500</v>
      </c>
      <c r="I746" s="79">
        <f t="shared" si="53"/>
        <v>5250</v>
      </c>
      <c r="J746" s="49">
        <f t="shared" si="52"/>
        <v>57750</v>
      </c>
    </row>
    <row r="747" spans="1:10" ht="19" customHeight="1">
      <c r="A747" s="62" t="s">
        <v>769</v>
      </c>
      <c r="C747" s="47" t="s">
        <v>217</v>
      </c>
      <c r="D747" s="47" t="s">
        <v>146</v>
      </c>
      <c r="E747" s="47" t="s">
        <v>60</v>
      </c>
      <c r="F747" s="79">
        <v>5</v>
      </c>
      <c r="G747" s="79">
        <f>VLOOKUP(D747,단가!B:D,3,0)</f>
        <v>10500</v>
      </c>
      <c r="H747" s="79">
        <f t="shared" si="54"/>
        <v>52500</v>
      </c>
      <c r="I747" s="79">
        <f t="shared" si="53"/>
        <v>5250</v>
      </c>
      <c r="J747" s="49">
        <f t="shared" si="52"/>
        <v>57750</v>
      </c>
    </row>
    <row r="748" spans="1:10" ht="19" customHeight="1">
      <c r="A748" s="62" t="s">
        <v>769</v>
      </c>
      <c r="C748" s="47" t="s">
        <v>217</v>
      </c>
      <c r="D748" s="47" t="s">
        <v>147</v>
      </c>
      <c r="E748" s="47" t="s">
        <v>60</v>
      </c>
      <c r="F748" s="79">
        <v>5</v>
      </c>
      <c r="G748" s="79">
        <f>VLOOKUP(D748,단가!B:D,3,0)</f>
        <v>10500</v>
      </c>
      <c r="H748" s="79">
        <f t="shared" si="54"/>
        <v>52500</v>
      </c>
      <c r="I748" s="79">
        <f t="shared" si="53"/>
        <v>5250</v>
      </c>
      <c r="J748" s="49">
        <f t="shared" si="52"/>
        <v>57750</v>
      </c>
    </row>
    <row r="749" spans="1:10" ht="19" customHeight="1">
      <c r="A749" s="62" t="s">
        <v>477</v>
      </c>
      <c r="C749" s="47" t="s">
        <v>126</v>
      </c>
      <c r="D749" s="47" t="s">
        <v>690</v>
      </c>
      <c r="E749" s="47" t="s">
        <v>131</v>
      </c>
      <c r="F749" s="48">
        <v>2</v>
      </c>
      <c r="G749" s="48">
        <f>VLOOKUP(D749,단가!B:D,3,0)</f>
        <v>15000</v>
      </c>
      <c r="H749" s="48">
        <f t="shared" si="54"/>
        <v>30000</v>
      </c>
      <c r="I749" s="48">
        <f t="shared" si="53"/>
        <v>3000</v>
      </c>
      <c r="J749" s="49">
        <f t="shared" si="52"/>
        <v>33000</v>
      </c>
    </row>
    <row r="750" spans="1:10" ht="19" customHeight="1">
      <c r="A750" s="62" t="s">
        <v>770</v>
      </c>
      <c r="C750" s="47" t="s">
        <v>505</v>
      </c>
      <c r="D750" s="47" t="s">
        <v>315</v>
      </c>
      <c r="E750" s="47" t="s">
        <v>57</v>
      </c>
      <c r="F750" s="48">
        <v>2</v>
      </c>
      <c r="G750" s="48">
        <f>VLOOKUP(D750,단가!B:D,3,0)</f>
        <v>32000</v>
      </c>
      <c r="H750" s="48">
        <f t="shared" si="54"/>
        <v>64000</v>
      </c>
      <c r="I750" s="48">
        <f t="shared" si="53"/>
        <v>6400</v>
      </c>
      <c r="J750" s="49">
        <f t="shared" si="52"/>
        <v>70400</v>
      </c>
    </row>
    <row r="751" spans="1:10" ht="19" customHeight="1">
      <c r="A751" s="62" t="s">
        <v>771</v>
      </c>
      <c r="C751" s="47" t="s">
        <v>567</v>
      </c>
      <c r="D751" s="90" t="s">
        <v>627</v>
      </c>
      <c r="E751" s="47" t="s">
        <v>57</v>
      </c>
      <c r="F751" s="48">
        <v>3</v>
      </c>
      <c r="G751" s="48">
        <f>VLOOKUP(D751,단가!B:D,3,0)</f>
        <v>25000</v>
      </c>
      <c r="H751" s="48">
        <f t="shared" si="54"/>
        <v>75000</v>
      </c>
      <c r="J751" s="49">
        <f t="shared" si="52"/>
        <v>75000</v>
      </c>
    </row>
    <row r="752" spans="1:10" ht="19" customHeight="1">
      <c r="A752" s="62" t="s">
        <v>771</v>
      </c>
      <c r="C752" s="47" t="s">
        <v>217</v>
      </c>
      <c r="D752" s="90" t="s">
        <v>627</v>
      </c>
      <c r="E752" s="47" t="s">
        <v>57</v>
      </c>
      <c r="F752" s="48">
        <v>24</v>
      </c>
      <c r="G752" s="48">
        <f>VLOOKUP(D752,단가!B:D,3,0)</f>
        <v>25000</v>
      </c>
      <c r="H752" s="48">
        <f t="shared" si="54"/>
        <v>600000</v>
      </c>
      <c r="I752" s="48">
        <f t="shared" si="53"/>
        <v>60000</v>
      </c>
      <c r="J752" s="49">
        <f t="shared" si="52"/>
        <v>660000</v>
      </c>
    </row>
    <row r="753" spans="1:10" ht="19" customHeight="1">
      <c r="A753" s="62" t="s">
        <v>771</v>
      </c>
      <c r="C753" s="47" t="s">
        <v>217</v>
      </c>
      <c r="D753" s="47" t="s">
        <v>154</v>
      </c>
      <c r="E753" s="47" t="s">
        <v>60</v>
      </c>
      <c r="F753" s="48">
        <v>5</v>
      </c>
      <c r="G753" s="48">
        <f>VLOOKUP(D753,단가!B:D,3,0)</f>
        <v>10500</v>
      </c>
      <c r="H753" s="48">
        <f t="shared" si="54"/>
        <v>52500</v>
      </c>
      <c r="I753" s="48">
        <f t="shared" si="53"/>
        <v>5250</v>
      </c>
      <c r="J753" s="49">
        <f t="shared" si="52"/>
        <v>57750</v>
      </c>
    </row>
    <row r="754" spans="1:10" ht="19" customHeight="1">
      <c r="A754" s="62" t="s">
        <v>771</v>
      </c>
      <c r="C754" s="47" t="s">
        <v>217</v>
      </c>
      <c r="D754" s="47" t="s">
        <v>153</v>
      </c>
      <c r="E754" s="47" t="s">
        <v>60</v>
      </c>
      <c r="F754" s="48">
        <v>5</v>
      </c>
      <c r="G754" s="48">
        <f>VLOOKUP(D754,단가!B:D,3,0)</f>
        <v>10500</v>
      </c>
      <c r="H754" s="48">
        <f t="shared" si="54"/>
        <v>52500</v>
      </c>
      <c r="I754" s="48">
        <f t="shared" si="53"/>
        <v>5250</v>
      </c>
      <c r="J754" s="49">
        <f t="shared" si="52"/>
        <v>57750</v>
      </c>
    </row>
    <row r="755" spans="1:10" ht="19" customHeight="1">
      <c r="A755" s="62" t="s">
        <v>771</v>
      </c>
      <c r="C755" s="47" t="s">
        <v>217</v>
      </c>
      <c r="D755" s="47" t="s">
        <v>151</v>
      </c>
      <c r="E755" s="47" t="s">
        <v>60</v>
      </c>
      <c r="F755" s="48">
        <v>5</v>
      </c>
      <c r="G755" s="48">
        <f>VLOOKUP(D755,단가!B:D,3,0)</f>
        <v>10500</v>
      </c>
      <c r="H755" s="48">
        <f t="shared" si="54"/>
        <v>52500</v>
      </c>
      <c r="I755" s="48">
        <f t="shared" si="53"/>
        <v>5250</v>
      </c>
      <c r="J755" s="49">
        <f t="shared" si="52"/>
        <v>57750</v>
      </c>
    </row>
    <row r="756" spans="1:10" ht="19" customHeight="1">
      <c r="A756" s="62" t="s">
        <v>771</v>
      </c>
      <c r="C756" s="47" t="s">
        <v>217</v>
      </c>
      <c r="D756" s="47" t="s">
        <v>150</v>
      </c>
      <c r="E756" s="47" t="s">
        <v>60</v>
      </c>
      <c r="F756" s="48">
        <v>5</v>
      </c>
      <c r="G756" s="48">
        <f>VLOOKUP(D756,단가!B:D,3,0)</f>
        <v>10500</v>
      </c>
      <c r="H756" s="48">
        <f t="shared" si="54"/>
        <v>52500</v>
      </c>
      <c r="I756" s="48">
        <f t="shared" si="53"/>
        <v>5250</v>
      </c>
      <c r="J756" s="49">
        <f t="shared" si="52"/>
        <v>57750</v>
      </c>
    </row>
    <row r="757" spans="1:10" ht="19" customHeight="1">
      <c r="A757" s="62" t="s">
        <v>771</v>
      </c>
      <c r="C757" s="47" t="s">
        <v>217</v>
      </c>
      <c r="D757" s="47" t="s">
        <v>149</v>
      </c>
      <c r="E757" s="47" t="s">
        <v>60</v>
      </c>
      <c r="F757" s="48">
        <v>5</v>
      </c>
      <c r="G757" s="48">
        <f>VLOOKUP(D757,단가!B:D,3,0)</f>
        <v>10500</v>
      </c>
      <c r="H757" s="48">
        <f t="shared" si="54"/>
        <v>52500</v>
      </c>
      <c r="I757" s="48">
        <f t="shared" si="53"/>
        <v>5250</v>
      </c>
      <c r="J757" s="49">
        <f t="shared" si="52"/>
        <v>57750</v>
      </c>
    </row>
    <row r="758" spans="1:10" ht="19" customHeight="1">
      <c r="A758" s="62" t="s">
        <v>772</v>
      </c>
      <c r="C758" s="47" t="s">
        <v>217</v>
      </c>
      <c r="D758" s="47" t="s">
        <v>152</v>
      </c>
      <c r="E758" s="47" t="s">
        <v>60</v>
      </c>
      <c r="F758" s="48">
        <v>5</v>
      </c>
      <c r="G758" s="48">
        <f>VLOOKUP(D758,단가!B:D,3,0)</f>
        <v>10500</v>
      </c>
      <c r="H758" s="48">
        <f t="shared" si="54"/>
        <v>52500</v>
      </c>
      <c r="I758" s="48">
        <f t="shared" si="53"/>
        <v>5250</v>
      </c>
      <c r="J758" s="49">
        <f t="shared" si="52"/>
        <v>57750</v>
      </c>
    </row>
    <row r="759" spans="1:10" ht="19" customHeight="1">
      <c r="A759" s="62" t="s">
        <v>772</v>
      </c>
      <c r="C759" s="47" t="s">
        <v>217</v>
      </c>
      <c r="D759" s="47" t="s">
        <v>148</v>
      </c>
      <c r="E759" s="47" t="s">
        <v>60</v>
      </c>
      <c r="F759" s="48">
        <v>5</v>
      </c>
      <c r="G759" s="48">
        <f>VLOOKUP(D759,단가!B:D,3,0)</f>
        <v>10500</v>
      </c>
      <c r="H759" s="48">
        <f t="shared" si="54"/>
        <v>52500</v>
      </c>
      <c r="I759" s="48">
        <f t="shared" si="53"/>
        <v>5250</v>
      </c>
      <c r="J759" s="49">
        <f t="shared" si="52"/>
        <v>57750</v>
      </c>
    </row>
    <row r="760" spans="1:10" ht="19" customHeight="1">
      <c r="A760" s="62" t="s">
        <v>772</v>
      </c>
      <c r="C760" s="47" t="s">
        <v>217</v>
      </c>
      <c r="D760" s="47" t="s">
        <v>146</v>
      </c>
      <c r="E760" s="47" t="s">
        <v>60</v>
      </c>
      <c r="F760" s="48">
        <v>5</v>
      </c>
      <c r="G760" s="48">
        <f>VLOOKUP(D760,단가!B:D,3,0)</f>
        <v>10500</v>
      </c>
      <c r="H760" s="48">
        <f t="shared" si="54"/>
        <v>52500</v>
      </c>
      <c r="I760" s="48">
        <f t="shared" si="53"/>
        <v>5250</v>
      </c>
      <c r="J760" s="49">
        <f t="shared" si="52"/>
        <v>57750</v>
      </c>
    </row>
    <row r="761" spans="1:10" ht="19" customHeight="1">
      <c r="A761" s="62" t="s">
        <v>772</v>
      </c>
      <c r="C761" s="47" t="s">
        <v>217</v>
      </c>
      <c r="D761" s="47" t="s">
        <v>147</v>
      </c>
      <c r="E761" s="47" t="s">
        <v>60</v>
      </c>
      <c r="F761" s="48">
        <v>5</v>
      </c>
      <c r="G761" s="48">
        <f>VLOOKUP(D761,단가!B:D,3,0)</f>
        <v>10500</v>
      </c>
      <c r="H761" s="48">
        <f t="shared" si="54"/>
        <v>52500</v>
      </c>
      <c r="I761" s="48">
        <f t="shared" si="53"/>
        <v>5250</v>
      </c>
      <c r="J761" s="49">
        <f t="shared" si="52"/>
        <v>57750</v>
      </c>
    </row>
    <row r="762" spans="1:10" ht="19" customHeight="1">
      <c r="A762" s="62" t="s">
        <v>773</v>
      </c>
      <c r="C762" s="47" t="s">
        <v>316</v>
      </c>
      <c r="D762" s="47" t="s">
        <v>405</v>
      </c>
      <c r="F762" s="48">
        <v>1</v>
      </c>
      <c r="G762" s="48">
        <f>VLOOKUP(D762,단가!B:D,3,0)</f>
        <v>30000</v>
      </c>
      <c r="H762" s="48">
        <f t="shared" si="54"/>
        <v>30000</v>
      </c>
      <c r="I762" s="48">
        <f t="shared" si="53"/>
        <v>3000</v>
      </c>
      <c r="J762" s="49">
        <f t="shared" si="52"/>
        <v>33000</v>
      </c>
    </row>
    <row r="763" spans="1:10" ht="19" customHeight="1">
      <c r="A763" s="62" t="s">
        <v>773</v>
      </c>
      <c r="C763" s="47" t="s">
        <v>375</v>
      </c>
      <c r="D763" s="47" t="s">
        <v>405</v>
      </c>
      <c r="F763" s="48">
        <v>1</v>
      </c>
      <c r="G763" s="48">
        <f>VLOOKUP(D763,단가!B:D,3,0)</f>
        <v>30000</v>
      </c>
      <c r="H763" s="48">
        <f t="shared" si="54"/>
        <v>30000</v>
      </c>
      <c r="I763" s="48">
        <f t="shared" si="53"/>
        <v>3000</v>
      </c>
      <c r="J763" s="49">
        <f t="shared" si="52"/>
        <v>33000</v>
      </c>
    </row>
    <row r="764" spans="1:10" ht="19" customHeight="1">
      <c r="A764" s="62" t="s">
        <v>773</v>
      </c>
      <c r="C764" s="47" t="s">
        <v>394</v>
      </c>
      <c r="D764" s="47" t="s">
        <v>405</v>
      </c>
      <c r="F764" s="48">
        <v>1</v>
      </c>
      <c r="G764" s="48">
        <f>VLOOKUP(D764,단가!B:D,3,0)</f>
        <v>30000</v>
      </c>
      <c r="H764" s="48">
        <f t="shared" si="54"/>
        <v>30000</v>
      </c>
      <c r="I764" s="48">
        <f t="shared" si="53"/>
        <v>3000</v>
      </c>
      <c r="J764" s="49">
        <f t="shared" si="52"/>
        <v>33000</v>
      </c>
    </row>
    <row r="765" spans="1:10" ht="19" customHeight="1">
      <c r="A765" s="62" t="s">
        <v>773</v>
      </c>
      <c r="C765" s="47" t="s">
        <v>434</v>
      </c>
      <c r="D765" s="47" t="s">
        <v>405</v>
      </c>
      <c r="F765" s="48">
        <v>1</v>
      </c>
      <c r="G765" s="48">
        <f>VLOOKUP(D765,단가!B:D,3,0)</f>
        <v>30000</v>
      </c>
      <c r="H765" s="48">
        <f t="shared" si="54"/>
        <v>30000</v>
      </c>
      <c r="I765" s="48">
        <f t="shared" si="53"/>
        <v>3000</v>
      </c>
      <c r="J765" s="49">
        <f t="shared" si="52"/>
        <v>33000</v>
      </c>
    </row>
    <row r="766" spans="1:10" ht="19" customHeight="1">
      <c r="A766" s="62" t="s">
        <v>773</v>
      </c>
      <c r="C766" s="47" t="s">
        <v>467</v>
      </c>
      <c r="D766" s="47" t="s">
        <v>405</v>
      </c>
      <c r="F766" s="48">
        <v>1</v>
      </c>
      <c r="G766" s="48">
        <f>VLOOKUP(D766,단가!B:D,3,0)</f>
        <v>30000</v>
      </c>
      <c r="H766" s="48">
        <f t="shared" si="54"/>
        <v>30000</v>
      </c>
      <c r="I766" s="48">
        <f t="shared" si="53"/>
        <v>3000</v>
      </c>
      <c r="J766" s="49">
        <f t="shared" si="52"/>
        <v>33000</v>
      </c>
    </row>
    <row r="767" spans="1:10" ht="19" customHeight="1">
      <c r="A767" s="62" t="s">
        <v>773</v>
      </c>
      <c r="C767" s="47" t="s">
        <v>480</v>
      </c>
      <c r="D767" s="47" t="s">
        <v>405</v>
      </c>
      <c r="F767" s="48">
        <v>1</v>
      </c>
      <c r="G767" s="48">
        <f>VLOOKUP(D767,단가!B:D,3,0)</f>
        <v>30000</v>
      </c>
      <c r="H767" s="48">
        <f t="shared" si="54"/>
        <v>30000</v>
      </c>
      <c r="I767" s="48">
        <f t="shared" si="53"/>
        <v>3000</v>
      </c>
      <c r="J767" s="49">
        <f t="shared" si="52"/>
        <v>33000</v>
      </c>
    </row>
    <row r="768" spans="1:10" ht="19" customHeight="1">
      <c r="A768" s="62" t="s">
        <v>773</v>
      </c>
      <c r="C768" s="47" t="s">
        <v>483</v>
      </c>
      <c r="D768" s="47" t="s">
        <v>405</v>
      </c>
      <c r="F768" s="48">
        <v>1</v>
      </c>
      <c r="G768" s="48">
        <f>VLOOKUP(D768,단가!B:D,3,0)</f>
        <v>30000</v>
      </c>
      <c r="H768" s="48">
        <f t="shared" si="54"/>
        <v>30000</v>
      </c>
      <c r="I768" s="48">
        <f t="shared" si="53"/>
        <v>3000</v>
      </c>
      <c r="J768" s="49">
        <f t="shared" si="52"/>
        <v>33000</v>
      </c>
    </row>
    <row r="769" spans="1:10" ht="19" customHeight="1">
      <c r="A769" s="62" t="s">
        <v>773</v>
      </c>
      <c r="C769" s="47" t="s">
        <v>486</v>
      </c>
      <c r="D769" s="47" t="s">
        <v>405</v>
      </c>
      <c r="F769" s="48">
        <v>1</v>
      </c>
      <c r="G769" s="48">
        <f>VLOOKUP(D769,단가!B:D,3,0)</f>
        <v>30000</v>
      </c>
      <c r="H769" s="48">
        <f t="shared" si="54"/>
        <v>30000</v>
      </c>
      <c r="I769" s="48">
        <f t="shared" si="53"/>
        <v>3000</v>
      </c>
      <c r="J769" s="49">
        <f t="shared" si="52"/>
        <v>33000</v>
      </c>
    </row>
    <row r="770" spans="1:10" ht="19" customHeight="1">
      <c r="A770" s="62" t="s">
        <v>773</v>
      </c>
      <c r="C770" s="47" t="s">
        <v>501</v>
      </c>
      <c r="D770" s="47" t="s">
        <v>405</v>
      </c>
      <c r="F770" s="48">
        <v>1</v>
      </c>
      <c r="G770" s="48">
        <f>VLOOKUP(D770,단가!B:D,3,0)</f>
        <v>30000</v>
      </c>
      <c r="H770" s="48">
        <f t="shared" si="54"/>
        <v>30000</v>
      </c>
      <c r="I770" s="48">
        <f t="shared" si="53"/>
        <v>3000</v>
      </c>
      <c r="J770" s="49">
        <f t="shared" si="52"/>
        <v>33000</v>
      </c>
    </row>
    <row r="771" spans="1:10" ht="19" customHeight="1">
      <c r="A771" s="62" t="s">
        <v>773</v>
      </c>
      <c r="C771" s="47" t="s">
        <v>505</v>
      </c>
      <c r="D771" s="47" t="s">
        <v>405</v>
      </c>
      <c r="F771" s="48">
        <v>1</v>
      </c>
      <c r="G771" s="48">
        <f>VLOOKUP(D771,단가!B:D,3,0)</f>
        <v>30000</v>
      </c>
      <c r="H771" s="48">
        <f t="shared" si="54"/>
        <v>30000</v>
      </c>
      <c r="I771" s="48">
        <f t="shared" si="53"/>
        <v>3000</v>
      </c>
      <c r="J771" s="49">
        <f t="shared" si="52"/>
        <v>33000</v>
      </c>
    </row>
    <row r="772" spans="1:10" ht="19" customHeight="1">
      <c r="A772" s="62" t="s">
        <v>773</v>
      </c>
      <c r="C772" s="47" t="s">
        <v>508</v>
      </c>
      <c r="D772" s="47" t="s">
        <v>405</v>
      </c>
      <c r="F772" s="48">
        <v>1</v>
      </c>
      <c r="G772" s="48">
        <f>VLOOKUP(D772,단가!B:D,3,0)</f>
        <v>30000</v>
      </c>
      <c r="H772" s="48">
        <f t="shared" si="54"/>
        <v>30000</v>
      </c>
      <c r="I772" s="48">
        <f t="shared" si="53"/>
        <v>3000</v>
      </c>
      <c r="J772" s="49">
        <f t="shared" si="52"/>
        <v>33000</v>
      </c>
    </row>
    <row r="773" spans="1:10" ht="19" customHeight="1">
      <c r="A773" s="62" t="s">
        <v>774</v>
      </c>
      <c r="C773" s="47" t="s">
        <v>217</v>
      </c>
      <c r="D773" s="90" t="s">
        <v>627</v>
      </c>
      <c r="E773" s="47" t="s">
        <v>57</v>
      </c>
      <c r="F773" s="48">
        <v>4</v>
      </c>
      <c r="G773" s="48">
        <f>VLOOKUP(D773,단가!B:D,3,0)</f>
        <v>25000</v>
      </c>
      <c r="H773" s="48">
        <f t="shared" si="54"/>
        <v>100000</v>
      </c>
      <c r="I773" s="48">
        <f t="shared" si="53"/>
        <v>10000</v>
      </c>
      <c r="J773" s="49">
        <f t="shared" si="52"/>
        <v>110000</v>
      </c>
    </row>
    <row r="774" spans="1:10" ht="19" customHeight="1">
      <c r="A774" s="62" t="s">
        <v>774</v>
      </c>
      <c r="C774" s="47" t="s">
        <v>217</v>
      </c>
      <c r="D774" s="47" t="s">
        <v>154</v>
      </c>
      <c r="E774" s="47" t="s">
        <v>60</v>
      </c>
      <c r="F774" s="48">
        <v>5</v>
      </c>
      <c r="G774" s="48">
        <f>VLOOKUP(D774,단가!B:D,3,0)</f>
        <v>10500</v>
      </c>
      <c r="H774" s="48">
        <f t="shared" si="54"/>
        <v>52500</v>
      </c>
      <c r="I774" s="48">
        <f t="shared" si="53"/>
        <v>5250</v>
      </c>
      <c r="J774" s="49">
        <f t="shared" si="52"/>
        <v>57750</v>
      </c>
    </row>
    <row r="775" spans="1:10" ht="19" customHeight="1">
      <c r="A775" s="62" t="s">
        <v>774</v>
      </c>
      <c r="C775" s="47" t="s">
        <v>217</v>
      </c>
      <c r="D775" s="47" t="s">
        <v>153</v>
      </c>
      <c r="E775" s="47" t="s">
        <v>60</v>
      </c>
      <c r="F775" s="48">
        <v>5</v>
      </c>
      <c r="G775" s="48">
        <f>VLOOKUP(D775,단가!B:D,3,0)</f>
        <v>10500</v>
      </c>
      <c r="H775" s="48">
        <f t="shared" si="54"/>
        <v>52500</v>
      </c>
      <c r="I775" s="48">
        <f t="shared" si="53"/>
        <v>5250</v>
      </c>
      <c r="J775" s="49">
        <f t="shared" si="52"/>
        <v>57750</v>
      </c>
    </row>
    <row r="776" spans="1:10" ht="19" customHeight="1">
      <c r="A776" s="62" t="s">
        <v>774</v>
      </c>
      <c r="C776" s="47" t="s">
        <v>217</v>
      </c>
      <c r="D776" s="47" t="s">
        <v>151</v>
      </c>
      <c r="E776" s="47" t="s">
        <v>60</v>
      </c>
      <c r="F776" s="48">
        <v>5</v>
      </c>
      <c r="G776" s="48">
        <f>VLOOKUP(D776,단가!B:D,3,0)</f>
        <v>10500</v>
      </c>
      <c r="H776" s="48">
        <f t="shared" si="54"/>
        <v>52500</v>
      </c>
      <c r="I776" s="48">
        <f t="shared" si="53"/>
        <v>5250</v>
      </c>
      <c r="J776" s="49">
        <f t="shared" si="52"/>
        <v>57750</v>
      </c>
    </row>
    <row r="777" spans="1:10" ht="19" customHeight="1">
      <c r="A777" s="62" t="s">
        <v>774</v>
      </c>
      <c r="C777" s="47" t="s">
        <v>217</v>
      </c>
      <c r="D777" s="47" t="s">
        <v>150</v>
      </c>
      <c r="E777" s="47" t="s">
        <v>60</v>
      </c>
      <c r="F777" s="48">
        <v>5</v>
      </c>
      <c r="G777" s="48">
        <f>VLOOKUP(D777,단가!B:D,3,0)</f>
        <v>10500</v>
      </c>
      <c r="H777" s="48">
        <f t="shared" si="54"/>
        <v>52500</v>
      </c>
      <c r="I777" s="48">
        <f t="shared" si="53"/>
        <v>5250</v>
      </c>
      <c r="J777" s="49">
        <f t="shared" si="52"/>
        <v>57750</v>
      </c>
    </row>
    <row r="778" spans="1:10" ht="19" customHeight="1">
      <c r="A778" s="62" t="s">
        <v>774</v>
      </c>
      <c r="C778" s="47" t="s">
        <v>217</v>
      </c>
      <c r="D778" s="47" t="s">
        <v>149</v>
      </c>
      <c r="E778" s="47" t="s">
        <v>60</v>
      </c>
      <c r="F778" s="48">
        <v>5</v>
      </c>
      <c r="G778" s="48">
        <f>VLOOKUP(D778,단가!B:D,3,0)</f>
        <v>10500</v>
      </c>
      <c r="H778" s="48">
        <f t="shared" si="54"/>
        <v>52500</v>
      </c>
      <c r="I778" s="48">
        <f t="shared" si="53"/>
        <v>5250</v>
      </c>
      <c r="J778" s="49">
        <f t="shared" si="52"/>
        <v>57750</v>
      </c>
    </row>
    <row r="779" spans="1:10" ht="19" customHeight="1">
      <c r="A779" s="62" t="s">
        <v>774</v>
      </c>
      <c r="C779" s="47" t="s">
        <v>217</v>
      </c>
      <c r="D779" s="47" t="s">
        <v>152</v>
      </c>
      <c r="E779" s="47" t="s">
        <v>60</v>
      </c>
      <c r="F779" s="48">
        <v>5</v>
      </c>
      <c r="G779" s="48">
        <f>VLOOKUP(D779,단가!B:D,3,0)</f>
        <v>10500</v>
      </c>
      <c r="H779" s="48">
        <f t="shared" si="54"/>
        <v>52500</v>
      </c>
      <c r="I779" s="48">
        <f t="shared" si="53"/>
        <v>5250</v>
      </c>
      <c r="J779" s="49">
        <f t="shared" si="52"/>
        <v>57750</v>
      </c>
    </row>
    <row r="780" spans="1:10" ht="19" customHeight="1">
      <c r="A780" s="62" t="s">
        <v>774</v>
      </c>
      <c r="C780" s="47" t="s">
        <v>217</v>
      </c>
      <c r="D780" s="47" t="s">
        <v>148</v>
      </c>
      <c r="E780" s="47" t="s">
        <v>60</v>
      </c>
      <c r="F780" s="48">
        <v>5</v>
      </c>
      <c r="G780" s="48">
        <f>VLOOKUP(D780,단가!B:D,3,0)</f>
        <v>10500</v>
      </c>
      <c r="H780" s="48">
        <f t="shared" si="54"/>
        <v>52500</v>
      </c>
      <c r="I780" s="48">
        <f t="shared" si="53"/>
        <v>5250</v>
      </c>
      <c r="J780" s="49">
        <f t="shared" ref="J780:J819" si="55">H780+I780</f>
        <v>57750</v>
      </c>
    </row>
    <row r="781" spans="1:10" ht="19" customHeight="1">
      <c r="A781" s="62" t="s">
        <v>774</v>
      </c>
      <c r="C781" s="47" t="s">
        <v>217</v>
      </c>
      <c r="D781" s="47" t="s">
        <v>146</v>
      </c>
      <c r="E781" s="47" t="s">
        <v>60</v>
      </c>
      <c r="F781" s="48">
        <v>5</v>
      </c>
      <c r="G781" s="48">
        <f>VLOOKUP(D781,단가!B:D,3,0)</f>
        <v>10500</v>
      </c>
      <c r="H781" s="48">
        <f t="shared" si="54"/>
        <v>52500</v>
      </c>
      <c r="I781" s="48">
        <f t="shared" ref="I781:I819" si="56">H781*0.1</f>
        <v>5250</v>
      </c>
      <c r="J781" s="49">
        <f t="shared" si="55"/>
        <v>57750</v>
      </c>
    </row>
    <row r="782" spans="1:10" ht="19" customHeight="1">
      <c r="A782" s="62" t="s">
        <v>774</v>
      </c>
      <c r="C782" s="47" t="s">
        <v>217</v>
      </c>
      <c r="D782" s="47" t="s">
        <v>147</v>
      </c>
      <c r="E782" s="47" t="s">
        <v>60</v>
      </c>
      <c r="F782" s="48">
        <v>5</v>
      </c>
      <c r="G782" s="48">
        <f>VLOOKUP(D782,단가!B:D,3,0)</f>
        <v>10500</v>
      </c>
      <c r="H782" s="48">
        <f t="shared" si="54"/>
        <v>52500</v>
      </c>
      <c r="I782" s="48">
        <f t="shared" si="56"/>
        <v>5250</v>
      </c>
      <c r="J782" s="49">
        <f t="shared" si="55"/>
        <v>57750</v>
      </c>
    </row>
    <row r="783" spans="1:10" ht="19" customHeight="1">
      <c r="G783" s="48" t="e">
        <f>VLOOKUP(D783,단가!B:D,3,0)</f>
        <v>#N/A</v>
      </c>
      <c r="H783" s="48" t="e">
        <f t="shared" si="54"/>
        <v>#N/A</v>
      </c>
      <c r="I783" s="48" t="e">
        <f t="shared" si="56"/>
        <v>#N/A</v>
      </c>
      <c r="J783" s="49" t="e">
        <f t="shared" si="55"/>
        <v>#N/A</v>
      </c>
    </row>
    <row r="784" spans="1:10" ht="19" customHeight="1">
      <c r="G784" s="48" t="e">
        <f>VLOOKUP(D784,단가!B:D,3,0)</f>
        <v>#N/A</v>
      </c>
      <c r="H784" s="48" t="e">
        <f t="shared" si="54"/>
        <v>#N/A</v>
      </c>
      <c r="I784" s="48" t="e">
        <f t="shared" si="56"/>
        <v>#N/A</v>
      </c>
      <c r="J784" s="49" t="e">
        <f t="shared" si="55"/>
        <v>#N/A</v>
      </c>
    </row>
    <row r="785" spans="7:13" ht="19" customHeight="1">
      <c r="G785" s="48" t="e">
        <f>VLOOKUP(D785,단가!B:D,3,0)</f>
        <v>#N/A</v>
      </c>
      <c r="H785" s="48" t="e">
        <f t="shared" si="54"/>
        <v>#N/A</v>
      </c>
      <c r="I785" s="48" t="e">
        <f t="shared" si="56"/>
        <v>#N/A</v>
      </c>
      <c r="J785" s="49" t="e">
        <f t="shared" si="55"/>
        <v>#N/A</v>
      </c>
    </row>
    <row r="786" spans="7:13" ht="19" customHeight="1">
      <c r="G786" s="48" t="e">
        <f>VLOOKUP(D786,단가!B:D,3,0)</f>
        <v>#N/A</v>
      </c>
      <c r="H786" s="48" t="e">
        <f t="shared" si="54"/>
        <v>#N/A</v>
      </c>
      <c r="I786" s="48" t="e">
        <f t="shared" si="56"/>
        <v>#N/A</v>
      </c>
      <c r="J786" s="49" t="e">
        <f t="shared" si="55"/>
        <v>#N/A</v>
      </c>
    </row>
    <row r="787" spans="7:13" ht="19" customHeight="1">
      <c r="G787" s="48" t="e">
        <f>VLOOKUP(D787,단가!B:D,3,0)</f>
        <v>#N/A</v>
      </c>
      <c r="H787" s="48" t="e">
        <f t="shared" si="54"/>
        <v>#N/A</v>
      </c>
      <c r="I787" s="48" t="e">
        <f t="shared" si="56"/>
        <v>#N/A</v>
      </c>
      <c r="J787" s="49" t="e">
        <f t="shared" si="55"/>
        <v>#N/A</v>
      </c>
    </row>
    <row r="788" spans="7:13" ht="19" customHeight="1">
      <c r="G788" s="48" t="e">
        <f>VLOOKUP(D788,단가!B:D,3,0)</f>
        <v>#N/A</v>
      </c>
      <c r="H788" s="48" t="e">
        <f t="shared" si="54"/>
        <v>#N/A</v>
      </c>
      <c r="I788" s="48" t="e">
        <f t="shared" si="56"/>
        <v>#N/A</v>
      </c>
      <c r="J788" s="49" t="e">
        <f t="shared" si="55"/>
        <v>#N/A</v>
      </c>
    </row>
    <row r="789" spans="7:13" ht="19" customHeight="1">
      <c r="G789" s="48" t="e">
        <f>VLOOKUP(D789,단가!B:D,3,0)</f>
        <v>#N/A</v>
      </c>
      <c r="H789" s="48" t="e">
        <f t="shared" si="54"/>
        <v>#N/A</v>
      </c>
      <c r="I789" s="48" t="e">
        <f t="shared" si="56"/>
        <v>#N/A</v>
      </c>
      <c r="J789" s="49" t="e">
        <f t="shared" si="55"/>
        <v>#N/A</v>
      </c>
    </row>
    <row r="790" spans="7:13" ht="19" customHeight="1">
      <c r="G790" s="48" t="e">
        <f>VLOOKUP(D790,단가!B:D,3,0)</f>
        <v>#N/A</v>
      </c>
      <c r="H790" s="48" t="e">
        <f t="shared" si="54"/>
        <v>#N/A</v>
      </c>
      <c r="I790" s="48" t="e">
        <f t="shared" si="56"/>
        <v>#N/A</v>
      </c>
      <c r="J790" s="49" t="e">
        <f t="shared" si="55"/>
        <v>#N/A</v>
      </c>
      <c r="L790" s="73"/>
      <c r="M790" s="73"/>
    </row>
    <row r="791" spans="7:13" ht="19" customHeight="1">
      <c r="G791" s="48" t="e">
        <f>VLOOKUP(D791,단가!B:D,3,0)</f>
        <v>#N/A</v>
      </c>
      <c r="H791" s="48" t="e">
        <f t="shared" si="54"/>
        <v>#N/A</v>
      </c>
      <c r="I791" s="48" t="e">
        <f t="shared" si="56"/>
        <v>#N/A</v>
      </c>
      <c r="J791" s="49" t="e">
        <f t="shared" si="55"/>
        <v>#N/A</v>
      </c>
      <c r="L791" s="73"/>
      <c r="M791" s="73"/>
    </row>
    <row r="792" spans="7:13" ht="19" customHeight="1">
      <c r="G792" s="48" t="e">
        <f>VLOOKUP(D792,단가!B:D,3,0)</f>
        <v>#N/A</v>
      </c>
      <c r="H792" s="48" t="e">
        <f t="shared" si="54"/>
        <v>#N/A</v>
      </c>
      <c r="I792" s="48" t="e">
        <f t="shared" si="56"/>
        <v>#N/A</v>
      </c>
      <c r="J792" s="49" t="e">
        <f t="shared" si="55"/>
        <v>#N/A</v>
      </c>
    </row>
    <row r="793" spans="7:13" ht="19" customHeight="1">
      <c r="G793" s="48" t="e">
        <f>VLOOKUP(D793,단가!B:D,3,0)</f>
        <v>#N/A</v>
      </c>
      <c r="H793" s="48" t="e">
        <f t="shared" si="54"/>
        <v>#N/A</v>
      </c>
      <c r="I793" s="48" t="e">
        <f t="shared" si="56"/>
        <v>#N/A</v>
      </c>
      <c r="J793" s="49" t="e">
        <f t="shared" si="55"/>
        <v>#N/A</v>
      </c>
    </row>
    <row r="794" spans="7:13" ht="19" customHeight="1">
      <c r="G794" s="48" t="e">
        <f>VLOOKUP(D794,단가!B:D,3,0)</f>
        <v>#N/A</v>
      </c>
      <c r="H794" s="48" t="e">
        <f t="shared" si="54"/>
        <v>#N/A</v>
      </c>
      <c r="I794" s="48" t="e">
        <f t="shared" si="56"/>
        <v>#N/A</v>
      </c>
      <c r="J794" s="49" t="e">
        <f t="shared" si="55"/>
        <v>#N/A</v>
      </c>
    </row>
    <row r="795" spans="7:13" ht="19" customHeight="1">
      <c r="G795" s="48" t="e">
        <f>VLOOKUP(D795,단가!B:D,3,0)</f>
        <v>#N/A</v>
      </c>
      <c r="H795" s="48" t="e">
        <f t="shared" si="54"/>
        <v>#N/A</v>
      </c>
      <c r="I795" s="48" t="e">
        <f t="shared" si="56"/>
        <v>#N/A</v>
      </c>
      <c r="J795" s="49" t="e">
        <f t="shared" si="55"/>
        <v>#N/A</v>
      </c>
    </row>
    <row r="796" spans="7:13" ht="19" customHeight="1">
      <c r="G796" s="48" t="e">
        <f>VLOOKUP(D796,단가!B:D,3,0)</f>
        <v>#N/A</v>
      </c>
      <c r="H796" s="48" t="e">
        <f t="shared" si="54"/>
        <v>#N/A</v>
      </c>
      <c r="I796" s="48" t="e">
        <f t="shared" si="56"/>
        <v>#N/A</v>
      </c>
      <c r="J796" s="49" t="e">
        <f t="shared" si="55"/>
        <v>#N/A</v>
      </c>
    </row>
    <row r="797" spans="7:13" ht="19" customHeight="1">
      <c r="G797" s="48" t="e">
        <f>VLOOKUP(D797,단가!B:D,3,0)</f>
        <v>#N/A</v>
      </c>
      <c r="H797" s="48" t="e">
        <f t="shared" si="54"/>
        <v>#N/A</v>
      </c>
      <c r="I797" s="48" t="e">
        <f t="shared" si="56"/>
        <v>#N/A</v>
      </c>
      <c r="J797" s="49" t="e">
        <f t="shared" si="55"/>
        <v>#N/A</v>
      </c>
    </row>
    <row r="798" spans="7:13" ht="19" customHeight="1">
      <c r="G798" s="48" t="e">
        <f>VLOOKUP(D798,단가!B:D,3,0)</f>
        <v>#N/A</v>
      </c>
      <c r="H798" s="48" t="e">
        <f t="shared" si="54"/>
        <v>#N/A</v>
      </c>
      <c r="I798" s="48" t="e">
        <f t="shared" si="56"/>
        <v>#N/A</v>
      </c>
      <c r="J798" s="49" t="e">
        <f t="shared" si="55"/>
        <v>#N/A</v>
      </c>
    </row>
    <row r="799" spans="7:13" ht="19" customHeight="1">
      <c r="G799" s="48" t="e">
        <f>VLOOKUP(D799,단가!B:D,3,0)</f>
        <v>#N/A</v>
      </c>
      <c r="H799" s="48" t="e">
        <f t="shared" si="54"/>
        <v>#N/A</v>
      </c>
      <c r="I799" s="48" t="e">
        <f t="shared" si="56"/>
        <v>#N/A</v>
      </c>
      <c r="J799" s="49" t="e">
        <f t="shared" si="55"/>
        <v>#N/A</v>
      </c>
    </row>
    <row r="800" spans="7:13" ht="19" customHeight="1">
      <c r="G800" s="48" t="e">
        <f>VLOOKUP(D800,단가!B:D,3,0)</f>
        <v>#N/A</v>
      </c>
      <c r="H800" s="48" t="e">
        <f t="shared" si="54"/>
        <v>#N/A</v>
      </c>
      <c r="I800" s="48" t="e">
        <f t="shared" si="56"/>
        <v>#N/A</v>
      </c>
      <c r="J800" s="49" t="e">
        <f t="shared" si="55"/>
        <v>#N/A</v>
      </c>
    </row>
    <row r="801" spans="7:10" ht="19" customHeight="1">
      <c r="G801" s="48" t="e">
        <f>VLOOKUP(D801,단가!B:D,3,0)</f>
        <v>#N/A</v>
      </c>
      <c r="H801" s="48" t="e">
        <f t="shared" ref="H801:H819" si="57">F801*G801</f>
        <v>#N/A</v>
      </c>
      <c r="I801" s="48" t="e">
        <f t="shared" si="56"/>
        <v>#N/A</v>
      </c>
      <c r="J801" s="49" t="e">
        <f t="shared" si="55"/>
        <v>#N/A</v>
      </c>
    </row>
    <row r="802" spans="7:10" ht="19" customHeight="1">
      <c r="G802" s="48" t="e">
        <f>VLOOKUP(D802,단가!B:D,3,0)</f>
        <v>#N/A</v>
      </c>
      <c r="H802" s="48" t="e">
        <f t="shared" si="57"/>
        <v>#N/A</v>
      </c>
      <c r="I802" s="48" t="e">
        <f t="shared" si="56"/>
        <v>#N/A</v>
      </c>
      <c r="J802" s="49" t="e">
        <f t="shared" si="55"/>
        <v>#N/A</v>
      </c>
    </row>
    <row r="803" spans="7:10" ht="19" customHeight="1">
      <c r="G803" s="48" t="e">
        <f>VLOOKUP(D803,단가!B:D,3,0)</f>
        <v>#N/A</v>
      </c>
      <c r="H803" s="48" t="e">
        <f t="shared" si="57"/>
        <v>#N/A</v>
      </c>
      <c r="I803" s="48" t="e">
        <f t="shared" si="56"/>
        <v>#N/A</v>
      </c>
      <c r="J803" s="49" t="e">
        <f t="shared" si="55"/>
        <v>#N/A</v>
      </c>
    </row>
    <row r="804" spans="7:10" ht="19" customHeight="1">
      <c r="G804" s="48" t="e">
        <f>VLOOKUP(D804,단가!B:D,3,0)</f>
        <v>#N/A</v>
      </c>
      <c r="H804" s="48" t="e">
        <f t="shared" si="57"/>
        <v>#N/A</v>
      </c>
      <c r="I804" s="48" t="e">
        <f t="shared" si="56"/>
        <v>#N/A</v>
      </c>
      <c r="J804" s="49" t="e">
        <f t="shared" si="55"/>
        <v>#N/A</v>
      </c>
    </row>
    <row r="805" spans="7:10" ht="19" customHeight="1">
      <c r="G805" s="48" t="e">
        <f>VLOOKUP(D805,단가!B:D,3,0)</f>
        <v>#N/A</v>
      </c>
      <c r="H805" s="48" t="e">
        <f t="shared" si="57"/>
        <v>#N/A</v>
      </c>
      <c r="I805" s="48" t="e">
        <f t="shared" si="56"/>
        <v>#N/A</v>
      </c>
      <c r="J805" s="49" t="e">
        <f t="shared" si="55"/>
        <v>#N/A</v>
      </c>
    </row>
    <row r="806" spans="7:10" ht="19" customHeight="1">
      <c r="G806" s="48" t="e">
        <f>VLOOKUP(D806,단가!B:D,3,0)</f>
        <v>#N/A</v>
      </c>
      <c r="H806" s="48" t="e">
        <f t="shared" si="57"/>
        <v>#N/A</v>
      </c>
      <c r="I806" s="48" t="e">
        <f t="shared" si="56"/>
        <v>#N/A</v>
      </c>
      <c r="J806" s="49" t="e">
        <f t="shared" si="55"/>
        <v>#N/A</v>
      </c>
    </row>
    <row r="807" spans="7:10" ht="19" customHeight="1">
      <c r="G807" s="48" t="e">
        <f>VLOOKUP(D807,단가!B:D,3,0)</f>
        <v>#N/A</v>
      </c>
      <c r="H807" s="48" t="e">
        <f t="shared" si="57"/>
        <v>#N/A</v>
      </c>
      <c r="I807" s="48" t="e">
        <f t="shared" si="56"/>
        <v>#N/A</v>
      </c>
      <c r="J807" s="49" t="e">
        <f t="shared" si="55"/>
        <v>#N/A</v>
      </c>
    </row>
    <row r="808" spans="7:10" ht="19" customHeight="1">
      <c r="G808" s="48" t="e">
        <f>VLOOKUP(D808,단가!B:D,3,0)</f>
        <v>#N/A</v>
      </c>
      <c r="H808" s="48" t="e">
        <f t="shared" si="57"/>
        <v>#N/A</v>
      </c>
      <c r="I808" s="48" t="e">
        <f t="shared" si="56"/>
        <v>#N/A</v>
      </c>
      <c r="J808" s="49" t="e">
        <f t="shared" si="55"/>
        <v>#N/A</v>
      </c>
    </row>
    <row r="809" spans="7:10" ht="19" customHeight="1">
      <c r="G809" s="48" t="e">
        <f>VLOOKUP(D809,단가!B:D,3,0)</f>
        <v>#N/A</v>
      </c>
      <c r="H809" s="48" t="e">
        <f t="shared" si="57"/>
        <v>#N/A</v>
      </c>
      <c r="I809" s="48" t="e">
        <f t="shared" si="56"/>
        <v>#N/A</v>
      </c>
      <c r="J809" s="49" t="e">
        <f t="shared" si="55"/>
        <v>#N/A</v>
      </c>
    </row>
    <row r="810" spans="7:10" ht="19" customHeight="1">
      <c r="G810" s="48" t="e">
        <f>VLOOKUP(D810,단가!B:D,3,0)</f>
        <v>#N/A</v>
      </c>
      <c r="H810" s="48" t="e">
        <f t="shared" si="57"/>
        <v>#N/A</v>
      </c>
      <c r="I810" s="48" t="e">
        <f t="shared" si="56"/>
        <v>#N/A</v>
      </c>
      <c r="J810" s="49" t="e">
        <f t="shared" si="55"/>
        <v>#N/A</v>
      </c>
    </row>
    <row r="811" spans="7:10" ht="19" customHeight="1">
      <c r="G811" s="48" t="e">
        <f>VLOOKUP(D811,단가!B:D,3,0)</f>
        <v>#N/A</v>
      </c>
      <c r="H811" s="48" t="e">
        <f t="shared" si="57"/>
        <v>#N/A</v>
      </c>
      <c r="I811" s="48" t="e">
        <f t="shared" si="56"/>
        <v>#N/A</v>
      </c>
      <c r="J811" s="49" t="e">
        <f t="shared" si="55"/>
        <v>#N/A</v>
      </c>
    </row>
    <row r="812" spans="7:10" ht="19" customHeight="1">
      <c r="G812" s="48" t="e">
        <f>VLOOKUP(D812,단가!B:D,3,0)</f>
        <v>#N/A</v>
      </c>
      <c r="H812" s="48" t="e">
        <f t="shared" si="57"/>
        <v>#N/A</v>
      </c>
      <c r="I812" s="48" t="e">
        <f t="shared" si="56"/>
        <v>#N/A</v>
      </c>
      <c r="J812" s="49" t="e">
        <f t="shared" si="55"/>
        <v>#N/A</v>
      </c>
    </row>
    <row r="813" spans="7:10" ht="19" customHeight="1">
      <c r="G813" s="48" t="e">
        <f>VLOOKUP(D813,단가!B:D,3,0)</f>
        <v>#N/A</v>
      </c>
      <c r="H813" s="48" t="e">
        <f t="shared" si="57"/>
        <v>#N/A</v>
      </c>
      <c r="I813" s="48" t="e">
        <f t="shared" si="56"/>
        <v>#N/A</v>
      </c>
      <c r="J813" s="49" t="e">
        <f t="shared" si="55"/>
        <v>#N/A</v>
      </c>
    </row>
    <row r="814" spans="7:10" ht="19" customHeight="1">
      <c r="G814" s="48" t="e">
        <f>VLOOKUP(D814,단가!B:D,3,0)</f>
        <v>#N/A</v>
      </c>
      <c r="H814" s="48" t="e">
        <f t="shared" si="57"/>
        <v>#N/A</v>
      </c>
      <c r="I814" s="48" t="e">
        <f t="shared" si="56"/>
        <v>#N/A</v>
      </c>
      <c r="J814" s="49" t="e">
        <f t="shared" si="55"/>
        <v>#N/A</v>
      </c>
    </row>
    <row r="815" spans="7:10" ht="19" customHeight="1">
      <c r="G815" s="48" t="e">
        <f>VLOOKUP(D815,단가!B:D,3,0)</f>
        <v>#N/A</v>
      </c>
      <c r="H815" s="48" t="e">
        <f t="shared" si="57"/>
        <v>#N/A</v>
      </c>
      <c r="I815" s="48" t="e">
        <f t="shared" si="56"/>
        <v>#N/A</v>
      </c>
      <c r="J815" s="49" t="e">
        <f t="shared" si="55"/>
        <v>#N/A</v>
      </c>
    </row>
    <row r="816" spans="7:10" ht="19" customHeight="1">
      <c r="G816" s="48" t="e">
        <f>VLOOKUP(D816,단가!B:D,3,0)</f>
        <v>#N/A</v>
      </c>
      <c r="H816" s="48" t="e">
        <f t="shared" si="57"/>
        <v>#N/A</v>
      </c>
      <c r="I816" s="48" t="e">
        <f t="shared" si="56"/>
        <v>#N/A</v>
      </c>
      <c r="J816" s="49" t="e">
        <f t="shared" si="55"/>
        <v>#N/A</v>
      </c>
    </row>
    <row r="817" spans="7:11" ht="19" customHeight="1">
      <c r="G817" s="48" t="e">
        <f>VLOOKUP(D817,단가!B:D,3,0)</f>
        <v>#N/A</v>
      </c>
      <c r="H817" s="48" t="e">
        <f t="shared" si="57"/>
        <v>#N/A</v>
      </c>
      <c r="I817" s="48" t="e">
        <f t="shared" si="56"/>
        <v>#N/A</v>
      </c>
      <c r="J817" s="49" t="e">
        <f t="shared" si="55"/>
        <v>#N/A</v>
      </c>
    </row>
    <row r="818" spans="7:11" ht="19" customHeight="1">
      <c r="G818" s="48" t="e">
        <f>VLOOKUP(D818,단가!B:D,3,0)</f>
        <v>#N/A</v>
      </c>
      <c r="H818" s="48" t="e">
        <f t="shared" si="57"/>
        <v>#N/A</v>
      </c>
      <c r="I818" s="48" t="e">
        <f t="shared" si="56"/>
        <v>#N/A</v>
      </c>
      <c r="J818" s="49" t="e">
        <f t="shared" si="55"/>
        <v>#N/A</v>
      </c>
    </row>
    <row r="819" spans="7:11" ht="19" customHeight="1">
      <c r="G819" s="48" t="e">
        <f>VLOOKUP(D819,단가!B:D,3,0)</f>
        <v>#N/A</v>
      </c>
      <c r="H819" s="48" t="e">
        <f t="shared" si="57"/>
        <v>#N/A</v>
      </c>
      <c r="I819" s="48" t="e">
        <f t="shared" si="56"/>
        <v>#N/A</v>
      </c>
      <c r="J819" s="49" t="e">
        <f t="shared" si="55"/>
        <v>#N/A</v>
      </c>
    </row>
    <row r="832" spans="7:11" ht="19" customHeight="1">
      <c r="J832" s="49"/>
      <c r="K832" s="78"/>
    </row>
    <row r="833" spans="1:11" ht="19" customHeight="1">
      <c r="K833" s="67"/>
    </row>
    <row r="834" spans="1:11" ht="19" customHeight="1">
      <c r="A834" s="62"/>
      <c r="F834" s="79"/>
      <c r="G834" s="79"/>
      <c r="H834" s="79"/>
      <c r="I834" s="79"/>
      <c r="J834" s="78"/>
    </row>
    <row r="837" spans="1:11" ht="19" customHeight="1">
      <c r="J837" s="80"/>
    </row>
  </sheetData>
  <autoFilter ref="A1:L819" xr:uid="{B2E189B2-6FF0-4F6C-AC77-0512C6CBA8C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거래명세서양식</vt:lpstr>
      <vt:lpstr>2026년 거래처별-납품현황</vt:lpstr>
      <vt:lpstr>단가</vt:lpstr>
      <vt:lpstr>개인주문현황</vt:lpstr>
      <vt:lpstr>거래처별-사업자정보현황</vt:lpstr>
      <vt:lpstr>미수내역</vt:lpstr>
      <vt:lpstr>2024년 거래처별-납품현황</vt:lpstr>
      <vt:lpstr>2025년 거래처별-납품현황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Microsoft Office User</cp:lastModifiedBy>
  <cp:lastPrinted>2026-03-26T08:32:26Z</cp:lastPrinted>
  <dcterms:created xsi:type="dcterms:W3CDTF">2020-02-16T04:45:19Z</dcterms:created>
  <dcterms:modified xsi:type="dcterms:W3CDTF">2026-04-01T07:34:27Z</dcterms:modified>
</cp:coreProperties>
</file>