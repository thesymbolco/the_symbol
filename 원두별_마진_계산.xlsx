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parkcg/원두별_마진/"/>
    </mc:Choice>
  </mc:AlternateContent>
  <xr:revisionPtr revIDLastSave="0" documentId="13_ncr:1_{B267D14F-03B5-9A4A-B611-C1A0CC39865A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운영경비_계산" sheetId="1" r:id="rId1"/>
    <sheet name="블렌딩_레시피" sheetId="3" r:id="rId2"/>
    <sheet name="원두별_마진" sheetId="2" r:id="rId3"/>
    <sheet name="사용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D13" i="3"/>
  <c r="E13" i="3" s="1"/>
  <c r="D12" i="3"/>
  <c r="E12" i="3" s="1"/>
  <c r="D11" i="3"/>
  <c r="E11" i="3" s="1"/>
  <c r="D14" i="3" s="1"/>
  <c r="B7" i="3"/>
  <c r="D6" i="3"/>
  <c r="E6" i="3" s="1"/>
  <c r="D5" i="3"/>
  <c r="E5" i="3" s="1"/>
  <c r="D4" i="3"/>
  <c r="E4" i="3" s="1"/>
  <c r="B26" i="2"/>
  <c r="C26" i="2" s="1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3" i="2"/>
  <c r="C24" i="1"/>
  <c r="B24" i="1"/>
  <c r="C19" i="1"/>
  <c r="B19" i="1"/>
  <c r="C11" i="1"/>
  <c r="C32" i="1" s="1"/>
  <c r="B5" i="2" s="1"/>
  <c r="B11" i="1"/>
  <c r="D10" i="1"/>
  <c r="C6" i="1"/>
  <c r="B6" i="1"/>
  <c r="B32" i="1" s="1"/>
  <c r="B4" i="2" s="1"/>
  <c r="F24" i="2" l="1"/>
  <c r="H24" i="2" s="1"/>
  <c r="J24" i="2" s="1"/>
  <c r="F19" i="2"/>
  <c r="H19" i="2" s="1"/>
  <c r="J19" i="2" s="1"/>
  <c r="F14" i="2"/>
  <c r="H14" i="2" s="1"/>
  <c r="J14" i="2" s="1"/>
  <c r="F23" i="2"/>
  <c r="H23" i="2" s="1"/>
  <c r="J23" i="2" s="1"/>
  <c r="F18" i="2"/>
  <c r="H18" i="2" s="1"/>
  <c r="J18" i="2" s="1"/>
  <c r="F13" i="2"/>
  <c r="H13" i="2" s="1"/>
  <c r="J13" i="2" s="1"/>
  <c r="F26" i="2"/>
  <c r="F22" i="2"/>
  <c r="H22" i="2" s="1"/>
  <c r="J22" i="2" s="1"/>
  <c r="F17" i="2"/>
  <c r="H17" i="2" s="1"/>
  <c r="J17" i="2" s="1"/>
  <c r="F21" i="2"/>
  <c r="H21" i="2" s="1"/>
  <c r="J21" i="2" s="1"/>
  <c r="F15" i="2"/>
  <c r="H15" i="2" s="1"/>
  <c r="J15" i="2" s="1"/>
  <c r="F16" i="2"/>
  <c r="F20" i="2"/>
  <c r="H20" i="2" s="1"/>
  <c r="J20" i="2" s="1"/>
  <c r="F25" i="2"/>
  <c r="E24" i="2"/>
  <c r="G24" i="2" s="1"/>
  <c r="I24" i="2" s="1"/>
  <c r="E19" i="2"/>
  <c r="G19" i="2" s="1"/>
  <c r="I19" i="2" s="1"/>
  <c r="E14" i="2"/>
  <c r="G14" i="2" s="1"/>
  <c r="I14" i="2" s="1"/>
  <c r="E23" i="2"/>
  <c r="E18" i="2"/>
  <c r="G18" i="2" s="1"/>
  <c r="I18" i="2" s="1"/>
  <c r="E13" i="2"/>
  <c r="E26" i="2"/>
  <c r="E22" i="2"/>
  <c r="E20" i="2"/>
  <c r="G20" i="2" s="1"/>
  <c r="I20" i="2" s="1"/>
  <c r="E17" i="2"/>
  <c r="E21" i="2"/>
  <c r="E15" i="2"/>
  <c r="G15" i="2" s="1"/>
  <c r="I15" i="2" s="1"/>
  <c r="E16" i="2"/>
  <c r="G16" i="2" s="1"/>
  <c r="I16" i="2" s="1"/>
  <c r="E25" i="2"/>
  <c r="G21" i="2"/>
  <c r="I21" i="2" s="1"/>
  <c r="G26" i="2"/>
  <c r="I26" i="2" s="1"/>
  <c r="H16" i="2"/>
  <c r="J16" i="2" s="1"/>
  <c r="G17" i="2"/>
  <c r="I17" i="2" s="1"/>
  <c r="D26" i="2"/>
  <c r="G23" i="2"/>
  <c r="I23" i="2" s="1"/>
  <c r="D7" i="3"/>
  <c r="B25" i="2" s="1"/>
  <c r="G13" i="2"/>
  <c r="I13" i="2" s="1"/>
  <c r="G22" i="2"/>
  <c r="I22" i="2" s="1"/>
  <c r="L17" i="2" l="1"/>
  <c r="N17" i="2" s="1"/>
  <c r="L21" i="2"/>
  <c r="N21" i="2"/>
  <c r="L22" i="2"/>
  <c r="N22" i="2" s="1"/>
  <c r="L18" i="2"/>
  <c r="N18" i="2" s="1"/>
  <c r="K18" i="2"/>
  <c r="M18" i="2" s="1"/>
  <c r="L13" i="2"/>
  <c r="N13" i="2" s="1"/>
  <c r="L23" i="2"/>
  <c r="N23" i="2" s="1"/>
  <c r="C25" i="2"/>
  <c r="G25" i="2" s="1"/>
  <c r="I25" i="2" s="1"/>
  <c r="D25" i="2"/>
  <c r="H25" i="2" s="1"/>
  <c r="J25" i="2" s="1"/>
  <c r="K14" i="2"/>
  <c r="M14" i="2" s="1"/>
  <c r="K19" i="2"/>
  <c r="M19" i="2" s="1"/>
  <c r="K20" i="2"/>
  <c r="M20" i="2" s="1"/>
  <c r="L20" i="2"/>
  <c r="N20" i="2" s="1"/>
  <c r="L14" i="2"/>
  <c r="N14" i="2" s="1"/>
  <c r="K26" i="2"/>
  <c r="M26" i="2" s="1"/>
  <c r="K21" i="2"/>
  <c r="M21" i="2"/>
  <c r="K16" i="2"/>
  <c r="M16" i="2"/>
  <c r="K15" i="2"/>
  <c r="M15" i="2" s="1"/>
  <c r="K24" i="2"/>
  <c r="M24" i="2" s="1"/>
  <c r="L16" i="2"/>
  <c r="N16" i="2"/>
  <c r="L19" i="2"/>
  <c r="N19" i="2" s="1"/>
  <c r="K13" i="2"/>
  <c r="M13" i="2" s="1"/>
  <c r="K23" i="2"/>
  <c r="M23" i="2" s="1"/>
  <c r="H26" i="2"/>
  <c r="J26" i="2" s="1"/>
  <c r="K17" i="2"/>
  <c r="M17" i="2"/>
  <c r="K22" i="2"/>
  <c r="M22" i="2" s="1"/>
  <c r="N15" i="2"/>
  <c r="L15" i="2"/>
  <c r="L24" i="2"/>
  <c r="N24" i="2" s="1"/>
  <c r="L26" i="2" l="1"/>
  <c r="N26" i="2"/>
  <c r="L25" i="2"/>
  <c r="N25" i="2"/>
  <c r="N28" i="2" s="1"/>
  <c r="K25" i="2"/>
  <c r="M25" i="2" s="1"/>
  <c r="M28" i="2" s="1"/>
</calcChain>
</file>

<file path=xl/sharedStrings.xml><?xml version="1.0" encoding="utf-8"?>
<sst xmlns="http://schemas.openxmlformats.org/spreadsheetml/2006/main" count="100" uniqueCount="91">
  <si>
    <t>【 운영경비 산출 】 노란 셀만 수정 → 합계가 원두별_마진 시트에 반영</t>
  </si>
  <si>
    <t>항목</t>
  </si>
  <si>
    <t>1kg</t>
  </si>
  <si>
    <t>200g</t>
  </si>
  <si>
    <t>설명</t>
  </si>
  <si>
    <t>봉지</t>
  </si>
  <si>
    <t>밸브백·크라프트 등</t>
  </si>
  <si>
    <t>라벨</t>
  </si>
  <si>
    <t>라벨·인쇄비</t>
  </si>
  <si>
    <t>스티커·테이프 등</t>
  </si>
  <si>
    <t>기타 포장재</t>
  </si>
  <si>
    <t>포장 소계</t>
  </si>
  <si>
    <t>【 충전·인건 】</t>
  </si>
  <si>
    <t>충전시간 (분)</t>
  </si>
  <si>
    <t>팩당 계량·충전·밀봉 시간</t>
  </si>
  <si>
    <t>시급 (원/시간)</t>
  </si>
  <si>
    <t>충전 인건비</t>
  </si>
  <si>
    <t>【 손실·재작업 】</t>
  </si>
  <si>
    <t>예비비 (원)</t>
  </si>
  <si>
    <t>【 배송 안분 】</t>
  </si>
  <si>
    <t>택배비 (원/건)</t>
  </si>
  <si>
    <t>주문당 평균 팩 수</t>
  </si>
  <si>
    <t>배송 안분</t>
  </si>
  <si>
    <t>【 월 고정비 안분 (선택) 】</t>
  </si>
  <si>
    <t>월 고정비 합계 (원)</t>
  </si>
  <si>
    <t>월 판매량 (kg)</t>
  </si>
  <si>
    <t>고정비 안분</t>
  </si>
  <si>
    <t>▶ 운영경비 합계</t>
  </si>
  <si>
    <t>※ 200g 배송비를 더 높게 잡으려면 C19에 숫자 직접 입력</t>
  </si>
  <si>
    <t>【 설정 】 노란=입력 · 하늘=블렌드(자동) · 운영경비→운영경비_계산</t>
  </si>
  <si>
    <t>로스율 (예: 0.2 = 20%)</t>
  </si>
  <si>
    <t>생두배수</t>
  </si>
  <si>
    <t>운영경비 1kg (원) ← 자동</t>
  </si>
  <si>
    <t>운영경비 200g (원) ← 자동</t>
  </si>
  <si>
    <t>목표 마진율 (제안판매가용, 0.4 = 40%)</t>
  </si>
  <si>
    <t>※ 싱글 오리진 생두가(노란) 변경 → 블렌딩 생두가 자동 갱신</t>
  </si>
  <si>
    <t>※ 블렌딩 비율 변경 → 블렌딩_레시피 시트</t>
  </si>
  <si>
    <t>※ 원두원가 = 생두가 × 1÷(1−로스율)</t>
  </si>
  <si>
    <t>품목</t>
  </si>
  <si>
    <t>생두가
(원/kg)</t>
  </si>
  <si>
    <t>원두원가
1kg</t>
  </si>
  <si>
    <t>원두원가
200g</t>
  </si>
  <si>
    <t>운영경비
1kg</t>
  </si>
  <si>
    <t>운영경비
200g</t>
  </si>
  <si>
    <t>제안판매가
1kg</t>
  </si>
  <si>
    <t>제안판매가
200g</t>
  </si>
  <si>
    <t>판매가
1kg</t>
  </si>
  <si>
    <t>판매가
200g</t>
  </si>
  <si>
    <t>마진액
1kg</t>
  </si>
  <si>
    <t>마진액
200g</t>
  </si>
  <si>
    <t>마진율
1kg</t>
  </si>
  <si>
    <t>마진율
200g</t>
  </si>
  <si>
    <t>에티오피아 코케허니 예가체프 G1</t>
  </si>
  <si>
    <t>에티오피아 예가체프 G2</t>
  </si>
  <si>
    <t>에티오피아 모모라 워시드 구지 G1</t>
  </si>
  <si>
    <t>케냐 AA FAQ</t>
  </si>
  <si>
    <t>인도네시아 아체가요 G1</t>
  </si>
  <si>
    <t>인도네시아 만델링 G1</t>
  </si>
  <si>
    <t>과테말라 안티구아 SHB</t>
  </si>
  <si>
    <t>브라질 세라도</t>
  </si>
  <si>
    <t>콜롬비아 나리노 수프리모</t>
  </si>
  <si>
    <t>과테말라 안티구아 디카페인</t>
  </si>
  <si>
    <t>브라질 슈가케인 디카페인</t>
  </si>
  <si>
    <t>에티오피아 시다모 G4</t>
  </si>
  <si>
    <t>블렌딩 다크 (세라도:시다모:나리노=3:1:1)</t>
  </si>
  <si>
    <t>블렌딩 라이트 (예가체프:시다모:나리노=1:1:2)</t>
  </si>
  <si>
    <t>평균 마진율</t>
  </si>
  <si>
    <t>【 블렌딩 생두가 】 비율(노란) 수정 → 가중평균이 원두별_마진에 반영</t>
  </si>
  <si>
    <t>블렌드</t>
  </si>
  <si>
    <t>구성 원두</t>
  </si>
  <si>
    <t>비율</t>
  </si>
  <si>
    <t>생두가(연동)</t>
  </si>
  <si>
    <t>비율×가격</t>
  </si>
  <si>
    <t>검算</t>
  </si>
  <si>
    <t>▶ 블렌드 생두가</t>
  </si>
  <si>
    <t>브라질×3 / 에티오피아×1 / 콜롬비아×1</t>
  </si>
  <si>
    <t>에티오피아×1 / 에티오피아×1 / 콜롬비아×2</t>
  </si>
  <si>
    <t>※ 생두가(연동) = 원두별_마진 시트의 싱글 오리진 생두가</t>
  </si>
  <si>
    <t>※ 블렌드 생두가 = Σ(비율×생두가) ÷ Σ(비율)</t>
  </si>
  <si>
    <t>원두별 마진 계산 엑셀 — 사용법</t>
  </si>
  <si>
    <t>【 시트 】</t>
  </si>
  <si>
    <t>· 운영경비_계산 / 블렌딩_레시피 / 원두별_마진</t>
  </si>
  <si>
    <t>【 블렌딩 생두가 】</t>
  </si>
  <si>
    <t>· 싱글 오리진 생두가(노란)를 바꾸면 블렌드 가격이 자동 반영</t>
  </si>
  <si>
    <t>· 블렌딩_레시피 시트에서 비율(노란) 수정 가능</t>
  </si>
  <si>
    <t>· 공식: (비율1×생두가1 + 비율2×생두가2 + …) ÷ 비율 합</t>
  </si>
  <si>
    <t>· 예) 다크 = (세라도×3 + 시다모×1 + 나리노×1) ÷ 5</t>
  </si>
  <si>
    <t>【 운영경비 】</t>
  </si>
  <si>
    <t>· 운영경비_계산 시트 노란 셀 수정 → 원두별_마진 B4·B5 연동</t>
  </si>
  <si>
    <t>【 원두별_마진 】</t>
  </si>
  <si>
    <t>· 노란=싱글 생두가 입력 / 하늘=블렌드(수식) / 주황=판매가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</si>
</sst>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00"/>
  </numFmts>
  <fonts count="10">
    <font>
      <sz val="11"/>
      <color theme="1"/>
      <name val="맑은 고딕"/>
      <family val="2"/>
      <scheme val="minor"/>
    </font>
    <font>
      <b/>
      <sz val="12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9"/>
      <color rgb="FF666666"/>
      <name val="맑은 고딕"/>
      <family val="2"/>
      <charset val="129"/>
    </font>
    <font>
      <b/>
      <sz val="11"/>
      <color rgb="FF0070C0"/>
      <name val="맑은 고딕"/>
      <family val="2"/>
      <charset val="129"/>
    </font>
    <font>
      <i/>
      <sz val="11"/>
      <color rgb="FF666666"/>
      <name val="맑은 고딕"/>
      <family val="2"/>
      <charset val="129"/>
    </font>
    <font>
      <sz val="11"/>
      <color rgb="FF666666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3" fontId="0" fillId="4" borderId="1" xfId="0" applyNumberFormat="1" applyFill="1" applyBorder="1"/>
    <xf numFmtId="0" fontId="0" fillId="0" borderId="1" xfId="0" applyBorder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3" fillId="0" borderId="0" xfId="0" applyFont="1"/>
    <xf numFmtId="0" fontId="0" fillId="5" borderId="1" xfId="0" applyFill="1" applyBorder="1"/>
    <xf numFmtId="3" fontId="0" fillId="6" borderId="1" xfId="0" applyNumberFormat="1" applyFill="1" applyBorder="1"/>
    <xf numFmtId="176" fontId="0" fillId="3" borderId="1" xfId="0" applyNumberFormat="1" applyFill="1" applyBorder="1"/>
    <xf numFmtId="0" fontId="4" fillId="7" borderId="1" xfId="0" applyFont="1" applyFill="1" applyBorder="1"/>
    <xf numFmtId="3" fontId="3" fillId="7" borderId="1" xfId="0" applyNumberFormat="1" applyFont="1" applyFill="1" applyBorder="1"/>
    <xf numFmtId="177" fontId="0" fillId="4" borderId="1" xfId="0" applyNumberFormat="1" applyFill="1" applyBorder="1"/>
    <xf numFmtId="0" fontId="7" fillId="0" borderId="0" xfId="0" applyFont="1"/>
    <xf numFmtId="178" fontId="0" fillId="0" borderId="0" xfId="0" applyNumberFormat="1"/>
    <xf numFmtId="3" fontId="6" fillId="6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8" fillId="6" borderId="1" xfId="0" applyNumberFormat="1" applyFont="1" applyFill="1" applyBorder="1"/>
    <xf numFmtId="3" fontId="3" fillId="8" borderId="1" xfId="0" applyNumberFormat="1" applyFont="1" applyFill="1" applyBorder="1"/>
    <xf numFmtId="177" fontId="0" fillId="6" borderId="1" xfId="0" applyNumberFormat="1" applyFill="1" applyBorder="1"/>
    <xf numFmtId="3" fontId="6" fillId="9" borderId="1" xfId="0" applyNumberFormat="1" applyFont="1" applyFill="1" applyBorder="1"/>
    <xf numFmtId="177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" fontId="0" fillId="4" borderId="1" xfId="0" applyNumberFormat="1" applyFill="1" applyBorder="1"/>
    <xf numFmtId="0" fontId="3" fillId="7" borderId="1" xfId="0" applyFont="1" applyFill="1" applyBorder="1"/>
    <xf numFmtId="0" fontId="5" fillId="0" borderId="0" xfId="0" applyFont="1"/>
    <xf numFmtId="0" fontId="1" fillId="0" borderId="0" xfId="0" applyFont="1"/>
    <xf numFmtId="0" fontId="0" fillId="0" borderId="0" xfId="0"/>
    <xf numFmtId="3" fontId="0" fillId="4" borderId="1" xfId="0" applyNumberFormat="1" applyFill="1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F32" sqref="F32"/>
    </sheetView>
  </sheetViews>
  <sheetFormatPr baseColWidth="10" defaultColWidth="8.83203125" defaultRowHeight="17"/>
  <cols>
    <col min="1" max="1" width="22" customWidth="1"/>
    <col min="2" max="3" width="14" customWidth="1"/>
    <col min="4" max="4" width="36" customWidth="1"/>
  </cols>
  <sheetData>
    <row r="1" spans="1:4" ht="18">
      <c r="A1" s="30" t="s">
        <v>0</v>
      </c>
      <c r="B1" s="31"/>
      <c r="C1" s="31"/>
      <c r="D1" s="3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2000</v>
      </c>
      <c r="C3" s="4">
        <v>900</v>
      </c>
      <c r="D3" s="5" t="s">
        <v>6</v>
      </c>
    </row>
    <row r="4" spans="1:4">
      <c r="A4" s="3" t="s">
        <v>7</v>
      </c>
      <c r="B4" s="4">
        <v>800</v>
      </c>
      <c r="C4" s="4">
        <v>700</v>
      </c>
      <c r="D4" s="5" t="s">
        <v>8</v>
      </c>
    </row>
    <row r="5" spans="1:4">
      <c r="A5" s="3" t="s">
        <v>9</v>
      </c>
      <c r="B5" s="4">
        <v>200</v>
      </c>
      <c r="C5" s="4">
        <v>200</v>
      </c>
      <c r="D5" s="5" t="s">
        <v>10</v>
      </c>
    </row>
    <row r="6" spans="1:4">
      <c r="A6" s="6" t="s">
        <v>11</v>
      </c>
      <c r="B6" s="7">
        <f>SUM(B3:B5)</f>
        <v>3000</v>
      </c>
      <c r="C6" s="7">
        <f>SUM(C3:C5)</f>
        <v>1800</v>
      </c>
    </row>
    <row r="8" spans="1:4">
      <c r="A8" s="8" t="s">
        <v>12</v>
      </c>
    </row>
    <row r="9" spans="1:4">
      <c r="A9" s="3" t="s">
        <v>13</v>
      </c>
      <c r="B9" s="4">
        <v>2</v>
      </c>
      <c r="C9" s="4">
        <v>2.5</v>
      </c>
      <c r="D9" s="5" t="s">
        <v>14</v>
      </c>
    </row>
    <row r="10" spans="1:4">
      <c r="A10" s="3" t="s">
        <v>15</v>
      </c>
      <c r="B10" s="32">
        <v>12000</v>
      </c>
      <c r="C10" s="33"/>
      <c r="D10" s="5" t="e">
        <f>분÷60×시급</f>
        <v>#NAME?</v>
      </c>
    </row>
    <row r="11" spans="1:4">
      <c r="A11" s="9" t="s">
        <v>16</v>
      </c>
      <c r="B11" s="10">
        <f>B9/60*$B$10</f>
        <v>400</v>
      </c>
      <c r="C11" s="10">
        <f>C9/60*$B$10</f>
        <v>500</v>
      </c>
    </row>
    <row r="13" spans="1:4">
      <c r="A13" s="8" t="s">
        <v>17</v>
      </c>
    </row>
    <row r="14" spans="1:4">
      <c r="A14" s="3" t="s">
        <v>18</v>
      </c>
      <c r="B14" s="4">
        <v>200</v>
      </c>
      <c r="C14" s="4">
        <v>150</v>
      </c>
    </row>
    <row r="16" spans="1:4">
      <c r="A16" s="8" t="s">
        <v>19</v>
      </c>
    </row>
    <row r="17" spans="1:3">
      <c r="A17" s="3" t="s">
        <v>20</v>
      </c>
      <c r="B17" s="32">
        <v>3500</v>
      </c>
      <c r="C17" s="33"/>
    </row>
    <row r="18" spans="1:3">
      <c r="A18" s="11" t="s">
        <v>21</v>
      </c>
      <c r="B18" s="4">
        <v>2.5</v>
      </c>
      <c r="C18" s="4">
        <v>5</v>
      </c>
    </row>
    <row r="19" spans="1:3">
      <c r="A19" s="9" t="s">
        <v>22</v>
      </c>
      <c r="B19" s="10">
        <f>IF($B$18=0,0,$B$17/$B$18)</f>
        <v>1400</v>
      </c>
      <c r="C19" s="10">
        <f>IF($C$18=0,0,$B$17/$C$18)</f>
        <v>700</v>
      </c>
    </row>
    <row r="21" spans="1:3">
      <c r="A21" s="8" t="s">
        <v>23</v>
      </c>
    </row>
    <row r="22" spans="1:3">
      <c r="A22" s="3" t="s">
        <v>24</v>
      </c>
      <c r="B22" s="32">
        <v>0</v>
      </c>
      <c r="C22" s="33"/>
    </row>
    <row r="23" spans="1:3">
      <c r="A23" s="11" t="s">
        <v>25</v>
      </c>
      <c r="B23" s="32">
        <v>200</v>
      </c>
      <c r="C23" s="33"/>
    </row>
    <row r="24" spans="1:3">
      <c r="A24" s="9" t="s">
        <v>26</v>
      </c>
      <c r="B24" s="10">
        <f>IF($B$23=0,0,$B$22/$B$23)</f>
        <v>0</v>
      </c>
      <c r="C24" s="10">
        <f>IF($B$23=0,0,$B$22/$B$23*0.2)</f>
        <v>0</v>
      </c>
    </row>
    <row r="32" spans="1:3">
      <c r="A32" s="12" t="s">
        <v>27</v>
      </c>
      <c r="B32" s="13">
        <f>B6+B11+B14+B19+B24</f>
        <v>5000</v>
      </c>
      <c r="C32" s="13">
        <f>C6+C11+C14+C19+C24</f>
        <v>3150</v>
      </c>
    </row>
    <row r="34" spans="1:1">
      <c r="A34" t="s">
        <v>28</v>
      </c>
    </row>
  </sheetData>
  <mergeCells count="5">
    <mergeCell ref="A1:D1"/>
    <mergeCell ref="B10:C10"/>
    <mergeCell ref="B23:C23"/>
    <mergeCell ref="B22:C22"/>
    <mergeCell ref="B17:C1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sqref="A1:F1"/>
    </sheetView>
  </sheetViews>
  <sheetFormatPr baseColWidth="10" defaultColWidth="8.83203125" defaultRowHeight="17"/>
  <cols>
    <col min="1" max="2" width="28" customWidth="1"/>
    <col min="3" max="3" width="8" customWidth="1"/>
    <col min="4" max="5" width="14" customWidth="1"/>
    <col min="6" max="6" width="24" customWidth="1"/>
  </cols>
  <sheetData>
    <row r="1" spans="1:6" ht="18">
      <c r="A1" s="30" t="s">
        <v>67</v>
      </c>
      <c r="B1" s="31"/>
      <c r="C1" s="31"/>
      <c r="D1" s="31"/>
      <c r="E1" s="31"/>
      <c r="F1" s="31"/>
    </row>
    <row r="2" spans="1:6">
      <c r="A2" s="25" t="s">
        <v>68</v>
      </c>
      <c r="B2" s="25" t="s">
        <v>69</v>
      </c>
      <c r="C2" s="25" t="s">
        <v>70</v>
      </c>
      <c r="D2" s="25" t="s">
        <v>71</v>
      </c>
      <c r="E2" s="25" t="s">
        <v>72</v>
      </c>
      <c r="F2" s="25" t="s">
        <v>73</v>
      </c>
    </row>
    <row r="3" spans="1:6">
      <c r="A3" s="26" t="s">
        <v>64</v>
      </c>
    </row>
    <row r="4" spans="1:6">
      <c r="A4" s="5"/>
      <c r="B4" s="5" t="s">
        <v>59</v>
      </c>
      <c r="C4" s="27">
        <v>3</v>
      </c>
      <c r="D4" s="10">
        <f>원두별_마진!$B$20</f>
        <v>13000</v>
      </c>
      <c r="E4" s="10">
        <f>C4*D4</f>
        <v>39000</v>
      </c>
    </row>
    <row r="5" spans="1:6">
      <c r="A5" s="5"/>
      <c r="B5" s="5" t="s">
        <v>63</v>
      </c>
      <c r="C5" s="27">
        <v>1</v>
      </c>
      <c r="D5" s="10">
        <f>원두별_마진!$B$24</f>
        <v>13500</v>
      </c>
      <c r="E5" s="10">
        <f>C5*D5</f>
        <v>13500</v>
      </c>
    </row>
    <row r="6" spans="1:6">
      <c r="A6" s="5"/>
      <c r="B6" s="5" t="s">
        <v>60</v>
      </c>
      <c r="C6" s="27">
        <v>1</v>
      </c>
      <c r="D6" s="10">
        <f>원두별_마진!$B$21</f>
        <v>15600</v>
      </c>
      <c r="E6" s="10">
        <f>C6*D6</f>
        <v>15600</v>
      </c>
    </row>
    <row r="7" spans="1:6">
      <c r="A7" s="28" t="s">
        <v>74</v>
      </c>
      <c r="B7" s="5" t="e">
        <f>가중평균</f>
        <v>#NAME?</v>
      </c>
      <c r="D7" s="13">
        <f>IF(SUM(C4:C6)=0,"",SUM(E4:E6)/SUM(C4:C6))</f>
        <v>13620</v>
      </c>
      <c r="F7" s="29" t="s">
        <v>75</v>
      </c>
    </row>
    <row r="10" spans="1:6">
      <c r="A10" s="26" t="s">
        <v>65</v>
      </c>
    </row>
    <row r="11" spans="1:6">
      <c r="A11" s="5"/>
      <c r="B11" s="5" t="s">
        <v>53</v>
      </c>
      <c r="C11" s="27">
        <v>1</v>
      </c>
      <c r="D11" s="10">
        <f>원두별_마진!$B$14</f>
        <v>16900</v>
      </c>
      <c r="E11" s="10">
        <f>C11*D11</f>
        <v>16900</v>
      </c>
    </row>
    <row r="12" spans="1:6">
      <c r="A12" s="5"/>
      <c r="B12" s="5" t="s">
        <v>63</v>
      </c>
      <c r="C12" s="27">
        <v>1</v>
      </c>
      <c r="D12" s="10">
        <f>원두별_마진!$B$24</f>
        <v>13500</v>
      </c>
      <c r="E12" s="10">
        <f>C12*D12</f>
        <v>13500</v>
      </c>
    </row>
    <row r="13" spans="1:6">
      <c r="A13" s="5"/>
      <c r="B13" s="5" t="s">
        <v>60</v>
      </c>
      <c r="C13" s="27">
        <v>2</v>
      </c>
      <c r="D13" s="10">
        <f>원두별_마진!$B$21</f>
        <v>15600</v>
      </c>
      <c r="E13" s="10">
        <f>C13*D13</f>
        <v>31200</v>
      </c>
    </row>
    <row r="14" spans="1:6">
      <c r="A14" s="28" t="s">
        <v>74</v>
      </c>
      <c r="B14" s="5" t="e">
        <f>가중평균</f>
        <v>#NAME?</v>
      </c>
      <c r="D14" s="13">
        <f>IF(SUM(C11:C13)=0,"",SUM(E11:E13)/SUM(C11:C13))</f>
        <v>15400</v>
      </c>
      <c r="F14" s="29" t="s">
        <v>76</v>
      </c>
    </row>
    <row r="40" spans="1:1">
      <c r="A40" t="s">
        <v>77</v>
      </c>
    </row>
    <row r="41" spans="1:1">
      <c r="A41" t="s">
        <v>78</v>
      </c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pane ySplit="12" topLeftCell="A13" activePane="bottomLeft" state="frozen"/>
      <selection pane="bottomLeft" sqref="A1:E1"/>
    </sheetView>
  </sheetViews>
  <sheetFormatPr baseColWidth="10" defaultColWidth="8.83203125" defaultRowHeight="17"/>
  <cols>
    <col min="1" max="1" width="32" customWidth="1"/>
    <col min="2" max="2" width="12" customWidth="1"/>
    <col min="3" max="4" width="11" customWidth="1"/>
    <col min="5" max="6" width="10" customWidth="1"/>
    <col min="7" max="12" width="11" customWidth="1"/>
    <col min="13" max="14" width="9" customWidth="1"/>
  </cols>
  <sheetData>
    <row r="1" spans="1:14" ht="18">
      <c r="A1" s="30" t="s">
        <v>29</v>
      </c>
      <c r="B1" s="31"/>
      <c r="C1" s="31"/>
      <c r="D1" s="31"/>
      <c r="E1" s="31"/>
    </row>
    <row r="3" spans="1:14">
      <c r="A3" s="3" t="s">
        <v>30</v>
      </c>
      <c r="B3" s="14">
        <v>0.2</v>
      </c>
      <c r="C3" s="15" t="s">
        <v>31</v>
      </c>
      <c r="D3" s="16">
        <f>1/(1-B3)</f>
        <v>1.25</v>
      </c>
    </row>
    <row r="4" spans="1:14">
      <c r="A4" s="3" t="s">
        <v>32</v>
      </c>
      <c r="B4" s="17">
        <f>운영경비_계산!$B32</f>
        <v>5000</v>
      </c>
    </row>
    <row r="5" spans="1:14">
      <c r="A5" s="3" t="s">
        <v>33</v>
      </c>
      <c r="B5" s="17">
        <f>운영경비_계산!$C32</f>
        <v>3150</v>
      </c>
    </row>
    <row r="6" spans="1:14">
      <c r="A6" s="3" t="s">
        <v>34</v>
      </c>
      <c r="B6" s="14">
        <v>0.4</v>
      </c>
    </row>
    <row r="7" spans="1:14">
      <c r="A7" t="s">
        <v>35</v>
      </c>
    </row>
    <row r="8" spans="1:14">
      <c r="A8" t="s">
        <v>36</v>
      </c>
    </row>
    <row r="9" spans="1:14">
      <c r="A9" t="s">
        <v>37</v>
      </c>
    </row>
    <row r="12" spans="1:14" ht="36" customHeight="1">
      <c r="A12" s="18" t="s">
        <v>38</v>
      </c>
      <c r="B12" s="18" t="s">
        <v>39</v>
      </c>
      <c r="C12" s="18" t="s">
        <v>40</v>
      </c>
      <c r="D12" s="18" t="s">
        <v>41</v>
      </c>
      <c r="E12" s="18" t="s">
        <v>42</v>
      </c>
      <c r="F12" s="18" t="s">
        <v>43</v>
      </c>
      <c r="G12" s="18" t="s">
        <v>44</v>
      </c>
      <c r="H12" s="18" t="s">
        <v>45</v>
      </c>
      <c r="I12" s="18" t="s">
        <v>46</v>
      </c>
      <c r="J12" s="18" t="s">
        <v>47</v>
      </c>
      <c r="K12" s="18" t="s">
        <v>48</v>
      </c>
      <c r="L12" s="18" t="s">
        <v>49</v>
      </c>
      <c r="M12" s="18" t="s">
        <v>50</v>
      </c>
      <c r="N12" s="18" t="s">
        <v>51</v>
      </c>
    </row>
    <row r="13" spans="1:14" ht="18">
      <c r="A13" s="19" t="s">
        <v>52</v>
      </c>
      <c r="B13" s="4">
        <v>22400</v>
      </c>
      <c r="C13" s="10">
        <f t="shared" ref="C13:C26" si="0">B13*1/(1-$B$3)</f>
        <v>28000</v>
      </c>
      <c r="D13" s="10">
        <f t="shared" ref="D13:D26" si="1">B13*0.2*1/(1-$B$3)</f>
        <v>5600</v>
      </c>
      <c r="E13" s="10">
        <f t="shared" ref="E13:E26" si="2">$B$4</f>
        <v>5000</v>
      </c>
      <c r="F13" s="10">
        <f t="shared" ref="F13:F26" si="3">$B$5</f>
        <v>3150</v>
      </c>
      <c r="G13" s="20">
        <f t="shared" ref="G13:G26" si="4">(C13+E13)/(1-$B$6)</f>
        <v>55000</v>
      </c>
      <c r="H13" s="20">
        <f t="shared" ref="H13:H26" si="5">(D13+F13)/(1-$B$6)</f>
        <v>14583.333333333334</v>
      </c>
      <c r="I13" s="21">
        <f t="shared" ref="I13:I26" si="6">ROUND(G13/1000,0)*1000</f>
        <v>55000</v>
      </c>
      <c r="J13" s="21">
        <f t="shared" ref="J13:J26" si="7">ROUND(H13/500,0)*500</f>
        <v>14500</v>
      </c>
      <c r="K13" s="10">
        <f t="shared" ref="K13:K26" si="8">I13-C13-E13</f>
        <v>22000</v>
      </c>
      <c r="L13" s="10">
        <f t="shared" ref="L13:L26" si="9">J13-D13-F13</f>
        <v>5750</v>
      </c>
      <c r="M13" s="22">
        <f t="shared" ref="M13:M26" si="10">IF(I13=0,"",K13/I13)</f>
        <v>0.4</v>
      </c>
      <c r="N13" s="22">
        <f t="shared" ref="N13:N26" si="11">IF(J13=0,"",L13/J13)</f>
        <v>0.39655172413793105</v>
      </c>
    </row>
    <row r="14" spans="1:14" ht="18">
      <c r="A14" s="19" t="s">
        <v>53</v>
      </c>
      <c r="B14" s="4">
        <v>16900</v>
      </c>
      <c r="C14" s="10">
        <f t="shared" si="0"/>
        <v>21125</v>
      </c>
      <c r="D14" s="10">
        <f t="shared" si="1"/>
        <v>4225</v>
      </c>
      <c r="E14" s="10">
        <f t="shared" si="2"/>
        <v>5000</v>
      </c>
      <c r="F14" s="10">
        <f t="shared" si="3"/>
        <v>3150</v>
      </c>
      <c r="G14" s="20">
        <f t="shared" si="4"/>
        <v>43541.666666666672</v>
      </c>
      <c r="H14" s="20">
        <f t="shared" si="5"/>
        <v>12291.666666666668</v>
      </c>
      <c r="I14" s="21">
        <f t="shared" si="6"/>
        <v>44000</v>
      </c>
      <c r="J14" s="21">
        <f t="shared" si="7"/>
        <v>12500</v>
      </c>
      <c r="K14" s="10">
        <f t="shared" si="8"/>
        <v>17875</v>
      </c>
      <c r="L14" s="10">
        <f t="shared" si="9"/>
        <v>5125</v>
      </c>
      <c r="M14" s="22">
        <f t="shared" si="10"/>
        <v>0.40625</v>
      </c>
      <c r="N14" s="22">
        <f t="shared" si="11"/>
        <v>0.41</v>
      </c>
    </row>
    <row r="15" spans="1:14" ht="18">
      <c r="A15" s="19" t="s">
        <v>54</v>
      </c>
      <c r="B15" s="4">
        <v>23000</v>
      </c>
      <c r="C15" s="10">
        <f t="shared" si="0"/>
        <v>28750</v>
      </c>
      <c r="D15" s="10">
        <f t="shared" si="1"/>
        <v>5750</v>
      </c>
      <c r="E15" s="10">
        <f t="shared" si="2"/>
        <v>5000</v>
      </c>
      <c r="F15" s="10">
        <f t="shared" si="3"/>
        <v>3150</v>
      </c>
      <c r="G15" s="20">
        <f t="shared" si="4"/>
        <v>56250</v>
      </c>
      <c r="H15" s="20">
        <f t="shared" si="5"/>
        <v>14833.333333333334</v>
      </c>
      <c r="I15" s="21">
        <f t="shared" si="6"/>
        <v>56000</v>
      </c>
      <c r="J15" s="21">
        <f t="shared" si="7"/>
        <v>15000</v>
      </c>
      <c r="K15" s="10">
        <f t="shared" si="8"/>
        <v>22250</v>
      </c>
      <c r="L15" s="10">
        <f t="shared" si="9"/>
        <v>6100</v>
      </c>
      <c r="M15" s="22">
        <f t="shared" si="10"/>
        <v>0.39732142857142855</v>
      </c>
      <c r="N15" s="22">
        <f t="shared" si="11"/>
        <v>0.40666666666666668</v>
      </c>
    </row>
    <row r="16" spans="1:14" ht="18">
      <c r="A16" s="19" t="s">
        <v>55</v>
      </c>
      <c r="B16" s="4">
        <v>16800</v>
      </c>
      <c r="C16" s="10">
        <f t="shared" si="0"/>
        <v>21000</v>
      </c>
      <c r="D16" s="10">
        <f t="shared" si="1"/>
        <v>4200</v>
      </c>
      <c r="E16" s="10">
        <f t="shared" si="2"/>
        <v>5000</v>
      </c>
      <c r="F16" s="10">
        <f t="shared" si="3"/>
        <v>3150</v>
      </c>
      <c r="G16" s="20">
        <f t="shared" si="4"/>
        <v>43333.333333333336</v>
      </c>
      <c r="H16" s="20">
        <f t="shared" si="5"/>
        <v>12250</v>
      </c>
      <c r="I16" s="21">
        <f t="shared" si="6"/>
        <v>43000</v>
      </c>
      <c r="J16" s="21">
        <f t="shared" si="7"/>
        <v>12500</v>
      </c>
      <c r="K16" s="10">
        <f t="shared" si="8"/>
        <v>17000</v>
      </c>
      <c r="L16" s="10">
        <f t="shared" si="9"/>
        <v>5150</v>
      </c>
      <c r="M16" s="22">
        <f t="shared" si="10"/>
        <v>0.39534883720930231</v>
      </c>
      <c r="N16" s="22">
        <f t="shared" si="11"/>
        <v>0.41199999999999998</v>
      </c>
    </row>
    <row r="17" spans="1:14" ht="18">
      <c r="A17" s="19" t="s">
        <v>56</v>
      </c>
      <c r="B17" s="4">
        <v>18600</v>
      </c>
      <c r="C17" s="10">
        <f t="shared" si="0"/>
        <v>23250</v>
      </c>
      <c r="D17" s="10">
        <f t="shared" si="1"/>
        <v>4650</v>
      </c>
      <c r="E17" s="10">
        <f t="shared" si="2"/>
        <v>5000</v>
      </c>
      <c r="F17" s="10">
        <f t="shared" si="3"/>
        <v>3150</v>
      </c>
      <c r="G17" s="20">
        <f t="shared" si="4"/>
        <v>47083.333333333336</v>
      </c>
      <c r="H17" s="20">
        <f t="shared" si="5"/>
        <v>13000</v>
      </c>
      <c r="I17" s="21">
        <f t="shared" si="6"/>
        <v>47000</v>
      </c>
      <c r="J17" s="21">
        <f t="shared" si="7"/>
        <v>13000</v>
      </c>
      <c r="K17" s="10">
        <f t="shared" si="8"/>
        <v>18750</v>
      </c>
      <c r="L17" s="10">
        <f t="shared" si="9"/>
        <v>5200</v>
      </c>
      <c r="M17" s="22">
        <f t="shared" si="10"/>
        <v>0.39893617021276595</v>
      </c>
      <c r="N17" s="22">
        <f t="shared" si="11"/>
        <v>0.4</v>
      </c>
    </row>
    <row r="18" spans="1:14" ht="18">
      <c r="A18" s="19" t="s">
        <v>57</v>
      </c>
      <c r="B18" s="4">
        <v>15800</v>
      </c>
      <c r="C18" s="10">
        <f t="shared" si="0"/>
        <v>19750</v>
      </c>
      <c r="D18" s="10">
        <f t="shared" si="1"/>
        <v>3950</v>
      </c>
      <c r="E18" s="10">
        <f t="shared" si="2"/>
        <v>5000</v>
      </c>
      <c r="F18" s="10">
        <f t="shared" si="3"/>
        <v>3150</v>
      </c>
      <c r="G18" s="20">
        <f t="shared" si="4"/>
        <v>41250</v>
      </c>
      <c r="H18" s="20">
        <f t="shared" si="5"/>
        <v>11833.333333333334</v>
      </c>
      <c r="I18" s="21">
        <f t="shared" si="6"/>
        <v>41000</v>
      </c>
      <c r="J18" s="21">
        <f t="shared" si="7"/>
        <v>12000</v>
      </c>
      <c r="K18" s="10">
        <f t="shared" si="8"/>
        <v>16250</v>
      </c>
      <c r="L18" s="10">
        <f t="shared" si="9"/>
        <v>4900</v>
      </c>
      <c r="M18" s="22">
        <f t="shared" si="10"/>
        <v>0.39634146341463417</v>
      </c>
      <c r="N18" s="22">
        <f t="shared" si="11"/>
        <v>0.40833333333333333</v>
      </c>
    </row>
    <row r="19" spans="1:14" ht="18">
      <c r="A19" s="19" t="s">
        <v>58</v>
      </c>
      <c r="B19" s="4">
        <v>16000</v>
      </c>
      <c r="C19" s="10">
        <f t="shared" si="0"/>
        <v>20000</v>
      </c>
      <c r="D19" s="10">
        <f t="shared" si="1"/>
        <v>4000</v>
      </c>
      <c r="E19" s="10">
        <f t="shared" si="2"/>
        <v>5000</v>
      </c>
      <c r="F19" s="10">
        <f t="shared" si="3"/>
        <v>3150</v>
      </c>
      <c r="G19" s="20">
        <f t="shared" si="4"/>
        <v>41666.666666666672</v>
      </c>
      <c r="H19" s="20">
        <f t="shared" si="5"/>
        <v>11916.666666666668</v>
      </c>
      <c r="I19" s="21">
        <f t="shared" si="6"/>
        <v>42000</v>
      </c>
      <c r="J19" s="21">
        <f t="shared" si="7"/>
        <v>12000</v>
      </c>
      <c r="K19" s="10">
        <f t="shared" si="8"/>
        <v>17000</v>
      </c>
      <c r="L19" s="10">
        <f t="shared" si="9"/>
        <v>4850</v>
      </c>
      <c r="M19" s="22">
        <f t="shared" si="10"/>
        <v>0.40476190476190477</v>
      </c>
      <c r="N19" s="22">
        <f t="shared" si="11"/>
        <v>0.40416666666666667</v>
      </c>
    </row>
    <row r="20" spans="1:14" ht="18">
      <c r="A20" s="19" t="s">
        <v>59</v>
      </c>
      <c r="B20" s="4">
        <v>13000</v>
      </c>
      <c r="C20" s="10">
        <f t="shared" si="0"/>
        <v>16250</v>
      </c>
      <c r="D20" s="10">
        <f t="shared" si="1"/>
        <v>3250</v>
      </c>
      <c r="E20" s="10">
        <f t="shared" si="2"/>
        <v>5000</v>
      </c>
      <c r="F20" s="10">
        <f t="shared" si="3"/>
        <v>3150</v>
      </c>
      <c r="G20" s="20">
        <f t="shared" si="4"/>
        <v>35416.666666666672</v>
      </c>
      <c r="H20" s="20">
        <f t="shared" si="5"/>
        <v>10666.666666666668</v>
      </c>
      <c r="I20" s="21">
        <f t="shared" si="6"/>
        <v>35000</v>
      </c>
      <c r="J20" s="21">
        <f t="shared" si="7"/>
        <v>10500</v>
      </c>
      <c r="K20" s="10">
        <f t="shared" si="8"/>
        <v>13750</v>
      </c>
      <c r="L20" s="10">
        <f t="shared" si="9"/>
        <v>4100</v>
      </c>
      <c r="M20" s="22">
        <f t="shared" si="10"/>
        <v>0.39285714285714285</v>
      </c>
      <c r="N20" s="22">
        <f t="shared" si="11"/>
        <v>0.39047619047619048</v>
      </c>
    </row>
    <row r="21" spans="1:14" ht="18">
      <c r="A21" s="19" t="s">
        <v>60</v>
      </c>
      <c r="B21" s="4">
        <v>15600</v>
      </c>
      <c r="C21" s="10">
        <f t="shared" si="0"/>
        <v>19500</v>
      </c>
      <c r="D21" s="10">
        <f t="shared" si="1"/>
        <v>3900</v>
      </c>
      <c r="E21" s="10">
        <f t="shared" si="2"/>
        <v>5000</v>
      </c>
      <c r="F21" s="10">
        <f t="shared" si="3"/>
        <v>3150</v>
      </c>
      <c r="G21" s="20">
        <f t="shared" si="4"/>
        <v>40833.333333333336</v>
      </c>
      <c r="H21" s="20">
        <f t="shared" si="5"/>
        <v>11750</v>
      </c>
      <c r="I21" s="21">
        <f t="shared" si="6"/>
        <v>41000</v>
      </c>
      <c r="J21" s="21">
        <f t="shared" si="7"/>
        <v>12000</v>
      </c>
      <c r="K21" s="10">
        <f t="shared" si="8"/>
        <v>16500</v>
      </c>
      <c r="L21" s="10">
        <f t="shared" si="9"/>
        <v>4950</v>
      </c>
      <c r="M21" s="22">
        <f t="shared" si="10"/>
        <v>0.40243902439024393</v>
      </c>
      <c r="N21" s="22">
        <f t="shared" si="11"/>
        <v>0.41249999999999998</v>
      </c>
    </row>
    <row r="22" spans="1:14" ht="18">
      <c r="A22" s="19" t="s">
        <v>61</v>
      </c>
      <c r="B22" s="4">
        <v>25000</v>
      </c>
      <c r="C22" s="10">
        <f t="shared" si="0"/>
        <v>31250</v>
      </c>
      <c r="D22" s="10">
        <f t="shared" si="1"/>
        <v>6250</v>
      </c>
      <c r="E22" s="10">
        <f t="shared" si="2"/>
        <v>5000</v>
      </c>
      <c r="F22" s="10">
        <f t="shared" si="3"/>
        <v>3150</v>
      </c>
      <c r="G22" s="20">
        <f t="shared" si="4"/>
        <v>60416.666666666672</v>
      </c>
      <c r="H22" s="20">
        <f t="shared" si="5"/>
        <v>15666.666666666668</v>
      </c>
      <c r="I22" s="21">
        <f t="shared" si="6"/>
        <v>60000</v>
      </c>
      <c r="J22" s="21">
        <f t="shared" si="7"/>
        <v>15500</v>
      </c>
      <c r="K22" s="10">
        <f t="shared" si="8"/>
        <v>23750</v>
      </c>
      <c r="L22" s="10">
        <f t="shared" si="9"/>
        <v>6100</v>
      </c>
      <c r="M22" s="22">
        <f t="shared" si="10"/>
        <v>0.39583333333333331</v>
      </c>
      <c r="N22" s="22">
        <f t="shared" si="11"/>
        <v>0.3935483870967742</v>
      </c>
    </row>
    <row r="23" spans="1:14" ht="18">
      <c r="A23" s="19" t="s">
        <v>62</v>
      </c>
      <c r="B23" s="4">
        <v>22000</v>
      </c>
      <c r="C23" s="10">
        <f t="shared" si="0"/>
        <v>27500</v>
      </c>
      <c r="D23" s="10">
        <f t="shared" si="1"/>
        <v>5500</v>
      </c>
      <c r="E23" s="10">
        <f t="shared" si="2"/>
        <v>5000</v>
      </c>
      <c r="F23" s="10">
        <f t="shared" si="3"/>
        <v>3150</v>
      </c>
      <c r="G23" s="20">
        <f t="shared" si="4"/>
        <v>54166.666666666672</v>
      </c>
      <c r="H23" s="20">
        <f t="shared" si="5"/>
        <v>14416.666666666668</v>
      </c>
      <c r="I23" s="21">
        <f t="shared" si="6"/>
        <v>54000</v>
      </c>
      <c r="J23" s="21">
        <f t="shared" si="7"/>
        <v>14500</v>
      </c>
      <c r="K23" s="10">
        <f t="shared" si="8"/>
        <v>21500</v>
      </c>
      <c r="L23" s="10">
        <f t="shared" si="9"/>
        <v>5850</v>
      </c>
      <c r="M23" s="22">
        <f t="shared" si="10"/>
        <v>0.39814814814814814</v>
      </c>
      <c r="N23" s="22">
        <f t="shared" si="11"/>
        <v>0.40344827586206894</v>
      </c>
    </row>
    <row r="24" spans="1:14" ht="18">
      <c r="A24" s="19" t="s">
        <v>63</v>
      </c>
      <c r="B24" s="4">
        <v>13500</v>
      </c>
      <c r="C24" s="10">
        <f t="shared" si="0"/>
        <v>16875</v>
      </c>
      <c r="D24" s="10">
        <f t="shared" si="1"/>
        <v>3375</v>
      </c>
      <c r="E24" s="10">
        <f t="shared" si="2"/>
        <v>5000</v>
      </c>
      <c r="F24" s="10">
        <f t="shared" si="3"/>
        <v>3150</v>
      </c>
      <c r="G24" s="20">
        <f t="shared" si="4"/>
        <v>36458.333333333336</v>
      </c>
      <c r="H24" s="20">
        <f t="shared" si="5"/>
        <v>10875</v>
      </c>
      <c r="I24" s="21">
        <f t="shared" si="6"/>
        <v>36000</v>
      </c>
      <c r="J24" s="21">
        <f t="shared" si="7"/>
        <v>11000</v>
      </c>
      <c r="K24" s="10">
        <f t="shared" si="8"/>
        <v>14125</v>
      </c>
      <c r="L24" s="10">
        <f t="shared" si="9"/>
        <v>4475</v>
      </c>
      <c r="M24" s="22">
        <f t="shared" si="10"/>
        <v>0.3923611111111111</v>
      </c>
      <c r="N24" s="22">
        <f t="shared" si="11"/>
        <v>0.4068181818181818</v>
      </c>
    </row>
    <row r="25" spans="1:14" ht="36">
      <c r="A25" s="19" t="s">
        <v>64</v>
      </c>
      <c r="B25" s="23">
        <f>블렌딩_레시피!$D$7</f>
        <v>13620</v>
      </c>
      <c r="C25" s="10">
        <f t="shared" si="0"/>
        <v>17025</v>
      </c>
      <c r="D25" s="10">
        <f t="shared" si="1"/>
        <v>3405</v>
      </c>
      <c r="E25" s="10">
        <f t="shared" si="2"/>
        <v>5000</v>
      </c>
      <c r="F25" s="10">
        <f t="shared" si="3"/>
        <v>3150</v>
      </c>
      <c r="G25" s="20">
        <f t="shared" si="4"/>
        <v>36708.333333333336</v>
      </c>
      <c r="H25" s="20">
        <f t="shared" si="5"/>
        <v>10925</v>
      </c>
      <c r="I25" s="21">
        <f t="shared" si="6"/>
        <v>37000</v>
      </c>
      <c r="J25" s="21">
        <f t="shared" si="7"/>
        <v>11000</v>
      </c>
      <c r="K25" s="10">
        <f t="shared" si="8"/>
        <v>14975</v>
      </c>
      <c r="L25" s="10">
        <f t="shared" si="9"/>
        <v>4445</v>
      </c>
      <c r="M25" s="22">
        <f t="shared" si="10"/>
        <v>0.4047297297297297</v>
      </c>
      <c r="N25" s="22">
        <f t="shared" si="11"/>
        <v>0.40409090909090911</v>
      </c>
    </row>
    <row r="26" spans="1:14" ht="36">
      <c r="A26" s="19" t="s">
        <v>65</v>
      </c>
      <c r="B26" s="23">
        <f>블렌딩_레시피!$D$14</f>
        <v>15400</v>
      </c>
      <c r="C26" s="10">
        <f t="shared" si="0"/>
        <v>19250</v>
      </c>
      <c r="D26" s="10">
        <f t="shared" si="1"/>
        <v>3850</v>
      </c>
      <c r="E26" s="10">
        <f t="shared" si="2"/>
        <v>5000</v>
      </c>
      <c r="F26" s="10">
        <f t="shared" si="3"/>
        <v>3150</v>
      </c>
      <c r="G26" s="20">
        <f t="shared" si="4"/>
        <v>40416.666666666672</v>
      </c>
      <c r="H26" s="20">
        <f t="shared" si="5"/>
        <v>11666.666666666668</v>
      </c>
      <c r="I26" s="21">
        <f t="shared" si="6"/>
        <v>40000</v>
      </c>
      <c r="J26" s="21">
        <f t="shared" si="7"/>
        <v>11500</v>
      </c>
      <c r="K26" s="10">
        <f t="shared" si="8"/>
        <v>15750</v>
      </c>
      <c r="L26" s="10">
        <f t="shared" si="9"/>
        <v>4500</v>
      </c>
      <c r="M26" s="22">
        <f t="shared" si="10"/>
        <v>0.39374999999999999</v>
      </c>
      <c r="N26" s="22">
        <f t="shared" si="11"/>
        <v>0.39130434782608697</v>
      </c>
    </row>
    <row r="28" spans="1:14">
      <c r="A28" s="8" t="s">
        <v>66</v>
      </c>
      <c r="M28" s="24">
        <f>AVERAGE(M13:M26)</f>
        <v>0.39850559240998173</v>
      </c>
      <c r="N28" s="24">
        <f>AVERAGE(N13:N26)</f>
        <v>0.40285033449820068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/>
  </sheetViews>
  <sheetFormatPr baseColWidth="10" defaultColWidth="8.83203125" defaultRowHeight="17"/>
  <cols>
    <col min="1" max="1" width="72" customWidth="1"/>
  </cols>
  <sheetData>
    <row r="1" spans="1:1" ht="18">
      <c r="A1" s="1" t="s">
        <v>79</v>
      </c>
    </row>
    <row r="3" spans="1:1">
      <c r="A3" t="s">
        <v>80</v>
      </c>
    </row>
    <row r="4" spans="1:1">
      <c r="A4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2" spans="1:1">
      <c r="A12" t="s">
        <v>87</v>
      </c>
    </row>
    <row r="13" spans="1:1">
      <c r="A13" t="s">
        <v>88</v>
      </c>
    </row>
    <row r="15" spans="1:1">
      <c r="A15" t="s">
        <v>89</v>
      </c>
    </row>
    <row r="16" spans="1:1">
      <c r="A16" t="s">
        <v>90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운영경비_계산</vt:lpstr>
      <vt:lpstr>블렌딩_레시피</vt:lpstr>
      <vt:lpstr>원두별_마진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2026-05-18T07:06:55Z</dcterms:created>
  <dcterms:modified xsi:type="dcterms:W3CDTF">2026-05-18T07:09:33Z</dcterms:modified>
</cp:coreProperties>
</file>