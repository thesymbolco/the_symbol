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정승현\OneDrive\바탕 화면\"/>
    </mc:Choice>
  </mc:AlternateContent>
  <xr:revisionPtr revIDLastSave="0" documentId="13_ncr:1_{3BBD711F-D832-4C21-9ED2-837A4EBDDCCB}" xr6:coauthVersionLast="47" xr6:coauthVersionMax="47" xr10:uidLastSave="{00000000-0000-0000-0000-000000000000}"/>
  <bookViews>
    <workbookView xWindow="-108" yWindow="-108" windowWidth="23256" windowHeight="12456" xr2:uid="{4D5050D7-C3F5-46BE-A49E-1578221DD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E14" i="1"/>
  <c r="D16" i="1" s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<sst xmlns="http://schemas.openxmlformats.org/spreadsheetml/2006/main" count="26" uniqueCount="24">
  <si>
    <t>에티오피아 예가체프 G2</t>
    <phoneticPr fontId="2" type="noConversion"/>
  </si>
  <si>
    <t>생두(1kg)</t>
    <phoneticPr fontId="2" type="noConversion"/>
  </si>
  <si>
    <t>구분</t>
    <phoneticPr fontId="2" type="noConversion"/>
  </si>
  <si>
    <t>에티오피아 코케허니 예가체프 G1</t>
    <phoneticPr fontId="2" type="noConversion"/>
  </si>
  <si>
    <t>에티오피아 모모라 워시드 구지 G1</t>
    <phoneticPr fontId="2" type="noConversion"/>
  </si>
  <si>
    <t>케냐 AA FAQ</t>
    <phoneticPr fontId="2" type="noConversion"/>
  </si>
  <si>
    <t>인도네시아 아체가요 G1</t>
    <phoneticPr fontId="2" type="noConversion"/>
  </si>
  <si>
    <t>인도네시아 만델링 G1</t>
    <phoneticPr fontId="2" type="noConversion"/>
  </si>
  <si>
    <t>과테말라 안티구아 SHB</t>
    <phoneticPr fontId="2" type="noConversion"/>
  </si>
  <si>
    <t>콜롬비아 나리노 수프리모</t>
    <phoneticPr fontId="2" type="noConversion"/>
  </si>
  <si>
    <t>과테말라 안티구아 디카페인</t>
    <phoneticPr fontId="2" type="noConversion"/>
  </si>
  <si>
    <t>브라질 슈가케인 디카페인</t>
    <phoneticPr fontId="2" type="noConversion"/>
  </si>
  <si>
    <t xml:space="preserve">브라질 세하도  </t>
    <phoneticPr fontId="2" type="noConversion"/>
  </si>
  <si>
    <t>에티오피아 시다모 G4</t>
    <phoneticPr fontId="2" type="noConversion"/>
  </si>
  <si>
    <t>가격</t>
  </si>
  <si>
    <t>GSC</t>
    <phoneticPr fontId="2" type="noConversion"/>
  </si>
  <si>
    <t>알마씨엘로</t>
    <phoneticPr fontId="2" type="noConversion"/>
  </si>
  <si>
    <t>품절</t>
    <phoneticPr fontId="2" type="noConversion"/>
  </si>
  <si>
    <t>X</t>
    <phoneticPr fontId="2" type="noConversion"/>
  </si>
  <si>
    <t>총계</t>
    <phoneticPr fontId="2" type="noConversion"/>
  </si>
  <si>
    <t>수량(KG)</t>
    <phoneticPr fontId="2" type="noConversion"/>
  </si>
  <si>
    <t>주문</t>
    <phoneticPr fontId="2" type="noConversion"/>
  </si>
  <si>
    <t>총합</t>
    <phoneticPr fontId="2" type="noConversion"/>
  </si>
  <si>
    <t>■4월 생두 주문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</si>
</sst>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3" fillId="0" borderId="0" xfId="0" applyFont="1">
      <alignment vertical="center"/>
    </xf>
    <xf numFmtId="41" fontId="4" fillId="0" borderId="15" xfId="1" applyFont="1" applyBorder="1" applyAlignment="1">
      <alignment horizontal="center" vertical="center"/>
    </xf>
    <xf numFmtId="41" fontId="4" fillId="0" borderId="10" xfId="1" applyFont="1" applyBorder="1" applyAlignment="1">
      <alignment horizontal="center" vertical="center"/>
    </xf>
    <xf numFmtId="41" fontId="4" fillId="0" borderId="17" xfId="1" applyFont="1" applyBorder="1" applyAlignment="1">
      <alignment horizontal="center" vertical="center"/>
    </xf>
    <xf numFmtId="41" fontId="4" fillId="0" borderId="17" xfId="1" applyFont="1" applyBorder="1" applyAlignment="1">
      <alignment horizontal="center" vertical="center" wrapText="1"/>
    </xf>
    <xf numFmtId="41" fontId="4" fillId="0" borderId="18" xfId="1" applyFont="1" applyBorder="1" applyAlignment="1">
      <alignment horizontal="center" vertical="center" wrapText="1"/>
    </xf>
    <xf numFmtId="41" fontId="4" fillId="0" borderId="14" xfId="1" applyFont="1" applyBorder="1" applyAlignment="1">
      <alignment horizontal="left" vertical="center"/>
    </xf>
    <xf numFmtId="41" fontId="0" fillId="0" borderId="7" xfId="1" applyFont="1" applyBorder="1" applyAlignment="1">
      <alignment horizontal="center" vertical="center"/>
    </xf>
    <xf numFmtId="41" fontId="0" fillId="2" borderId="8" xfId="1" applyFont="1" applyFill="1" applyBorder="1">
      <alignment vertical="center"/>
    </xf>
    <xf numFmtId="41" fontId="4" fillId="0" borderId="12" xfId="1" applyFont="1" applyBorder="1" applyAlignment="1">
      <alignment horizontal="left" vertical="center"/>
    </xf>
    <xf numFmtId="41" fontId="0" fillId="0" borderId="3" xfId="1" applyFont="1" applyBorder="1" applyAlignment="1">
      <alignment horizontal="center" vertical="center"/>
    </xf>
    <xf numFmtId="41" fontId="0" fillId="2" borderId="4" xfId="1" applyFont="1" applyFill="1" applyBorder="1">
      <alignment vertical="center"/>
    </xf>
    <xf numFmtId="41" fontId="4" fillId="0" borderId="12" xfId="1" applyFont="1" applyBorder="1" applyAlignment="1">
      <alignment horizontal="left" vertical="center" wrapText="1"/>
    </xf>
    <xf numFmtId="41" fontId="4" fillId="0" borderId="13" xfId="1" applyFont="1" applyBorder="1" applyAlignment="1">
      <alignment horizontal="left" vertical="center" wrapText="1"/>
    </xf>
    <xf numFmtId="41" fontId="0" fillId="0" borderId="5" xfId="1" applyFont="1" applyBorder="1" applyAlignment="1">
      <alignment horizontal="center" vertical="center"/>
    </xf>
    <xf numFmtId="41" fontId="0" fillId="2" borderId="6" xfId="1" applyFont="1" applyFill="1" applyBorder="1">
      <alignment vertical="center"/>
    </xf>
    <xf numFmtId="41" fontId="4" fillId="2" borderId="16" xfId="1" applyFont="1" applyFill="1" applyBorder="1" applyAlignment="1">
      <alignment horizontal="center" vertical="center"/>
    </xf>
    <xf numFmtId="41" fontId="4" fillId="2" borderId="17" xfId="1" applyFont="1" applyFill="1" applyBorder="1" applyAlignment="1">
      <alignment horizontal="center" vertical="center"/>
    </xf>
    <xf numFmtId="41" fontId="4" fillId="2" borderId="10" xfId="1" applyFont="1" applyFill="1" applyBorder="1" applyAlignment="1">
      <alignment horizontal="center" vertical="center"/>
    </xf>
    <xf numFmtId="41" fontId="4" fillId="2" borderId="10" xfId="1" applyFont="1" applyFill="1" applyBorder="1" applyAlignment="1">
      <alignment horizontal="center" vertical="center" wrapText="1"/>
    </xf>
    <xf numFmtId="41" fontId="4" fillId="2" borderId="11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1" fontId="0" fillId="3" borderId="1" xfId="1" applyFont="1" applyFill="1" applyBorder="1" applyAlignment="1">
      <alignment horizontal="center" vertical="center"/>
    </xf>
    <xf numFmtId="41" fontId="0" fillId="3" borderId="20" xfId="1" applyFont="1" applyFill="1" applyBorder="1" applyAlignment="1">
      <alignment horizontal="center" vertical="center"/>
    </xf>
    <xf numFmtId="41" fontId="0" fillId="3" borderId="2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CA39-FFD8-477D-8E3E-7A5558FF2CA2}">
  <dimension ref="A1:E16"/>
  <sheetViews>
    <sheetView tabSelected="1" workbookViewId="0">
      <selection activeCell="D15" sqref="D15"/>
    </sheetView>
  </sheetViews>
  <sheetFormatPr defaultRowHeight="17.399999999999999" x14ac:dyDescent="0.4"/>
  <cols>
    <col min="1" max="1" width="31.19921875" bestFit="1" customWidth="1"/>
    <col min="2" max="2" width="9.19921875" bestFit="1" customWidth="1"/>
    <col min="3" max="3" width="10.3984375" bestFit="1" customWidth="1"/>
    <col min="5" max="5" width="10.69921875" bestFit="1" customWidth="1"/>
  </cols>
  <sheetData>
    <row r="1" spans="1:5" ht="24.6" thickBot="1" x14ac:dyDescent="0.45">
      <c r="A1" s="1" t="s">
        <v>23</v>
      </c>
    </row>
    <row r="2" spans="1:5" ht="18" thickBot="1" x14ac:dyDescent="0.45">
      <c r="A2" s="27" t="s">
        <v>1</v>
      </c>
      <c r="B2" s="28" t="s">
        <v>14</v>
      </c>
      <c r="C2" s="29"/>
      <c r="D2" s="30" t="s">
        <v>21</v>
      </c>
      <c r="E2" s="31"/>
    </row>
    <row r="3" spans="1:5" ht="18" thickBot="1" x14ac:dyDescent="0.45">
      <c r="A3" s="22" t="s">
        <v>2</v>
      </c>
      <c r="B3" s="23" t="s">
        <v>15</v>
      </c>
      <c r="C3" s="24" t="s">
        <v>16</v>
      </c>
      <c r="D3" s="25" t="s">
        <v>20</v>
      </c>
      <c r="E3" s="26" t="s">
        <v>19</v>
      </c>
    </row>
    <row r="4" spans="1:5" x14ac:dyDescent="0.4">
      <c r="A4" s="7" t="s">
        <v>3</v>
      </c>
      <c r="B4" s="2" t="s">
        <v>17</v>
      </c>
      <c r="C4" s="17">
        <v>21400</v>
      </c>
      <c r="D4" s="8">
        <v>20</v>
      </c>
      <c r="E4" s="9">
        <f>D4*C4</f>
        <v>428000</v>
      </c>
    </row>
    <row r="5" spans="1:5" x14ac:dyDescent="0.4">
      <c r="A5" s="10" t="s">
        <v>0</v>
      </c>
      <c r="B5" s="3" t="s">
        <v>17</v>
      </c>
      <c r="C5" s="18">
        <v>16900</v>
      </c>
      <c r="D5" s="11">
        <v>20</v>
      </c>
      <c r="E5" s="12">
        <f>D5*C5</f>
        <v>338000</v>
      </c>
    </row>
    <row r="6" spans="1:5" x14ac:dyDescent="0.4">
      <c r="A6" s="10" t="s">
        <v>4</v>
      </c>
      <c r="B6" s="3" t="s">
        <v>18</v>
      </c>
      <c r="C6" s="18">
        <v>23000</v>
      </c>
      <c r="D6" s="11">
        <v>20</v>
      </c>
      <c r="E6" s="12">
        <f>D6*C6</f>
        <v>460000</v>
      </c>
    </row>
    <row r="7" spans="1:5" x14ac:dyDescent="0.4">
      <c r="A7" s="10" t="s">
        <v>5</v>
      </c>
      <c r="B7" s="19">
        <v>16800</v>
      </c>
      <c r="C7" s="4">
        <v>17900</v>
      </c>
      <c r="D7" s="11">
        <v>20</v>
      </c>
      <c r="E7" s="12">
        <f>D7*B7</f>
        <v>336000</v>
      </c>
    </row>
    <row r="8" spans="1:5" x14ac:dyDescent="0.4">
      <c r="A8" s="10" t="s">
        <v>6</v>
      </c>
      <c r="B8" s="3" t="s">
        <v>17</v>
      </c>
      <c r="C8" s="18">
        <v>18800</v>
      </c>
      <c r="D8" s="11">
        <v>20</v>
      </c>
      <c r="E8" s="12">
        <f>D8*C8</f>
        <v>376000</v>
      </c>
    </row>
    <row r="9" spans="1:5" x14ac:dyDescent="0.4">
      <c r="A9" s="10" t="s">
        <v>7</v>
      </c>
      <c r="B9" s="19">
        <v>15800</v>
      </c>
      <c r="C9" s="4">
        <v>18100</v>
      </c>
      <c r="D9" s="11">
        <v>20</v>
      </c>
      <c r="E9" s="12">
        <f>D9*B9</f>
        <v>316000</v>
      </c>
    </row>
    <row r="10" spans="1:5" x14ac:dyDescent="0.4">
      <c r="A10" s="10" t="s">
        <v>8</v>
      </c>
      <c r="B10" s="3">
        <v>16000</v>
      </c>
      <c r="C10" s="18">
        <v>14900</v>
      </c>
      <c r="D10" s="11">
        <v>20</v>
      </c>
      <c r="E10" s="12">
        <f>D10*C10</f>
        <v>298000</v>
      </c>
    </row>
    <row r="11" spans="1:5" x14ac:dyDescent="0.4">
      <c r="A11" s="13" t="s">
        <v>10</v>
      </c>
      <c r="B11" s="20">
        <v>25000</v>
      </c>
      <c r="C11" s="5">
        <v>26600</v>
      </c>
      <c r="D11" s="11">
        <v>20</v>
      </c>
      <c r="E11" s="12">
        <f>D11*B11</f>
        <v>500000</v>
      </c>
    </row>
    <row r="12" spans="1:5" x14ac:dyDescent="0.4">
      <c r="A12" s="13" t="s">
        <v>11</v>
      </c>
      <c r="B12" s="20">
        <v>22000</v>
      </c>
      <c r="C12" s="5">
        <v>22300</v>
      </c>
      <c r="D12" s="11">
        <v>20</v>
      </c>
      <c r="E12" s="12">
        <f>D12*B12</f>
        <v>440000</v>
      </c>
    </row>
    <row r="13" spans="1:5" x14ac:dyDescent="0.4">
      <c r="A13" s="10" t="s">
        <v>9</v>
      </c>
      <c r="B13" s="19">
        <v>14600</v>
      </c>
      <c r="C13" s="4">
        <v>15800</v>
      </c>
      <c r="D13" s="11">
        <v>100</v>
      </c>
      <c r="E13" s="12">
        <f>D13*B13</f>
        <v>1460000</v>
      </c>
    </row>
    <row r="14" spans="1:5" x14ac:dyDescent="0.4">
      <c r="A14" s="13" t="s">
        <v>12</v>
      </c>
      <c r="B14" s="20">
        <v>12500</v>
      </c>
      <c r="C14" s="5">
        <v>13000</v>
      </c>
      <c r="D14" s="11">
        <v>200</v>
      </c>
      <c r="E14" s="12">
        <f>D14*B14</f>
        <v>2500000</v>
      </c>
    </row>
    <row r="15" spans="1:5" ht="18" thickBot="1" x14ac:dyDescent="0.45">
      <c r="A15" s="14" t="s">
        <v>13</v>
      </c>
      <c r="B15" s="21">
        <v>12000</v>
      </c>
      <c r="C15" s="6">
        <v>13100</v>
      </c>
      <c r="D15" s="15">
        <v>300</v>
      </c>
      <c r="E15" s="16">
        <f>D15*B15</f>
        <v>3600000</v>
      </c>
    </row>
    <row r="16" spans="1:5" ht="18" thickBot="1" x14ac:dyDescent="0.45">
      <c r="A16" s="32" t="s">
        <v>22</v>
      </c>
      <c r="B16" s="33"/>
      <c r="C16" s="34"/>
      <c r="D16" s="33">
        <f>SUM(E4:E15)</f>
        <v>11052000</v>
      </c>
      <c r="E16" s="34"/>
    </row>
  </sheetData>
  <mergeCells count="4">
    <mergeCell ref="B2:C2"/>
    <mergeCell ref="D2:E2"/>
    <mergeCell ref="A16:C16"/>
    <mergeCell ref="D16:E16"/>
  </mergeCells>
  <phoneticPr fontId="2" type="noConversion"/>
  <pageMargins left="0.7" right="0.7" top="0.75" bottom="0.75" header="0.3" footer="0.3"/>
  <ignoredErrors>
    <ignoredError sqref="E7:E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정</dc:creator>
  <cp:lastModifiedBy>승현 정</cp:lastModifiedBy>
  <dcterms:created xsi:type="dcterms:W3CDTF">2026-04-06T07:19:57Z</dcterms:created>
  <dcterms:modified xsi:type="dcterms:W3CDTF">2026-04-06T07:43:33Z</dcterms:modified>
</cp:coreProperties>
</file>