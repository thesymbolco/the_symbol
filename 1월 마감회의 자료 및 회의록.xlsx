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kcg/The Symbol/인수인계/"/>
    </mc:Choice>
  </mc:AlternateContent>
  <xr:revisionPtr revIDLastSave="0" documentId="13_ncr:1_{769ECDE0-8985-AB43-BB4F-99AF38FE1244}" xr6:coauthVersionLast="47" xr6:coauthVersionMax="47" xr10:uidLastSave="{00000000-0000-0000-0000-000000000000}"/>
  <bookViews>
    <workbookView xWindow="0" yWindow="680" windowWidth="30240" windowHeight="17640" xr2:uid="{FB10F0DA-F4AD-43C1-A4A0-4F604D800CE7}"/>
  </bookViews>
  <sheets>
    <sheet name="라미랑드" sheetId="1" r:id="rId1"/>
    <sheet name="12월 회의록 정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5" i="1" l="1"/>
  <c r="N22" i="1"/>
  <c r="N27" i="1"/>
  <c r="N23" i="1"/>
  <c r="N26" i="1"/>
  <c r="N25" i="1"/>
  <c r="N21" i="1"/>
  <c r="N28" i="1"/>
  <c r="N24" i="1"/>
  <c r="H54" i="1"/>
  <c r="H53" i="1"/>
  <c r="K41" i="1"/>
  <c r="J41" i="1" s="1"/>
  <c r="J40" i="1"/>
  <c r="G40" i="1"/>
  <c r="D40" i="1"/>
  <c r="I35" i="1"/>
  <c r="H35" i="1" s="1"/>
  <c r="H34" i="1"/>
  <c r="F34" i="1"/>
  <c r="C34" i="1"/>
  <c r="C28" i="1"/>
  <c r="C12" i="1"/>
  <c r="G13" i="1"/>
  <c r="H9" i="1" s="1"/>
  <c r="K8" i="1"/>
  <c r="K42" i="1"/>
  <c r="I36" i="1"/>
  <c r="F35" i="1" l="1"/>
  <c r="C35" i="1"/>
  <c r="D41" i="1"/>
  <c r="G41" i="1"/>
  <c r="H6" i="1"/>
  <c r="C13" i="1"/>
  <c r="H11" i="1"/>
  <c r="H10" i="1"/>
  <c r="E11" i="1"/>
  <c r="H7" i="1"/>
  <c r="H12" i="1"/>
  <c r="H8" i="1"/>
  <c r="H5" i="1"/>
  <c r="E27" i="1"/>
  <c r="E24" i="1" l="1"/>
  <c r="E25" i="1"/>
  <c r="E26" i="1"/>
  <c r="C36" i="1" l="1"/>
  <c r="F36" i="1"/>
  <c r="H36" i="1"/>
  <c r="B30" i="1"/>
  <c r="C30" i="1"/>
  <c r="H55" i="1" l="1"/>
  <c r="J42" i="1" l="1"/>
  <c r="G42" i="1"/>
  <c r="D42" i="1"/>
  <c r="L6" i="1"/>
  <c r="D30" i="1"/>
  <c r="E23" i="1"/>
  <c r="E22" i="1"/>
  <c r="E21" i="1"/>
  <c r="E7" i="1" l="1"/>
  <c r="E6" i="1"/>
  <c r="E8" i="1"/>
  <c r="E5" i="1"/>
  <c r="E10" i="1"/>
  <c r="E9" i="1"/>
  <c r="E28" i="1"/>
  <c r="L7" i="1"/>
  <c r="L5" i="1"/>
</calcChain>
</file>

<file path=xl/sharedStrings.xml><?xml version="1.0" encoding="utf-8"?>
<sst xmlns="http://schemas.openxmlformats.org/spreadsheetml/2006/main" count="121" uniqueCount="91">
  <si>
    <t>매출</t>
    <phoneticPr fontId="3" type="noConversion"/>
  </si>
  <si>
    <t>금액</t>
    <phoneticPr fontId="3" type="noConversion"/>
  </si>
  <si>
    <t>점유비</t>
    <phoneticPr fontId="3" type="noConversion"/>
  </si>
  <si>
    <t>①현금</t>
    <phoneticPr fontId="3" type="noConversion"/>
  </si>
  <si>
    <t>②현금영수증</t>
    <phoneticPr fontId="3" type="noConversion"/>
  </si>
  <si>
    <t>③계좌이체</t>
    <phoneticPr fontId="3" type="noConversion"/>
  </si>
  <si>
    <t>④카드</t>
    <phoneticPr fontId="3" type="noConversion"/>
  </si>
  <si>
    <t>⑤배달의 민족</t>
    <phoneticPr fontId="3" type="noConversion"/>
  </si>
  <si>
    <t>⑥쿠팡</t>
    <phoneticPr fontId="3" type="noConversion"/>
  </si>
  <si>
    <t>⑦땡겨요</t>
    <phoneticPr fontId="3" type="noConversion"/>
  </si>
  <si>
    <t>⑧총매출</t>
    <phoneticPr fontId="3" type="noConversion"/>
  </si>
  <si>
    <t>⑨순이익</t>
    <phoneticPr fontId="3" type="noConversion"/>
  </si>
  <si>
    <t>비용</t>
    <phoneticPr fontId="3" type="noConversion"/>
  </si>
  <si>
    <t>①재료비</t>
    <phoneticPr fontId="3" type="noConversion"/>
  </si>
  <si>
    <t>②기타</t>
    <phoneticPr fontId="3" type="noConversion"/>
  </si>
  <si>
    <t>③임대료</t>
    <phoneticPr fontId="3" type="noConversion"/>
  </si>
  <si>
    <t>④관리비</t>
    <phoneticPr fontId="3" type="noConversion"/>
  </si>
  <si>
    <t>⑥전기세</t>
    <phoneticPr fontId="3" type="noConversion"/>
  </si>
  <si>
    <t>⑦세금과공과</t>
    <phoneticPr fontId="3" type="noConversion"/>
  </si>
  <si>
    <r>
      <rPr>
        <sz val="11"/>
        <color theme="1"/>
        <rFont val="맑은 고딕"/>
        <family val="3"/>
        <charset val="129"/>
      </rPr>
      <t>⑧</t>
    </r>
    <r>
      <rPr>
        <sz val="11"/>
        <color theme="1"/>
        <rFont val="맑은 고딕"/>
        <family val="3"/>
        <charset val="129"/>
        <scheme val="minor"/>
      </rPr>
      <t>인건비</t>
    </r>
    <phoneticPr fontId="3" type="noConversion"/>
  </si>
  <si>
    <t>⑨비용계</t>
    <phoneticPr fontId="3" type="noConversion"/>
  </si>
  <si>
    <t>1-2. 재료비 세부사항</t>
    <phoneticPr fontId="3" type="noConversion"/>
  </si>
  <si>
    <t>①경성물류</t>
    <phoneticPr fontId="3" type="noConversion"/>
  </si>
  <si>
    <t>③디저트재료</t>
    <phoneticPr fontId="3" type="noConversion"/>
  </si>
  <si>
    <t>비용계</t>
    <phoneticPr fontId="3" type="noConversion"/>
  </si>
  <si>
    <t>1-3. 기타 세부사항</t>
    <phoneticPr fontId="3" type="noConversion"/>
  </si>
  <si>
    <t>①생각대로 배달료</t>
    <phoneticPr fontId="3" type="noConversion"/>
  </si>
  <si>
    <t>②택배비</t>
    <phoneticPr fontId="3" type="noConversion"/>
  </si>
  <si>
    <t>1. 당월 매출</t>
    <phoneticPr fontId="3" type="noConversion"/>
  </si>
  <si>
    <t>1-1. 당월 비용현황</t>
    <phoneticPr fontId="3" type="noConversion"/>
  </si>
  <si>
    <t>거래처명</t>
    <phoneticPr fontId="3" type="noConversion"/>
  </si>
  <si>
    <t>11월</t>
    <phoneticPr fontId="3" type="noConversion"/>
  </si>
  <si>
    <t>당월 점유비</t>
    <phoneticPr fontId="3" type="noConversion"/>
  </si>
  <si>
    <t>라미랑드</t>
    <phoneticPr fontId="3" type="noConversion"/>
  </si>
  <si>
    <t>길 브런치(전체)</t>
    <phoneticPr fontId="3" type="noConversion"/>
  </si>
  <si>
    <t>메리본</t>
    <phoneticPr fontId="3" type="noConversion"/>
  </si>
  <si>
    <t>팜에이트</t>
    <phoneticPr fontId="3" type="noConversion"/>
  </si>
  <si>
    <t>카푸치노</t>
    <phoneticPr fontId="3" type="noConversion"/>
  </si>
  <si>
    <t>브릿지로지스틱스</t>
    <phoneticPr fontId="3" type="noConversion"/>
  </si>
  <si>
    <t>그랜드타이어 전체</t>
    <phoneticPr fontId="3" type="noConversion"/>
  </si>
  <si>
    <t>합  계</t>
    <phoneticPr fontId="3" type="noConversion"/>
  </si>
  <si>
    <t>생두비용</t>
    <phoneticPr fontId="3" type="noConversion"/>
  </si>
  <si>
    <t>순이익</t>
    <phoneticPr fontId="3" type="noConversion"/>
  </si>
  <si>
    <t>2. 로스팅실 매출 및 생두비용현황</t>
    <phoneticPr fontId="3" type="noConversion"/>
  </si>
  <si>
    <t>커피 및 음료</t>
    <phoneticPr fontId="3" type="noConversion"/>
  </si>
  <si>
    <t>더치 및 원두</t>
    <phoneticPr fontId="3" type="noConversion"/>
  </si>
  <si>
    <t>디저트</t>
    <phoneticPr fontId="3" type="noConversion"/>
  </si>
  <si>
    <t>총액</t>
    <phoneticPr fontId="3" type="noConversion"/>
  </si>
  <si>
    <t>건수</t>
    <phoneticPr fontId="3" type="noConversion"/>
  </si>
  <si>
    <t xml:space="preserve">건수 </t>
    <phoneticPr fontId="3" type="noConversion"/>
  </si>
  <si>
    <t xml:space="preserve">점유비 </t>
    <phoneticPr fontId="3" type="noConversion"/>
  </si>
  <si>
    <t>3. 매장 전체 판매 현황</t>
    <phoneticPr fontId="3" type="noConversion"/>
  </si>
  <si>
    <t>홀판매</t>
    <phoneticPr fontId="3" type="noConversion"/>
  </si>
  <si>
    <t>3-1. 홀판매 현황</t>
    <phoneticPr fontId="3" type="noConversion"/>
  </si>
  <si>
    <t>쿠팡/ 땡겨요</t>
    <phoneticPr fontId="3" type="noConversion"/>
  </si>
  <si>
    <t>배달의 민족</t>
    <phoneticPr fontId="3" type="noConversion"/>
  </si>
  <si>
    <t>4. 생산현황</t>
    <phoneticPr fontId="3" type="noConversion"/>
  </si>
  <si>
    <t>로스팅</t>
    <phoneticPr fontId="3" type="noConversion"/>
  </si>
  <si>
    <t>더치(L)</t>
    <phoneticPr fontId="3" type="noConversion"/>
  </si>
  <si>
    <t>원두(KG)</t>
    <phoneticPr fontId="3" type="noConversion"/>
  </si>
  <si>
    <t>디저트(EA)</t>
    <phoneticPr fontId="3" type="noConversion"/>
  </si>
  <si>
    <t>조각케이크</t>
    <phoneticPr fontId="3" type="noConversion"/>
  </si>
  <si>
    <t>휘낭시에</t>
    <phoneticPr fontId="3" type="noConversion"/>
  </si>
  <si>
    <t>까눌레</t>
    <phoneticPr fontId="3" type="noConversion"/>
  </si>
  <si>
    <t>주문케이크</t>
    <phoneticPr fontId="3" type="noConversion"/>
  </si>
  <si>
    <t>5. 재고현황</t>
    <phoneticPr fontId="3" type="noConversion"/>
  </si>
  <si>
    <t>생두</t>
    <phoneticPr fontId="3" type="noConversion"/>
  </si>
  <si>
    <t>원두</t>
    <phoneticPr fontId="3" type="noConversion"/>
  </si>
  <si>
    <t>더치</t>
    <phoneticPr fontId="3" type="noConversion"/>
  </si>
  <si>
    <t>디저트재료</t>
    <phoneticPr fontId="3" type="noConversion"/>
  </si>
  <si>
    <t>더치용 싱글 재고</t>
    <phoneticPr fontId="3" type="noConversion"/>
  </si>
  <si>
    <t>6. 진행사항</t>
    <phoneticPr fontId="3" type="noConversion"/>
  </si>
  <si>
    <t>12월</t>
    <phoneticPr fontId="3" type="noConversion"/>
  </si>
  <si>
    <t>②매장음료,재료,</t>
    <phoneticPr fontId="3" type="noConversion"/>
  </si>
  <si>
    <t>⑨로스팅실원두</t>
    <phoneticPr fontId="3" type="noConversion"/>
  </si>
  <si>
    <t>에그타르트</t>
    <phoneticPr fontId="3" type="noConversion"/>
  </si>
  <si>
    <t>스콘</t>
    <phoneticPr fontId="3" type="noConversion"/>
  </si>
  <si>
    <t>브라우니</t>
    <phoneticPr fontId="3" type="noConversion"/>
  </si>
  <si>
    <t>마카롱</t>
    <phoneticPr fontId="3" type="noConversion"/>
  </si>
  <si>
    <t>1월</t>
    <phoneticPr fontId="3" type="noConversion"/>
  </si>
  <si>
    <t>■ 1월마감 보고회의</t>
    <phoneticPr fontId="3" type="noConversion"/>
  </si>
  <si>
    <t>■1월 회의록</t>
    <phoneticPr fontId="3" type="noConversion"/>
  </si>
  <si>
    <t>건마트</t>
    <phoneticPr fontId="3" type="noConversion"/>
  </si>
  <si>
    <t>참생사</t>
    <phoneticPr fontId="3" type="noConversion"/>
  </si>
  <si>
    <t>탑마트</t>
    <phoneticPr fontId="3" type="noConversion"/>
  </si>
  <si>
    <t>경성물류</t>
    <phoneticPr fontId="3" type="noConversion"/>
  </si>
  <si>
    <t>박주형</t>
    <phoneticPr fontId="3" type="noConversion"/>
  </si>
  <si>
    <t>네이버</t>
    <phoneticPr fontId="3" type="noConversion"/>
  </si>
  <si>
    <t>농축산마트</t>
    <phoneticPr fontId="3" type="noConversion"/>
  </si>
  <si>
    <t>③프린터 잉크</t>
    <phoneticPr fontId="3" type="noConversion"/>
  </si>
  <si>
    <t>④그랜드타이어 머신기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</si>
</sst>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176" fontId="4" fillId="0" borderId="1" xfId="1" applyFont="1" applyBorder="1" applyAlignment="1">
      <alignment horizontal="center" vertical="center"/>
    </xf>
    <xf numFmtId="176" fontId="4" fillId="0" borderId="1" xfId="1" applyFont="1" applyBorder="1">
      <alignment vertical="center"/>
    </xf>
    <xf numFmtId="0" fontId="4" fillId="0" borderId="6" xfId="0" applyFont="1" applyBorder="1" applyAlignment="1">
      <alignment horizontal="left" vertical="center"/>
    </xf>
    <xf numFmtId="177" fontId="4" fillId="0" borderId="7" xfId="2" applyNumberFormat="1" applyFont="1" applyBorder="1">
      <alignment vertical="center"/>
    </xf>
    <xf numFmtId="176" fontId="2" fillId="2" borderId="10" xfId="1" applyFont="1" applyFill="1" applyBorder="1" applyAlignment="1">
      <alignment horizontal="center" vertical="center"/>
    </xf>
    <xf numFmtId="0" fontId="4" fillId="0" borderId="11" xfId="0" applyFont="1" applyBorder="1">
      <alignment vertical="center"/>
    </xf>
    <xf numFmtId="176" fontId="2" fillId="0" borderId="0" xfId="1" applyFont="1" applyFill="1" applyBorder="1" applyAlignment="1">
      <alignment horizontal="center" vertical="center"/>
    </xf>
    <xf numFmtId="176" fontId="2" fillId="2" borderId="11" xfId="1" applyFont="1" applyFill="1" applyBorder="1" applyAlignment="1">
      <alignment horizontal="center" vertical="center"/>
    </xf>
    <xf numFmtId="176" fontId="4" fillId="4" borderId="1" xfId="1" applyFont="1" applyFill="1" applyBorder="1" applyAlignment="1">
      <alignment horizontal="left" vertical="center"/>
    </xf>
    <xf numFmtId="176" fontId="4" fillId="4" borderId="7" xfId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1" xfId="1" applyFont="1" applyBorder="1">
      <alignment vertical="center"/>
    </xf>
    <xf numFmtId="176" fontId="0" fillId="0" borderId="10" xfId="1" applyFont="1" applyBorder="1">
      <alignment vertical="center"/>
    </xf>
    <xf numFmtId="176" fontId="0" fillId="0" borderId="2" xfId="1" applyFont="1" applyBorder="1">
      <alignment vertical="center"/>
    </xf>
    <xf numFmtId="176" fontId="0" fillId="0" borderId="15" xfId="1" applyFont="1" applyBorder="1">
      <alignment vertical="center"/>
    </xf>
    <xf numFmtId="176" fontId="0" fillId="0" borderId="0" xfId="1" applyFont="1" applyFill="1" applyBorder="1">
      <alignment vertical="center"/>
    </xf>
    <xf numFmtId="177" fontId="0" fillId="0" borderId="0" xfId="2" applyNumberFormat="1" applyFont="1" applyFill="1" applyBorder="1">
      <alignment vertical="center"/>
    </xf>
    <xf numFmtId="0" fontId="0" fillId="0" borderId="16" xfId="0" applyBorder="1">
      <alignment vertical="center"/>
    </xf>
    <xf numFmtId="176" fontId="0" fillId="0" borderId="14" xfId="1" applyFont="1" applyBorder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4" fillId="4" borderId="24" xfId="1" applyFont="1" applyFill="1" applyBorder="1" applyAlignment="1">
      <alignment horizontal="left" vertical="center"/>
    </xf>
    <xf numFmtId="176" fontId="4" fillId="4" borderId="25" xfId="1" applyFont="1" applyFill="1" applyBorder="1" applyAlignment="1">
      <alignment horizontal="left" vertical="center"/>
    </xf>
    <xf numFmtId="176" fontId="2" fillId="3" borderId="27" xfId="1" applyFont="1" applyFill="1" applyBorder="1" applyAlignment="1">
      <alignment horizontal="center" vertical="center"/>
    </xf>
    <xf numFmtId="176" fontId="2" fillId="3" borderId="28" xfId="1" applyFont="1" applyFill="1" applyBorder="1" applyAlignment="1">
      <alignment horizontal="center" vertical="center"/>
    </xf>
    <xf numFmtId="176" fontId="0" fillId="0" borderId="3" xfId="1" applyFont="1" applyBorder="1">
      <alignment vertical="center"/>
    </xf>
    <xf numFmtId="177" fontId="0" fillId="3" borderId="5" xfId="2" applyNumberFormat="1" applyFont="1" applyFill="1" applyBorder="1">
      <alignment vertical="center"/>
    </xf>
    <xf numFmtId="176" fontId="0" fillId="0" borderId="6" xfId="1" applyFont="1" applyBorder="1">
      <alignment vertical="center"/>
    </xf>
    <xf numFmtId="176" fontId="0" fillId="0" borderId="9" xfId="1" applyFont="1" applyBorder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176" fontId="2" fillId="2" borderId="29" xfId="1" applyFont="1" applyFill="1" applyBorder="1" applyAlignment="1">
      <alignment horizontal="center" vertical="center"/>
    </xf>
    <xf numFmtId="177" fontId="4" fillId="2" borderId="30" xfId="2" applyNumberFormat="1" applyFont="1" applyFill="1" applyBorder="1">
      <alignment vertical="center"/>
    </xf>
    <xf numFmtId="0" fontId="4" fillId="0" borderId="3" xfId="0" applyFont="1" applyBorder="1" applyAlignment="1">
      <alignment horizontal="left" vertical="center"/>
    </xf>
    <xf numFmtId="177" fontId="4" fillId="0" borderId="5" xfId="2" applyNumberFormat="1" applyFont="1" applyBorder="1">
      <alignment vertical="center"/>
    </xf>
    <xf numFmtId="176" fontId="4" fillId="0" borderId="4" xfId="1" applyFont="1" applyFill="1" applyBorder="1" applyAlignment="1">
      <alignment horizontal="center" vertical="center"/>
    </xf>
    <xf numFmtId="177" fontId="4" fillId="0" borderId="11" xfId="2" applyNumberFormat="1" applyFont="1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0" fillId="0" borderId="5" xfId="0" applyBorder="1" applyAlignment="1">
      <alignment horizontal="right" vertical="center"/>
    </xf>
    <xf numFmtId="0" fontId="2" fillId="4" borderId="36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7" fillId="0" borderId="8" xfId="0" applyFont="1" applyBorder="1">
      <alignment vertical="center"/>
    </xf>
    <xf numFmtId="177" fontId="4" fillId="0" borderId="38" xfId="2" applyNumberFormat="1" applyFont="1" applyBorder="1">
      <alignment vertical="center"/>
    </xf>
    <xf numFmtId="177" fontId="4" fillId="0" borderId="22" xfId="2" applyNumberFormat="1" applyFont="1" applyBorder="1">
      <alignment vertical="center"/>
    </xf>
    <xf numFmtId="0" fontId="8" fillId="2" borderId="20" xfId="0" applyFont="1" applyFill="1" applyBorder="1">
      <alignment vertical="center"/>
    </xf>
    <xf numFmtId="0" fontId="2" fillId="2" borderId="23" xfId="0" applyFont="1" applyFill="1" applyBorder="1">
      <alignment vertical="center"/>
    </xf>
    <xf numFmtId="176" fontId="4" fillId="3" borderId="40" xfId="0" applyNumberFormat="1" applyFont="1" applyFill="1" applyBorder="1">
      <alignment vertical="center"/>
    </xf>
    <xf numFmtId="176" fontId="4" fillId="3" borderId="41" xfId="0" applyNumberFormat="1" applyFont="1" applyFill="1" applyBorder="1">
      <alignment vertical="center"/>
    </xf>
    <xf numFmtId="176" fontId="2" fillId="2" borderId="26" xfId="0" applyNumberFormat="1" applyFont="1" applyFill="1" applyBorder="1">
      <alignment vertical="center"/>
    </xf>
    <xf numFmtId="176" fontId="2" fillId="2" borderId="27" xfId="0" applyNumberFormat="1" applyFont="1" applyFill="1" applyBorder="1">
      <alignment vertical="center"/>
    </xf>
    <xf numFmtId="176" fontId="2" fillId="2" borderId="28" xfId="0" applyNumberFormat="1" applyFont="1" applyFill="1" applyBorder="1">
      <alignment vertical="center"/>
    </xf>
    <xf numFmtId="176" fontId="0" fillId="2" borderId="21" xfId="1" applyFont="1" applyFill="1" applyBorder="1">
      <alignment vertical="center"/>
    </xf>
    <xf numFmtId="176" fontId="0" fillId="2" borderId="22" xfId="1" applyFont="1" applyFill="1" applyBorder="1">
      <alignment vertical="center"/>
    </xf>
    <xf numFmtId="176" fontId="0" fillId="2" borderId="23" xfId="1" applyFont="1" applyFill="1" applyBorder="1">
      <alignment vertical="center"/>
    </xf>
    <xf numFmtId="176" fontId="0" fillId="0" borderId="4" xfId="1" applyFont="1" applyBorder="1">
      <alignment vertical="center"/>
    </xf>
    <xf numFmtId="177" fontId="0" fillId="3" borderId="7" xfId="2" applyNumberFormat="1" applyFont="1" applyFill="1" applyBorder="1">
      <alignment vertical="center"/>
    </xf>
    <xf numFmtId="177" fontId="0" fillId="3" borderId="11" xfId="2" applyNumberFormat="1" applyFont="1" applyFill="1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176" fontId="0" fillId="0" borderId="42" xfId="1" applyFont="1" applyBorder="1">
      <alignment vertical="center"/>
    </xf>
    <xf numFmtId="176" fontId="0" fillId="0" borderId="43" xfId="1" applyFont="1" applyBorder="1">
      <alignment vertical="center"/>
    </xf>
    <xf numFmtId="176" fontId="0" fillId="0" borderId="44" xfId="1" applyFont="1" applyBorder="1">
      <alignment vertical="center"/>
    </xf>
    <xf numFmtId="176" fontId="0" fillId="2" borderId="17" xfId="0" applyNumberFormat="1" applyFill="1" applyBorder="1">
      <alignment vertical="center"/>
    </xf>
    <xf numFmtId="176" fontId="0" fillId="2" borderId="18" xfId="0" applyNumberFormat="1" applyFill="1" applyBorder="1">
      <alignment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7" fontId="0" fillId="3" borderId="42" xfId="2" applyNumberFormat="1" applyFont="1" applyFill="1" applyBorder="1">
      <alignment vertical="center"/>
    </xf>
    <xf numFmtId="177" fontId="0" fillId="3" borderId="43" xfId="2" applyNumberFormat="1" applyFont="1" applyFill="1" applyBorder="1">
      <alignment vertical="center"/>
    </xf>
    <xf numFmtId="177" fontId="0" fillId="3" borderId="44" xfId="2" applyNumberFormat="1" applyFont="1" applyFill="1" applyBorder="1">
      <alignment vertical="center"/>
    </xf>
    <xf numFmtId="0" fontId="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39" xfId="0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76" fontId="0" fillId="0" borderId="0" xfId="1" applyFont="1">
      <alignment vertical="center"/>
    </xf>
    <xf numFmtId="176" fontId="0" fillId="0" borderId="0" xfId="0" applyNumberFormat="1">
      <alignment vertical="center"/>
    </xf>
    <xf numFmtId="176" fontId="0" fillId="0" borderId="0" xfId="1" applyFont="1" applyFill="1">
      <alignment vertical="center"/>
    </xf>
    <xf numFmtId="3" fontId="4" fillId="0" borderId="17" xfId="0" applyNumberFormat="1" applyFont="1" applyBorder="1">
      <alignment vertical="center"/>
    </xf>
    <xf numFmtId="176" fontId="0" fillId="0" borderId="17" xfId="1" applyFont="1" applyBorder="1">
      <alignment vertical="center"/>
    </xf>
    <xf numFmtId="176" fontId="0" fillId="0" borderId="17" xfId="1" applyFont="1" applyBorder="1" applyAlignment="1">
      <alignment horizontal="center" vertical="center"/>
    </xf>
    <xf numFmtId="176" fontId="4" fillId="0" borderId="17" xfId="1" applyFont="1" applyBorder="1">
      <alignment vertical="center"/>
    </xf>
    <xf numFmtId="176" fontId="2" fillId="2" borderId="18" xfId="1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left" vertical="center"/>
    </xf>
    <xf numFmtId="176" fontId="4" fillId="4" borderId="40" xfId="1" applyFont="1" applyFill="1" applyBorder="1" applyAlignment="1">
      <alignment horizontal="left" vertical="center"/>
    </xf>
    <xf numFmtId="176" fontId="4" fillId="4" borderId="41" xfId="1" applyFont="1" applyFill="1" applyBorder="1" applyAlignment="1">
      <alignment horizontal="left" vertical="center"/>
    </xf>
    <xf numFmtId="0" fontId="2" fillId="4" borderId="19" xfId="0" applyFont="1" applyFill="1" applyBorder="1" applyAlignment="1">
      <alignment horizontal="left" vertical="center"/>
    </xf>
    <xf numFmtId="176" fontId="2" fillId="3" borderId="4" xfId="1" applyFont="1" applyFill="1" applyBorder="1" applyAlignment="1">
      <alignment horizontal="left" vertical="center"/>
    </xf>
    <xf numFmtId="176" fontId="2" fillId="3" borderId="5" xfId="1" applyFont="1" applyFill="1" applyBorder="1" applyAlignment="1">
      <alignment horizontal="left" vertical="center"/>
    </xf>
    <xf numFmtId="177" fontId="4" fillId="0" borderId="51" xfId="2" applyNumberFormat="1" applyFont="1" applyBorder="1">
      <alignment vertical="center"/>
    </xf>
    <xf numFmtId="177" fontId="4" fillId="0" borderId="21" xfId="0" applyNumberFormat="1" applyFont="1" applyBorder="1">
      <alignment vertical="center"/>
    </xf>
    <xf numFmtId="177" fontId="4" fillId="0" borderId="22" xfId="0" applyNumberFormat="1" applyFont="1" applyBorder="1">
      <alignment vertical="center"/>
    </xf>
    <xf numFmtId="3" fontId="0" fillId="0" borderId="0" xfId="0" applyNumberFormat="1">
      <alignment vertical="center"/>
    </xf>
    <xf numFmtId="177" fontId="4" fillId="0" borderId="44" xfId="2" applyNumberFormat="1" applyFont="1" applyBorder="1">
      <alignment vertical="center"/>
    </xf>
    <xf numFmtId="0" fontId="4" fillId="0" borderId="52" xfId="0" applyFont="1" applyBorder="1">
      <alignment vertical="center"/>
    </xf>
    <xf numFmtId="176" fontId="4" fillId="4" borderId="10" xfId="1" applyFont="1" applyFill="1" applyBorder="1" applyAlignment="1">
      <alignment horizontal="center" vertical="center"/>
    </xf>
    <xf numFmtId="176" fontId="0" fillId="0" borderId="0" xfId="1" applyFont="1" applyBorder="1">
      <alignment vertical="center"/>
    </xf>
    <xf numFmtId="176" fontId="10" fillId="0" borderId="0" xfId="1" applyFont="1" applyFill="1" applyBorder="1" applyAlignment="1">
      <alignment horizontal="right" vertical="center"/>
    </xf>
    <xf numFmtId="177" fontId="4" fillId="0" borderId="42" xfId="2" applyNumberFormat="1" applyFont="1" applyBorder="1">
      <alignment vertical="center"/>
    </xf>
    <xf numFmtId="177" fontId="4" fillId="0" borderId="43" xfId="2" applyNumberFormat="1" applyFont="1" applyBorder="1">
      <alignment vertical="center"/>
    </xf>
    <xf numFmtId="0" fontId="4" fillId="4" borderId="9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2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0" fillId="0" borderId="40" xfId="0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2" fillId="0" borderId="55" xfId="0" applyFont="1" applyBorder="1" applyAlignment="1">
      <alignment horizontal="center" vertical="center"/>
    </xf>
    <xf numFmtId="3" fontId="4" fillId="0" borderId="0" xfId="0" applyNumberFormat="1" applyFo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176" fontId="0" fillId="0" borderId="6" xfId="1" applyFont="1" applyFill="1" applyBorder="1" applyAlignment="1">
      <alignment horizontal="center" vertical="center"/>
    </xf>
    <xf numFmtId="176" fontId="0" fillId="0" borderId="1" xfId="1" applyFont="1" applyFill="1" applyBorder="1" applyAlignment="1">
      <alignment horizontal="center" vertical="center"/>
    </xf>
    <xf numFmtId="176" fontId="0" fillId="0" borderId="9" xfId="1" applyFont="1" applyFill="1" applyBorder="1" applyAlignment="1">
      <alignment horizontal="center" vertical="center"/>
    </xf>
    <xf numFmtId="176" fontId="0" fillId="0" borderId="10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3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176" fontId="2" fillId="2" borderId="10" xfId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76" fontId="4" fillId="0" borderId="1" xfId="1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176" fontId="4" fillId="0" borderId="44" xfId="1" applyFont="1" applyBorder="1" applyAlignment="1">
      <alignment horizontal="center" vertical="center"/>
    </xf>
    <xf numFmtId="176" fontId="4" fillId="0" borderId="15" xfId="1" applyFont="1" applyBorder="1" applyAlignment="1">
      <alignment horizontal="center" vertical="center"/>
    </xf>
    <xf numFmtId="0" fontId="6" fillId="2" borderId="19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176" fontId="2" fillId="2" borderId="42" xfId="1" applyFont="1" applyFill="1" applyBorder="1" applyAlignment="1">
      <alignment horizontal="center" vertical="center"/>
    </xf>
    <xf numFmtId="176" fontId="2" fillId="2" borderId="14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6" fontId="4" fillId="0" borderId="4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8356-5A42-44B4-A770-343BE1AC17CE}">
  <sheetPr>
    <pageSetUpPr fitToPage="1"/>
  </sheetPr>
  <dimension ref="A1:Q70"/>
  <sheetViews>
    <sheetView tabSelected="1" zoomScale="70" zoomScaleNormal="70" workbookViewId="0">
      <selection activeCell="R23" sqref="R23"/>
    </sheetView>
  </sheetViews>
  <sheetFormatPr baseColWidth="10" defaultColWidth="8.83203125" defaultRowHeight="17"/>
  <cols>
    <col min="1" max="1" width="18.83203125" customWidth="1"/>
    <col min="2" max="2" width="12" customWidth="1"/>
    <col min="3" max="3" width="11" bestFit="1" customWidth="1"/>
    <col min="4" max="4" width="11.1640625" customWidth="1"/>
    <col min="5" max="5" width="11.33203125" customWidth="1"/>
    <col min="6" max="6" width="15" customWidth="1"/>
    <col min="7" max="7" width="16.6640625" customWidth="1"/>
    <col min="8" max="9" width="12.83203125" customWidth="1"/>
    <col min="10" max="10" width="11.5" customWidth="1"/>
    <col min="11" max="11" width="12.6640625" customWidth="1"/>
    <col min="14" max="14" width="11.6640625" style="91" bestFit="1" customWidth="1"/>
    <col min="15" max="16" width="11.1640625" bestFit="1" customWidth="1"/>
    <col min="17" max="17" width="10.1640625" bestFit="1" customWidth="1"/>
  </cols>
  <sheetData>
    <row r="1" spans="1:15">
      <c r="A1" s="1" t="s">
        <v>80</v>
      </c>
    </row>
    <row r="3" spans="1:15" ht="18" thickBot="1">
      <c r="A3" s="1" t="s">
        <v>28</v>
      </c>
      <c r="B3" s="2"/>
      <c r="C3" s="2"/>
      <c r="D3" s="2"/>
      <c r="E3" s="2"/>
      <c r="F3" s="1" t="s">
        <v>29</v>
      </c>
      <c r="I3" s="1" t="s">
        <v>21</v>
      </c>
    </row>
    <row r="4" spans="1:15" ht="18" thickBot="1">
      <c r="A4" s="183" t="s">
        <v>0</v>
      </c>
      <c r="B4" s="184"/>
      <c r="C4" s="184" t="s">
        <v>1</v>
      </c>
      <c r="D4" s="184"/>
      <c r="E4" s="37" t="s">
        <v>2</v>
      </c>
      <c r="F4" s="35" t="s">
        <v>12</v>
      </c>
      <c r="G4" s="36" t="s">
        <v>1</v>
      </c>
      <c r="H4" s="37" t="s">
        <v>2</v>
      </c>
      <c r="I4" s="166" t="s">
        <v>12</v>
      </c>
      <c r="J4" s="167"/>
      <c r="K4" s="26" t="s">
        <v>1</v>
      </c>
      <c r="L4" s="25" t="s">
        <v>2</v>
      </c>
    </row>
    <row r="5" spans="1:15">
      <c r="A5" s="185" t="s">
        <v>3</v>
      </c>
      <c r="B5" s="186"/>
      <c r="C5" s="187"/>
      <c r="D5" s="187"/>
      <c r="E5" s="114" t="e">
        <f>C5/C12</f>
        <v>#DIV/0!</v>
      </c>
      <c r="F5" s="41" t="s">
        <v>13</v>
      </c>
      <c r="G5" s="43">
        <v>3484160</v>
      </c>
      <c r="H5" s="42">
        <f>G5/G13</f>
        <v>0.21348471506767075</v>
      </c>
      <c r="I5" s="153" t="s">
        <v>22</v>
      </c>
      <c r="J5" s="168"/>
      <c r="K5" s="3"/>
      <c r="L5" s="6" t="e">
        <f>K5/K8</f>
        <v>#DIV/0!</v>
      </c>
      <c r="N5" s="112"/>
    </row>
    <row r="6" spans="1:15">
      <c r="A6" s="171" t="s">
        <v>4</v>
      </c>
      <c r="B6" s="172"/>
      <c r="C6" s="173"/>
      <c r="D6" s="173"/>
      <c r="E6" s="115" t="e">
        <f>C6/C12</f>
        <v>#DIV/0!</v>
      </c>
      <c r="F6" s="5" t="s">
        <v>14</v>
      </c>
      <c r="G6" s="3">
        <v>1166210</v>
      </c>
      <c r="H6" s="6">
        <f>G6/G13</f>
        <v>7.1457111487149935E-2</v>
      </c>
      <c r="I6" s="153" t="s">
        <v>73</v>
      </c>
      <c r="J6" s="168"/>
      <c r="K6" s="4"/>
      <c r="L6" s="6" t="e">
        <f>K6/K8</f>
        <v>#DIV/0!</v>
      </c>
      <c r="N6" s="113"/>
    </row>
    <row r="7" spans="1:15">
      <c r="A7" s="182" t="s">
        <v>5</v>
      </c>
      <c r="B7" s="172"/>
      <c r="C7" s="173"/>
      <c r="D7" s="173"/>
      <c r="E7" s="115" t="e">
        <f>C7/C12</f>
        <v>#DIV/0!</v>
      </c>
      <c r="F7" s="5" t="s">
        <v>15</v>
      </c>
      <c r="G7" s="4">
        <v>1980000</v>
      </c>
      <c r="H7" s="6">
        <f>G7/G13</f>
        <v>0.12132041462906069</v>
      </c>
      <c r="I7" s="153" t="s">
        <v>23</v>
      </c>
      <c r="J7" s="168"/>
      <c r="K7" s="4"/>
      <c r="L7" s="6" t="e">
        <f>K7/K8</f>
        <v>#DIV/0!</v>
      </c>
      <c r="N7" s="112"/>
    </row>
    <row r="8" spans="1:15" ht="18" thickBot="1">
      <c r="A8" s="171" t="s">
        <v>6</v>
      </c>
      <c r="B8" s="172"/>
      <c r="C8" s="173"/>
      <c r="D8" s="173"/>
      <c r="E8" s="115" t="e">
        <f>C8/C12</f>
        <v>#DIV/0!</v>
      </c>
      <c r="F8" s="5" t="s">
        <v>16</v>
      </c>
      <c r="G8" s="3">
        <v>328199</v>
      </c>
      <c r="H8" s="6">
        <f>G8/G13</f>
        <v>2.0109716545880348E-2</v>
      </c>
      <c r="I8" s="159" t="s">
        <v>24</v>
      </c>
      <c r="J8" s="169"/>
      <c r="K8" s="7">
        <f>SUM(K4:K7)</f>
        <v>0</v>
      </c>
      <c r="L8" s="10"/>
      <c r="N8"/>
      <c r="O8" s="112"/>
    </row>
    <row r="9" spans="1:15" ht="18" thickBot="1">
      <c r="A9" s="182" t="s">
        <v>7</v>
      </c>
      <c r="B9" s="172"/>
      <c r="C9" s="173"/>
      <c r="D9" s="173"/>
      <c r="E9" s="115" t="e">
        <f>C9/C12</f>
        <v>#DIV/0!</v>
      </c>
      <c r="F9" s="5" t="s">
        <v>17</v>
      </c>
      <c r="G9" s="4">
        <v>500880</v>
      </c>
      <c r="H9" s="6">
        <f>G9/G13</f>
        <v>3.0690388524951474E-2</v>
      </c>
      <c r="I9" s="1" t="s">
        <v>25</v>
      </c>
      <c r="J9" s="1"/>
      <c r="K9" s="2"/>
      <c r="L9" s="9"/>
      <c r="N9"/>
      <c r="O9" s="112"/>
    </row>
    <row r="10" spans="1:15">
      <c r="A10" s="171" t="s">
        <v>8</v>
      </c>
      <c r="B10" s="172"/>
      <c r="C10" s="173"/>
      <c r="D10" s="173"/>
      <c r="E10" s="115" t="e">
        <f>C10/C12</f>
        <v>#DIV/0!</v>
      </c>
      <c r="F10" s="5" t="s">
        <v>18</v>
      </c>
      <c r="G10" s="3">
        <v>2260970</v>
      </c>
      <c r="H10" s="6">
        <f>G10/G13</f>
        <v>0.13853627164841786</v>
      </c>
      <c r="I10" s="166" t="s">
        <v>12</v>
      </c>
      <c r="J10" s="170"/>
      <c r="K10" s="24" t="s">
        <v>1</v>
      </c>
      <c r="N10"/>
      <c r="O10" s="112"/>
    </row>
    <row r="11" spans="1:15" ht="18" thickBot="1">
      <c r="A11" s="174" t="s">
        <v>9</v>
      </c>
      <c r="B11" s="175"/>
      <c r="C11" s="176"/>
      <c r="D11" s="177"/>
      <c r="E11" s="109" t="e">
        <f>C11/C12</f>
        <v>#DIV/0!</v>
      </c>
      <c r="F11" s="5" t="s">
        <v>19</v>
      </c>
      <c r="G11" s="3">
        <v>6600000</v>
      </c>
      <c r="H11" s="6">
        <f>G11/G13</f>
        <v>0.40440138209686893</v>
      </c>
      <c r="I11" s="152" t="s">
        <v>26</v>
      </c>
      <c r="J11" s="153"/>
      <c r="K11" s="94">
        <v>400000</v>
      </c>
      <c r="N11" s="112"/>
    </row>
    <row r="12" spans="1:15" ht="18" thickBot="1">
      <c r="A12" s="178" t="s">
        <v>10</v>
      </c>
      <c r="B12" s="179"/>
      <c r="C12" s="180">
        <f>SUM(C5:D11)</f>
        <v>0</v>
      </c>
      <c r="D12" s="181"/>
      <c r="E12" s="110"/>
      <c r="F12" s="116" t="s">
        <v>74</v>
      </c>
      <c r="G12" s="111"/>
      <c r="H12" s="44">
        <f>G12/G13</f>
        <v>0</v>
      </c>
      <c r="I12" s="152" t="s">
        <v>27</v>
      </c>
      <c r="J12" s="153"/>
      <c r="K12" s="95">
        <v>40970</v>
      </c>
      <c r="N12" s="112"/>
    </row>
    <row r="13" spans="1:15" ht="18" thickBot="1">
      <c r="A13" s="163" t="s">
        <v>11</v>
      </c>
      <c r="B13" s="164"/>
      <c r="C13" s="165">
        <f>C12-G13</f>
        <v>-16320419</v>
      </c>
      <c r="D13" s="165"/>
      <c r="E13" s="8"/>
      <c r="F13" s="38" t="s">
        <v>20</v>
      </c>
      <c r="G13" s="39">
        <f>SUM(G5:G12)</f>
        <v>16320419</v>
      </c>
      <c r="H13" s="40"/>
      <c r="I13" s="152" t="s">
        <v>89</v>
      </c>
      <c r="J13" s="153"/>
      <c r="K13" s="96">
        <v>45240</v>
      </c>
      <c r="N13" s="112"/>
    </row>
    <row r="14" spans="1:15">
      <c r="I14" s="152" t="s">
        <v>90</v>
      </c>
      <c r="J14" s="153"/>
      <c r="K14" s="97">
        <v>680000</v>
      </c>
    </row>
    <row r="15" spans="1:15" ht="18" thickBot="1">
      <c r="F15" s="108"/>
      <c r="G15" s="108"/>
      <c r="I15" s="158" t="s">
        <v>24</v>
      </c>
      <c r="J15" s="159"/>
      <c r="K15" s="98">
        <f>SUM(K11:K14)</f>
        <v>1166210</v>
      </c>
    </row>
    <row r="16" spans="1:15">
      <c r="F16" s="108"/>
      <c r="G16" s="108"/>
      <c r="I16" s="160"/>
      <c r="J16" s="160"/>
      <c r="K16" s="135"/>
    </row>
    <row r="17" spans="1:17">
      <c r="F17" s="108"/>
      <c r="G17" s="108"/>
      <c r="I17" s="160"/>
      <c r="J17" s="160"/>
      <c r="K17" s="9"/>
    </row>
    <row r="18" spans="1:17">
      <c r="G18" s="91"/>
      <c r="N18"/>
    </row>
    <row r="19" spans="1:17" ht="18" thickBot="1">
      <c r="A19" s="1" t="s">
        <v>43</v>
      </c>
      <c r="B19" s="2"/>
      <c r="C19" s="2"/>
      <c r="D19" s="2"/>
      <c r="E19" s="2"/>
      <c r="G19" s="91"/>
    </row>
    <row r="20" spans="1:17" ht="18" thickBot="1">
      <c r="A20" s="80" t="s">
        <v>30</v>
      </c>
      <c r="B20" s="29" t="s">
        <v>31</v>
      </c>
      <c r="C20" s="30" t="s">
        <v>72</v>
      </c>
      <c r="D20" s="30" t="s">
        <v>79</v>
      </c>
      <c r="E20" s="81" t="s">
        <v>32</v>
      </c>
      <c r="G20" s="91"/>
    </row>
    <row r="21" spans="1:17">
      <c r="A21" s="53" t="s">
        <v>33</v>
      </c>
      <c r="B21" s="27">
        <v>4328500</v>
      </c>
      <c r="C21" s="28">
        <v>4356000</v>
      </c>
      <c r="D21" s="28"/>
      <c r="E21" s="56" t="e">
        <f>D21/D28</f>
        <v>#DIV/0!</v>
      </c>
      <c r="G21" s="91"/>
      <c r="M21" t="s">
        <v>82</v>
      </c>
      <c r="N21" s="91">
        <f>24000+22680+2850+16800+35100</f>
        <v>101430</v>
      </c>
    </row>
    <row r="22" spans="1:17">
      <c r="A22" s="54" t="s">
        <v>34</v>
      </c>
      <c r="B22" s="11">
        <v>572000</v>
      </c>
      <c r="C22" s="12">
        <v>344300</v>
      </c>
      <c r="D22" s="12"/>
      <c r="E22" s="57" t="e">
        <f>D22/D28</f>
        <v>#DIV/0!</v>
      </c>
      <c r="G22" s="91"/>
      <c r="M22" t="s">
        <v>83</v>
      </c>
      <c r="N22" s="91">
        <f>47000+66000+9000+9000+55000+9000+55000+60000+72000+62000+9000+27000</f>
        <v>480000</v>
      </c>
    </row>
    <row r="23" spans="1:17">
      <c r="A23" s="54" t="s">
        <v>35</v>
      </c>
      <c r="B23" s="11">
        <v>150000</v>
      </c>
      <c r="C23" s="12">
        <v>150000</v>
      </c>
      <c r="D23" s="12"/>
      <c r="E23" s="57" t="e">
        <f>D23/D28</f>
        <v>#DIV/0!</v>
      </c>
      <c r="G23" s="91"/>
      <c r="K23" s="91"/>
      <c r="M23" t="s">
        <v>84</v>
      </c>
      <c r="N23" s="93">
        <f>78480+70660</f>
        <v>149140</v>
      </c>
      <c r="O23" s="92"/>
    </row>
    <row r="24" spans="1:17">
      <c r="A24" s="54" t="s">
        <v>36</v>
      </c>
      <c r="B24" s="11"/>
      <c r="C24" s="12">
        <v>242000</v>
      </c>
      <c r="D24" s="12"/>
      <c r="E24" s="57" t="e">
        <f>D24/D28</f>
        <v>#DIV/0!</v>
      </c>
      <c r="G24" s="91"/>
      <c r="K24" s="91"/>
      <c r="M24" t="s">
        <v>85</v>
      </c>
      <c r="N24" s="91">
        <f>259330</f>
        <v>259330</v>
      </c>
    </row>
    <row r="25" spans="1:17">
      <c r="A25" s="54" t="s">
        <v>37</v>
      </c>
      <c r="B25" s="11"/>
      <c r="C25" s="12"/>
      <c r="D25" s="12"/>
      <c r="E25" s="57" t="e">
        <f>D25/D28</f>
        <v>#DIV/0!</v>
      </c>
      <c r="G25" s="91"/>
      <c r="K25" s="91"/>
      <c r="M25" t="s">
        <v>86</v>
      </c>
      <c r="N25" s="91">
        <f>212000+212000</f>
        <v>424000</v>
      </c>
      <c r="P25" s="92"/>
    </row>
    <row r="26" spans="1:17">
      <c r="A26" s="54" t="s">
        <v>38</v>
      </c>
      <c r="B26" s="11">
        <v>66000</v>
      </c>
      <c r="C26" s="12"/>
      <c r="D26" s="12"/>
      <c r="E26" s="57" t="e">
        <f>D26/D28</f>
        <v>#DIV/0!</v>
      </c>
      <c r="G26" s="91"/>
      <c r="M26" t="s">
        <v>87</v>
      </c>
      <c r="N26" s="91">
        <f>357800+627170+153500+510870</f>
        <v>1649340</v>
      </c>
    </row>
    <row r="27" spans="1:17" ht="18" thickBot="1">
      <c r="A27" s="99" t="s">
        <v>39</v>
      </c>
      <c r="B27" s="100">
        <v>820600</v>
      </c>
      <c r="C27" s="101">
        <v>644600</v>
      </c>
      <c r="D27" s="101"/>
      <c r="E27" s="105" t="e">
        <f>D27/D28</f>
        <v>#DIV/0!</v>
      </c>
      <c r="M27" t="s">
        <v>88</v>
      </c>
      <c r="N27" s="91">
        <f>39420+2100</f>
        <v>41520</v>
      </c>
    </row>
    <row r="28" spans="1:17">
      <c r="A28" s="102" t="s">
        <v>40</v>
      </c>
      <c r="B28" s="103">
        <v>5937100</v>
      </c>
      <c r="C28" s="104">
        <f>SUM(C21:C27)</f>
        <v>5736900</v>
      </c>
      <c r="D28" s="104"/>
      <c r="E28" s="106" t="e">
        <f>SUM(E21:E27)</f>
        <v>#DIV/0!</v>
      </c>
      <c r="M28" t="s">
        <v>46</v>
      </c>
      <c r="N28" s="91">
        <f>379400</f>
        <v>379400</v>
      </c>
    </row>
    <row r="29" spans="1:17" ht="18" thickBot="1">
      <c r="A29" s="55" t="s">
        <v>41</v>
      </c>
      <c r="B29" s="60">
        <v>1930500</v>
      </c>
      <c r="C29" s="61">
        <v>3920200</v>
      </c>
      <c r="D29" s="61">
        <v>2228000</v>
      </c>
      <c r="E29" s="107"/>
      <c r="N29"/>
    </row>
    <row r="30" spans="1:17" ht="18" thickBot="1">
      <c r="A30" s="58" t="s">
        <v>42</v>
      </c>
      <c r="B30" s="62">
        <f t="shared" ref="B30:C30" si="0">B28-B29</f>
        <v>4006600</v>
      </c>
      <c r="C30" s="63">
        <f t="shared" si="0"/>
        <v>1816700</v>
      </c>
      <c r="D30" s="64">
        <f>D28-D29</f>
        <v>-2228000</v>
      </c>
      <c r="E30" s="59"/>
      <c r="N30"/>
    </row>
    <row r="31" spans="1:17">
      <c r="N31"/>
      <c r="O31" s="92"/>
      <c r="Q31" s="92"/>
    </row>
    <row r="32" spans="1:17" ht="18" thickBot="1">
      <c r="A32" s="1" t="s">
        <v>51</v>
      </c>
    </row>
    <row r="33" spans="1:16" ht="18" thickBot="1">
      <c r="A33" s="87"/>
      <c r="B33" s="35" t="s">
        <v>52</v>
      </c>
      <c r="C33" s="82" t="s">
        <v>2</v>
      </c>
      <c r="D33" s="161" t="s">
        <v>55</v>
      </c>
      <c r="E33" s="162"/>
      <c r="F33" s="25" t="s">
        <v>2</v>
      </c>
      <c r="G33" s="35" t="s">
        <v>54</v>
      </c>
      <c r="H33" s="37" t="s">
        <v>50</v>
      </c>
      <c r="I33" s="125" t="s">
        <v>47</v>
      </c>
      <c r="J33" s="13"/>
      <c r="K33" s="13"/>
    </row>
    <row r="34" spans="1:16">
      <c r="A34" s="24" t="s">
        <v>31</v>
      </c>
      <c r="B34" s="21">
        <v>9129920</v>
      </c>
      <c r="C34" s="83">
        <f>B34/I34</f>
        <v>0.67262630087655839</v>
      </c>
      <c r="D34" s="143">
        <v>3427700</v>
      </c>
      <c r="E34" s="144"/>
      <c r="F34" s="69">
        <f>D34/I34</f>
        <v>0.25252808036812802</v>
      </c>
      <c r="G34" s="31">
        <v>1005600</v>
      </c>
      <c r="H34" s="32">
        <f>G34/I34</f>
        <v>7.4085315989786016E-2</v>
      </c>
      <c r="I34" s="65">
        <v>13573540</v>
      </c>
      <c r="J34" s="19"/>
      <c r="K34" s="18"/>
    </row>
    <row r="35" spans="1:16">
      <c r="A35" s="22" t="s">
        <v>72</v>
      </c>
      <c r="B35" s="16">
        <v>10582180</v>
      </c>
      <c r="C35" s="84">
        <f>B35/I35</f>
        <v>0.55244193767984595</v>
      </c>
      <c r="D35" s="143">
        <v>7495300</v>
      </c>
      <c r="E35" s="144"/>
      <c r="F35" s="69">
        <f>D35/I35</f>
        <v>0.39129159166558775</v>
      </c>
      <c r="G35" s="33">
        <v>1077800</v>
      </c>
      <c r="H35" s="69">
        <f>G35/I35</f>
        <v>5.6266470654566261E-2</v>
      </c>
      <c r="I35" s="66">
        <f>SUM(G35,D35,B35)</f>
        <v>19155280</v>
      </c>
      <c r="J35" s="19"/>
      <c r="K35" s="18"/>
    </row>
    <row r="36" spans="1:16" ht="18" thickBot="1">
      <c r="A36" s="23" t="s">
        <v>79</v>
      </c>
      <c r="B36" s="17"/>
      <c r="C36" s="85" t="e">
        <f>B36/I36</f>
        <v>#DIV/0!</v>
      </c>
      <c r="D36" s="145"/>
      <c r="E36" s="146"/>
      <c r="F36" s="70" t="e">
        <f>D36/I36</f>
        <v>#DIV/0!</v>
      </c>
      <c r="G36" s="34"/>
      <c r="H36" s="70" t="e">
        <f>G36/I36</f>
        <v>#DIV/0!</v>
      </c>
      <c r="I36" s="67">
        <f>SUM(G36,D36,B36)</f>
        <v>0</v>
      </c>
      <c r="J36" s="19"/>
      <c r="K36" s="18"/>
    </row>
    <row r="37" spans="1:16">
      <c r="O37" s="13"/>
    </row>
    <row r="38" spans="1:16" ht="18" thickBot="1">
      <c r="A38" s="1" t="s">
        <v>53</v>
      </c>
      <c r="P38" s="13"/>
    </row>
    <row r="39" spans="1:16" s="13" customFormat="1" ht="18" thickBot="1">
      <c r="A39" s="127"/>
      <c r="B39" s="126" t="s">
        <v>44</v>
      </c>
      <c r="C39" s="26" t="s">
        <v>48</v>
      </c>
      <c r="D39" s="25" t="s">
        <v>2</v>
      </c>
      <c r="E39" s="119" t="s">
        <v>45</v>
      </c>
      <c r="F39" s="26" t="s">
        <v>49</v>
      </c>
      <c r="G39" s="130" t="s">
        <v>50</v>
      </c>
      <c r="H39" s="126" t="s">
        <v>46</v>
      </c>
      <c r="I39" s="26" t="s">
        <v>48</v>
      </c>
      <c r="J39" s="25" t="s">
        <v>2</v>
      </c>
      <c r="K39" s="86" t="s">
        <v>47</v>
      </c>
      <c r="M39"/>
      <c r="N39" s="91"/>
      <c r="O39"/>
      <c r="P39"/>
    </row>
    <row r="40" spans="1:16">
      <c r="A40" s="118" t="s">
        <v>31</v>
      </c>
      <c r="B40" s="33">
        <v>3950960</v>
      </c>
      <c r="C40" s="14">
        <v>1221</v>
      </c>
      <c r="D40" s="69">
        <f>B40/K40</f>
        <v>0.45394653694226972</v>
      </c>
      <c r="E40" s="16">
        <v>3218900</v>
      </c>
      <c r="F40" s="14">
        <v>163</v>
      </c>
      <c r="G40" s="84">
        <f>E40/K40</f>
        <v>0.3698363202268492</v>
      </c>
      <c r="H40" s="33">
        <v>1960060</v>
      </c>
      <c r="I40" s="14">
        <v>436</v>
      </c>
      <c r="J40" s="69">
        <f>H40/K40</f>
        <v>0.225201583716126</v>
      </c>
      <c r="K40" s="66">
        <v>8703580</v>
      </c>
    </row>
    <row r="41" spans="1:16" ht="18" thickBot="1">
      <c r="A41" s="128" t="s">
        <v>72</v>
      </c>
      <c r="B41" s="33">
        <v>4253940</v>
      </c>
      <c r="C41" s="14">
        <v>1417</v>
      </c>
      <c r="D41" s="69">
        <f>B41/K41</f>
        <v>0.40199089412578504</v>
      </c>
      <c r="E41" s="16">
        <v>3892100</v>
      </c>
      <c r="F41" s="14">
        <v>175</v>
      </c>
      <c r="G41" s="84">
        <f>E41/K41</f>
        <v>0.36779756156103943</v>
      </c>
      <c r="H41" s="33">
        <v>2436140</v>
      </c>
      <c r="I41" s="14">
        <v>529</v>
      </c>
      <c r="J41" s="69">
        <f>H41/K41</f>
        <v>0.23021154431317556</v>
      </c>
      <c r="K41" s="67">
        <f>SUM(H41,E41,B41)</f>
        <v>10582180</v>
      </c>
    </row>
    <row r="42" spans="1:16" ht="18" thickBot="1">
      <c r="A42" s="129" t="s">
        <v>79</v>
      </c>
      <c r="B42" s="34"/>
      <c r="C42" s="15"/>
      <c r="D42" s="70" t="e">
        <f>B42/K42</f>
        <v>#DIV/0!</v>
      </c>
      <c r="E42" s="17"/>
      <c r="F42" s="15"/>
      <c r="G42" s="85" t="e">
        <f>E42/K42</f>
        <v>#DIV/0!</v>
      </c>
      <c r="H42" s="34"/>
      <c r="I42" s="15"/>
      <c r="J42" s="70" t="e">
        <f>H42/K42</f>
        <v>#DIV/0!</v>
      </c>
      <c r="K42" s="67">
        <f>SUM(H42,E42,B42)</f>
        <v>0</v>
      </c>
    </row>
    <row r="44" spans="1:16" ht="18" thickBot="1">
      <c r="A44" s="1" t="s">
        <v>56</v>
      </c>
    </row>
    <row r="45" spans="1:16">
      <c r="A45" s="20"/>
      <c r="B45" s="147" t="s">
        <v>57</v>
      </c>
      <c r="C45" s="148"/>
      <c r="D45" s="155" t="s">
        <v>60</v>
      </c>
      <c r="E45" s="156"/>
      <c r="F45" s="156"/>
      <c r="G45" s="156"/>
      <c r="H45" s="156"/>
      <c r="I45" s="156"/>
      <c r="J45" s="156"/>
      <c r="K45" s="157"/>
    </row>
    <row r="46" spans="1:16" ht="18" thickBot="1">
      <c r="A46" s="88"/>
      <c r="B46" s="89" t="s">
        <v>59</v>
      </c>
      <c r="C46" s="120" t="s">
        <v>58</v>
      </c>
      <c r="D46" s="89" t="s">
        <v>61</v>
      </c>
      <c r="E46" s="124" t="s">
        <v>62</v>
      </c>
      <c r="F46" s="124" t="s">
        <v>76</v>
      </c>
      <c r="G46" s="124" t="s">
        <v>75</v>
      </c>
      <c r="H46" s="124" t="s">
        <v>63</v>
      </c>
      <c r="I46" s="124" t="s">
        <v>78</v>
      </c>
      <c r="J46" s="124" t="s">
        <v>77</v>
      </c>
      <c r="K46" s="71" t="s">
        <v>64</v>
      </c>
    </row>
    <row r="47" spans="1:16">
      <c r="A47" s="24" t="s">
        <v>31</v>
      </c>
      <c r="B47" s="133">
        <v>142</v>
      </c>
      <c r="C47" s="121">
        <v>43</v>
      </c>
      <c r="D47" s="45">
        <v>438</v>
      </c>
      <c r="E47" s="46">
        <v>476</v>
      </c>
      <c r="F47" s="46"/>
      <c r="G47" s="46">
        <v>134</v>
      </c>
      <c r="H47" s="46">
        <v>48</v>
      </c>
      <c r="I47" s="46"/>
      <c r="J47" s="46"/>
      <c r="K47" s="52">
        <v>2</v>
      </c>
    </row>
    <row r="48" spans="1:16">
      <c r="A48" s="22" t="s">
        <v>72</v>
      </c>
      <c r="B48" s="131">
        <v>142</v>
      </c>
      <c r="C48" s="122">
        <v>53</v>
      </c>
      <c r="D48" s="73">
        <v>672</v>
      </c>
      <c r="E48" s="72">
        <v>542</v>
      </c>
      <c r="F48" s="72">
        <v>69</v>
      </c>
      <c r="G48" s="72">
        <v>305</v>
      </c>
      <c r="H48" s="72">
        <v>91</v>
      </c>
      <c r="I48" s="72">
        <v>148</v>
      </c>
      <c r="J48" s="72">
        <v>35</v>
      </c>
      <c r="K48" s="74">
        <v>6</v>
      </c>
    </row>
    <row r="49" spans="1:11" ht="18" thickBot="1">
      <c r="A49" s="23" t="s">
        <v>79</v>
      </c>
      <c r="B49" s="132"/>
      <c r="C49" s="123"/>
      <c r="D49" s="47"/>
      <c r="E49" s="48"/>
      <c r="F49" s="48"/>
      <c r="G49" s="48"/>
      <c r="H49" s="48"/>
      <c r="I49" s="48"/>
      <c r="J49" s="48"/>
      <c r="K49" s="49"/>
    </row>
    <row r="51" spans="1:11" ht="18" thickBot="1">
      <c r="A51" s="1" t="s">
        <v>65</v>
      </c>
    </row>
    <row r="52" spans="1:11" ht="18" thickBot="1">
      <c r="A52" s="90"/>
      <c r="B52" s="35" t="s">
        <v>66</v>
      </c>
      <c r="C52" s="36" t="s">
        <v>67</v>
      </c>
      <c r="D52" s="36" t="s">
        <v>68</v>
      </c>
      <c r="E52" s="36" t="s">
        <v>46</v>
      </c>
      <c r="F52" s="36" t="s">
        <v>69</v>
      </c>
      <c r="G52" s="82" t="s">
        <v>70</v>
      </c>
      <c r="H52" s="136" t="s">
        <v>47</v>
      </c>
    </row>
    <row r="53" spans="1:11">
      <c r="A53" s="118" t="s">
        <v>31</v>
      </c>
      <c r="B53" s="31">
        <v>4876500</v>
      </c>
      <c r="C53" s="68">
        <v>660000</v>
      </c>
      <c r="D53" s="68">
        <v>285000</v>
      </c>
      <c r="E53" s="68">
        <v>651500</v>
      </c>
      <c r="F53" s="68">
        <v>1733300</v>
      </c>
      <c r="G53" s="75">
        <v>735000</v>
      </c>
      <c r="H53" s="78">
        <f>SUM(B53:G53)</f>
        <v>8941300</v>
      </c>
    </row>
    <row r="54" spans="1:11">
      <c r="A54" s="128" t="s">
        <v>72</v>
      </c>
      <c r="B54" s="33">
        <v>3281200</v>
      </c>
      <c r="C54" s="14">
        <v>695000</v>
      </c>
      <c r="D54" s="14">
        <v>480000</v>
      </c>
      <c r="E54" s="14">
        <v>482900</v>
      </c>
      <c r="F54" s="14">
        <v>1271100</v>
      </c>
      <c r="G54" s="76">
        <v>795000</v>
      </c>
      <c r="H54" s="78">
        <f>SUM(B54:G54)</f>
        <v>7005200</v>
      </c>
    </row>
    <row r="55" spans="1:11" ht="18" thickBot="1">
      <c r="A55" s="134" t="s">
        <v>79</v>
      </c>
      <c r="B55" s="34"/>
      <c r="C55" s="15"/>
      <c r="D55" s="15"/>
      <c r="E55" s="15"/>
      <c r="F55" s="15"/>
      <c r="G55" s="77"/>
      <c r="H55" s="79">
        <f>SUM(B55:G55)</f>
        <v>0</v>
      </c>
    </row>
    <row r="57" spans="1:11" ht="18" thickBot="1">
      <c r="A57" s="1" t="s">
        <v>71</v>
      </c>
      <c r="B57" s="2"/>
      <c r="C57" s="2"/>
      <c r="D57" s="2"/>
      <c r="E57" s="2"/>
      <c r="F57" s="2"/>
      <c r="G57" s="2"/>
      <c r="H57" s="2"/>
      <c r="I57" s="2"/>
      <c r="J57" s="2"/>
    </row>
    <row r="58" spans="1:11" ht="17.5" customHeight="1">
      <c r="A58" s="149"/>
      <c r="B58" s="150"/>
      <c r="C58" s="150"/>
      <c r="D58" s="150"/>
      <c r="E58" s="150"/>
      <c r="F58" s="150"/>
      <c r="G58" s="150"/>
      <c r="H58" s="150"/>
      <c r="I58" s="150"/>
      <c r="J58" s="151"/>
    </row>
    <row r="59" spans="1:11">
      <c r="A59" s="152"/>
      <c r="B59" s="153"/>
      <c r="C59" s="153"/>
      <c r="D59" s="153"/>
      <c r="E59" s="153"/>
      <c r="F59" s="153"/>
      <c r="G59" s="153"/>
      <c r="H59" s="153"/>
      <c r="I59" s="153"/>
      <c r="J59" s="154"/>
    </row>
    <row r="60" spans="1:11">
      <c r="A60" s="152"/>
      <c r="B60" s="153"/>
      <c r="C60" s="153"/>
      <c r="D60" s="153"/>
      <c r="E60" s="153"/>
      <c r="F60" s="153"/>
      <c r="G60" s="153"/>
      <c r="H60" s="153"/>
      <c r="I60" s="153"/>
      <c r="J60" s="154"/>
    </row>
    <row r="61" spans="1:11" ht="17" customHeight="1">
      <c r="A61" s="137"/>
      <c r="B61" s="138"/>
      <c r="C61" s="138"/>
      <c r="D61" s="138"/>
      <c r="E61" s="138"/>
      <c r="F61" s="138"/>
      <c r="G61" s="138"/>
      <c r="H61" s="138"/>
      <c r="I61" s="138"/>
      <c r="J61" s="139"/>
    </row>
    <row r="62" spans="1:11">
      <c r="A62" s="152"/>
      <c r="B62" s="153"/>
      <c r="C62" s="153"/>
      <c r="D62" s="153"/>
      <c r="E62" s="153"/>
      <c r="F62" s="153"/>
      <c r="G62" s="153"/>
      <c r="H62" s="153"/>
      <c r="I62" s="153"/>
      <c r="J62" s="154"/>
    </row>
    <row r="63" spans="1:11" ht="17" customHeight="1">
      <c r="A63" s="137"/>
      <c r="B63" s="138"/>
      <c r="C63" s="138"/>
      <c r="D63" s="138"/>
      <c r="E63" s="138"/>
      <c r="F63" s="138"/>
      <c r="G63" s="138"/>
      <c r="H63" s="138"/>
      <c r="I63" s="138"/>
      <c r="J63" s="139"/>
    </row>
    <row r="64" spans="1:11" ht="17" customHeight="1">
      <c r="A64" s="137"/>
      <c r="B64" s="138"/>
      <c r="C64" s="138"/>
      <c r="D64" s="138"/>
      <c r="E64" s="138"/>
      <c r="F64" s="138"/>
      <c r="G64" s="138"/>
      <c r="H64" s="138"/>
      <c r="I64" s="138"/>
      <c r="J64" s="139"/>
    </row>
    <row r="65" spans="1:10" ht="18" thickBot="1">
      <c r="A65" s="140"/>
      <c r="B65" s="141"/>
      <c r="C65" s="141"/>
      <c r="D65" s="141"/>
      <c r="E65" s="141"/>
      <c r="F65" s="141"/>
      <c r="G65" s="141"/>
      <c r="H65" s="141"/>
      <c r="I65" s="141"/>
      <c r="J65" s="142"/>
    </row>
    <row r="66" spans="1:10">
      <c r="A66" s="50"/>
      <c r="B66" s="50"/>
      <c r="C66" s="50"/>
      <c r="D66" s="50"/>
      <c r="E66" s="50"/>
      <c r="F66" s="50"/>
      <c r="G66" s="50"/>
      <c r="H66" s="50"/>
      <c r="I66" s="50"/>
      <c r="J66" s="50"/>
    </row>
    <row r="67" spans="1:10">
      <c r="A67" s="1"/>
      <c r="B67" s="117"/>
      <c r="C67" s="117"/>
      <c r="D67" s="117"/>
      <c r="E67" s="117"/>
      <c r="F67" s="117"/>
      <c r="G67" s="117"/>
      <c r="H67" s="117"/>
      <c r="I67" s="117"/>
      <c r="J67" s="117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</sheetData>
  <mergeCells count="47">
    <mergeCell ref="A4:B4"/>
    <mergeCell ref="C4:D4"/>
    <mergeCell ref="A5:B5"/>
    <mergeCell ref="C5:D5"/>
    <mergeCell ref="A6:B6"/>
    <mergeCell ref="C6:D6"/>
    <mergeCell ref="C12:D12"/>
    <mergeCell ref="A7:B7"/>
    <mergeCell ref="C7:D7"/>
    <mergeCell ref="A8:B8"/>
    <mergeCell ref="C8:D8"/>
    <mergeCell ref="A9:B9"/>
    <mergeCell ref="C9:D9"/>
    <mergeCell ref="D33:E33"/>
    <mergeCell ref="A13:B13"/>
    <mergeCell ref="C13:D13"/>
    <mergeCell ref="I4:J4"/>
    <mergeCell ref="I5:J5"/>
    <mergeCell ref="I6:J6"/>
    <mergeCell ref="I7:J7"/>
    <mergeCell ref="I8:J8"/>
    <mergeCell ref="I10:J10"/>
    <mergeCell ref="I11:J11"/>
    <mergeCell ref="I12:J12"/>
    <mergeCell ref="A10:B10"/>
    <mergeCell ref="C10:D10"/>
    <mergeCell ref="A11:B11"/>
    <mergeCell ref="C11:D11"/>
    <mergeCell ref="A12:B12"/>
    <mergeCell ref="I13:J13"/>
    <mergeCell ref="I14:J14"/>
    <mergeCell ref="I15:J15"/>
    <mergeCell ref="I16:J16"/>
    <mergeCell ref="I17:J17"/>
    <mergeCell ref="A64:J64"/>
    <mergeCell ref="A65:J65"/>
    <mergeCell ref="A63:J63"/>
    <mergeCell ref="D34:E34"/>
    <mergeCell ref="D35:E35"/>
    <mergeCell ref="D36:E36"/>
    <mergeCell ref="B45:C45"/>
    <mergeCell ref="A58:J58"/>
    <mergeCell ref="A59:J59"/>
    <mergeCell ref="A60:J60"/>
    <mergeCell ref="A61:J61"/>
    <mergeCell ref="A62:J62"/>
    <mergeCell ref="D45:K45"/>
  </mergeCells>
  <phoneticPr fontId="3" type="noConversion"/>
  <pageMargins left="0.7" right="0.7" top="0.75" bottom="0.75" header="0.3" footer="0.3"/>
  <pageSetup paperSize="9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DFE7-C0C9-4500-BD66-F9549B06876F}">
  <dimension ref="A1:O8"/>
  <sheetViews>
    <sheetView workbookViewId="0"/>
  </sheetViews>
  <sheetFormatPr baseColWidth="10" defaultColWidth="8.83203125" defaultRowHeight="17"/>
  <sheetData>
    <row r="1" spans="1:15" ht="23">
      <c r="A1" s="51" t="s">
        <v>81</v>
      </c>
    </row>
    <row r="2" spans="1:15" ht="28.75" customHeight="1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ht="28.75" customHeight="1">
      <c r="A3" s="188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</row>
    <row r="4" spans="1:15" ht="28.75" customHeight="1">
      <c r="A4" s="188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</row>
    <row r="5" spans="1:15" ht="28.75" customHeight="1">
      <c r="A5" s="188"/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</row>
    <row r="6" spans="1:15" ht="28.75" customHeight="1">
      <c r="A6" s="18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</row>
    <row r="7" spans="1:15" ht="28.75" customHeight="1"/>
    <row r="8" spans="1:15" ht="28.75" customHeight="1"/>
  </sheetData>
  <mergeCells count="5">
    <mergeCell ref="A2:O2"/>
    <mergeCell ref="A3:O3"/>
    <mergeCell ref="A4:O4"/>
    <mergeCell ref="A5:O5"/>
    <mergeCell ref="A6:O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라미랑드</vt:lpstr>
      <vt:lpstr>12월 회의록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정</dc:creator>
  <cp:lastModifiedBy>Microsoft Office User</cp:lastModifiedBy>
  <cp:lastPrinted>2025-12-05T08:16:21Z</cp:lastPrinted>
  <dcterms:created xsi:type="dcterms:W3CDTF">2025-12-05T08:09:47Z</dcterms:created>
  <dcterms:modified xsi:type="dcterms:W3CDTF">2026-04-02T09:13:04Z</dcterms:modified>
</cp:coreProperties>
</file>